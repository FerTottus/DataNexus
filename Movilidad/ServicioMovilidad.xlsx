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labella-my.sharepoint.com/personal/fhurtadoa_tottus_com_pe/Documents/Requerimientos/REQ-20261903/"/>
    </mc:Choice>
  </mc:AlternateContent>
  <xr:revisionPtr revIDLastSave="1253" documentId="8_{7DAD175C-15E0-4DA1-BA60-729EF0719A16}" xr6:coauthVersionLast="47" xr6:coauthVersionMax="47" xr10:uidLastSave="{35A3C608-A40B-4871-A88C-B87B970071CA}"/>
  <bookViews>
    <workbookView xWindow="-110" yWindow="-110" windowWidth="19420" windowHeight="10300" xr2:uid="{7253C623-A5D1-419C-B61F-D83B2583A83A}"/>
  </bookViews>
  <sheets>
    <sheet name="GRAFICO" sheetId="18" r:id="rId1"/>
    <sheet name="BD PARADEROS" sheetId="13" state="hidden" r:id="rId2"/>
    <sheet name="GLOSARIO" sheetId="17" state="hidden" r:id="rId3"/>
    <sheet name="REGISTRO_DIARIO" sheetId="32" r:id="rId4"/>
    <sheet name="ANALISIS_COSTOS" sheetId="30" r:id="rId5"/>
    <sheet name="BD BUSES" sheetId="27" r:id="rId6"/>
    <sheet name="Distritos" sheetId="11" state="hidden" r:id="rId7"/>
    <sheet name="BD RUTAS" sheetId="28" r:id="rId8"/>
    <sheet name="BD SECOS" sheetId="4" r:id="rId9"/>
    <sheet name="BD FRESCOS" sheetId="5" r:id="rId10"/>
    <sheet name="BD PPA" sheetId="2" r:id="rId11"/>
    <sheet name="PARADEROS_VALIDOS" sheetId="16" state="hidden" r:id="rId12"/>
    <sheet name="pendientes" sheetId="26" state="hidden" r:id="rId13"/>
    <sheet name="CLASIFICACION" sheetId="25" r:id="rId14"/>
    <sheet name="BD CONSOLIDADA" sheetId="23" state="hidden" r:id="rId15"/>
  </sheets>
  <definedNames>
    <definedName name="_xlnm._FilterDatabase" localSheetId="14" hidden="1">'BD CONSOLIDADA'!$A$1:$AH$1077</definedName>
    <definedName name="_xlnm._FilterDatabase" localSheetId="13" hidden="1">CLASIFICACION!$A$3:$B$36</definedName>
    <definedName name="_xlnm._FilterDatabase" localSheetId="6" hidden="1">Distritos!$H$6:$J$66</definedName>
    <definedName name="_xlnm._FilterDatabase" localSheetId="0" hidden="1">GRAFICO!$A$38:$J$90</definedName>
    <definedName name="_xlnm._FilterDatabase" localSheetId="11" hidden="1">PARADEROS_VALIDOS!$A$1:$F$68</definedName>
    <definedName name="_xlnm._FilterDatabase" localSheetId="12" hidden="1">pendientes!#REF!</definedName>
    <definedName name="DatosExternos_1" localSheetId="1" hidden="1">'BD PARADEROS'!$A$1:$C$83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6" i="18" l="1"/>
  <c r="B3" i="32"/>
  <c r="B4" i="32"/>
  <c r="B5" i="32"/>
  <c r="B6" i="32"/>
  <c r="B7" i="32"/>
  <c r="B8" i="32"/>
  <c r="B9" i="32"/>
  <c r="B10" i="32"/>
  <c r="B11" i="32"/>
  <c r="B12" i="32"/>
  <c r="B13" i="32"/>
  <c r="B14" i="32"/>
  <c r="B15" i="32"/>
  <c r="B16" i="32"/>
  <c r="B17" i="32"/>
  <c r="B18" i="32"/>
  <c r="B19" i="32"/>
  <c r="B20" i="32"/>
  <c r="B21" i="32"/>
  <c r="B22" i="32"/>
  <c r="B23" i="32"/>
  <c r="B24" i="32"/>
  <c r="B25" i="32"/>
  <c r="B26" i="32"/>
  <c r="B27" i="32"/>
  <c r="B28" i="32"/>
  <c r="B29" i="32"/>
  <c r="B30" i="32"/>
  <c r="B31" i="32"/>
  <c r="B32" i="32"/>
  <c r="B33" i="32"/>
  <c r="B34" i="32"/>
  <c r="B35" i="32"/>
  <c r="B36" i="32"/>
  <c r="B37" i="32"/>
  <c r="B38" i="32"/>
  <c r="B39" i="32"/>
  <c r="B40" i="32"/>
  <c r="B41" i="32"/>
  <c r="B42" i="32"/>
  <c r="B43" i="32"/>
  <c r="B44" i="32"/>
  <c r="B45" i="32"/>
  <c r="B46" i="32"/>
  <c r="B47" i="32"/>
  <c r="B48" i="32"/>
  <c r="B49" i="32"/>
  <c r="B50" i="32"/>
  <c r="B51" i="32"/>
  <c r="B52" i="32"/>
  <c r="B53" i="32"/>
  <c r="B54" i="32"/>
  <c r="B55" i="32"/>
  <c r="B56" i="32"/>
  <c r="B57" i="32"/>
  <c r="B58" i="32"/>
  <c r="B59" i="32"/>
  <c r="B60" i="32"/>
  <c r="B61" i="32"/>
  <c r="B62" i="32"/>
  <c r="B63" i="32"/>
  <c r="B64" i="32"/>
  <c r="B65" i="32"/>
  <c r="B66" i="32"/>
  <c r="B67" i="32"/>
  <c r="B68" i="32"/>
  <c r="B69" i="32"/>
  <c r="B70" i="32"/>
  <c r="B71" i="32"/>
  <c r="B72" i="32"/>
  <c r="B73" i="32"/>
  <c r="B74" i="32"/>
  <c r="B75" i="32"/>
  <c r="B76" i="32"/>
  <c r="B77" i="32"/>
  <c r="B78" i="32"/>
  <c r="B79" i="32"/>
  <c r="B80" i="32"/>
  <c r="B81" i="32"/>
  <c r="B82" i="32"/>
  <c r="B83" i="32"/>
  <c r="B84" i="32"/>
  <c r="B85" i="32"/>
  <c r="B86" i="32"/>
  <c r="B87" i="32"/>
  <c r="B88" i="32"/>
  <c r="B89" i="32"/>
  <c r="B90" i="32"/>
  <c r="B91" i="32"/>
  <c r="D2" i="13"/>
  <c r="D3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I2" i="13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F21" i="30"/>
  <c r="E21" i="30"/>
  <c r="F20" i="30"/>
  <c r="E20" i="30"/>
  <c r="F19" i="30"/>
  <c r="E19" i="30"/>
  <c r="F18" i="30"/>
  <c r="E18" i="30"/>
  <c r="F17" i="30"/>
  <c r="E17" i="30"/>
  <c r="F16" i="30"/>
  <c r="E16" i="30"/>
  <c r="F15" i="30"/>
  <c r="E15" i="30"/>
  <c r="F14" i="30"/>
  <c r="E14" i="30"/>
  <c r="F13" i="30"/>
  <c r="E13" i="30"/>
  <c r="F12" i="30"/>
  <c r="E12" i="30"/>
  <c r="F11" i="30"/>
  <c r="E11" i="30"/>
  <c r="F10" i="30"/>
  <c r="E10" i="30"/>
  <c r="F9" i="30"/>
  <c r="E9" i="30"/>
  <c r="F8" i="30"/>
  <c r="E8" i="30"/>
  <c r="B9" i="30"/>
  <c r="I27" i="30" s="1"/>
  <c r="J27" i="30" s="1"/>
  <c r="B8" i="30"/>
  <c r="I28" i="30" s="1"/>
  <c r="J28" i="30" s="1"/>
  <c r="I97" i="18"/>
  <c r="B126" i="18"/>
  <c r="A78" i="32"/>
  <c r="A79" i="32"/>
  <c r="A80" i="32"/>
  <c r="A81" i="32"/>
  <c r="A82" i="32"/>
  <c r="A83" i="32"/>
  <c r="A84" i="32"/>
  <c r="A85" i="32"/>
  <c r="A86" i="32"/>
  <c r="A87" i="32"/>
  <c r="A88" i="32"/>
  <c r="A89" i="32"/>
  <c r="A90" i="32"/>
  <c r="A91" i="32"/>
  <c r="F78" i="32"/>
  <c r="H78" i="32" s="1"/>
  <c r="L78" i="32" s="1"/>
  <c r="F79" i="32"/>
  <c r="H79" i="32" s="1"/>
  <c r="L79" i="32" s="1"/>
  <c r="F80" i="32"/>
  <c r="F81" i="32"/>
  <c r="H81" i="32" s="1"/>
  <c r="L81" i="32" s="1"/>
  <c r="F82" i="32"/>
  <c r="H82" i="32" s="1"/>
  <c r="L82" i="32" s="1"/>
  <c r="F83" i="32"/>
  <c r="H83" i="32" s="1"/>
  <c r="L83" i="32" s="1"/>
  <c r="F84" i="32"/>
  <c r="H84" i="32" s="1"/>
  <c r="L84" i="32" s="1"/>
  <c r="F85" i="32"/>
  <c r="H85" i="32" s="1"/>
  <c r="L85" i="32" s="1"/>
  <c r="F86" i="32"/>
  <c r="H86" i="32" s="1"/>
  <c r="L86" i="32" s="1"/>
  <c r="F87" i="32"/>
  <c r="H87" i="32" s="1"/>
  <c r="L87" i="32" s="1"/>
  <c r="F88" i="32"/>
  <c r="H88" i="32" s="1"/>
  <c r="L88" i="32" s="1"/>
  <c r="F89" i="32"/>
  <c r="H89" i="32" s="1"/>
  <c r="L89" i="32" s="1"/>
  <c r="F90" i="32"/>
  <c r="H90" i="32" s="1"/>
  <c r="L90" i="32" s="1"/>
  <c r="F91" i="32"/>
  <c r="H91" i="32" s="1"/>
  <c r="L91" i="32" s="1"/>
  <c r="H80" i="32"/>
  <c r="I78" i="32" a="1"/>
  <c r="I78" i="32" s="1"/>
  <c r="J78" i="32" s="1"/>
  <c r="K78" i="32" s="1"/>
  <c r="I79" i="32" a="1"/>
  <c r="I79" i="32" s="1"/>
  <c r="J79" i="32" s="1"/>
  <c r="K79" i="32" s="1"/>
  <c r="I80" i="32" a="1"/>
  <c r="I80" i="32" s="1"/>
  <c r="J80" i="32" s="1"/>
  <c r="K80" i="32" s="1"/>
  <c r="I81" i="32" a="1"/>
  <c r="I81" i="32" s="1"/>
  <c r="J81" i="32" s="1"/>
  <c r="K81" i="32" s="1"/>
  <c r="I82" i="32" a="1"/>
  <c r="I82" i="32" s="1"/>
  <c r="J82" i="32" s="1"/>
  <c r="K82" i="32" s="1"/>
  <c r="I83" i="32" a="1"/>
  <c r="I83" i="32" s="1"/>
  <c r="J83" i="32" s="1"/>
  <c r="K83" i="32" s="1"/>
  <c r="I84" i="32" a="1"/>
  <c r="I84" i="32" s="1"/>
  <c r="J84" i="32" s="1"/>
  <c r="K84" i="32" s="1"/>
  <c r="I85" i="32" a="1"/>
  <c r="I85" i="32" s="1"/>
  <c r="J85" i="32" s="1"/>
  <c r="K85" i="32" s="1"/>
  <c r="I86" i="32" a="1"/>
  <c r="I86" i="32" s="1"/>
  <c r="J86" i="32" s="1"/>
  <c r="K86" i="32" s="1"/>
  <c r="I87" i="32" a="1"/>
  <c r="I87" i="32" s="1"/>
  <c r="J87" i="32" s="1"/>
  <c r="K87" i="32" s="1"/>
  <c r="I88" i="32" a="1"/>
  <c r="I88" i="32" s="1"/>
  <c r="J88" i="32" s="1"/>
  <c r="K88" i="32" s="1"/>
  <c r="I89" i="32" a="1"/>
  <c r="I89" i="32" s="1"/>
  <c r="J89" i="32" s="1"/>
  <c r="K89" i="32" s="1"/>
  <c r="I90" i="32" a="1"/>
  <c r="I90" i="32" s="1"/>
  <c r="J90" i="32" s="1"/>
  <c r="K90" i="32" s="1"/>
  <c r="I91" i="32" a="1"/>
  <c r="I91" i="32" s="1"/>
  <c r="J91" i="32" s="1"/>
  <c r="K91" i="32" s="1"/>
  <c r="L80" i="32"/>
  <c r="A64" i="32"/>
  <c r="A65" i="32"/>
  <c r="A66" i="32"/>
  <c r="A67" i="32"/>
  <c r="A68" i="32"/>
  <c r="A69" i="32"/>
  <c r="A70" i="32"/>
  <c r="A71" i="32"/>
  <c r="A72" i="32"/>
  <c r="A73" i="32"/>
  <c r="A74" i="32"/>
  <c r="A75" i="32"/>
  <c r="A76" i="32"/>
  <c r="A77" i="32"/>
  <c r="F64" i="32"/>
  <c r="H64" i="32" s="1"/>
  <c r="L64" i="32" s="1"/>
  <c r="F65" i="32"/>
  <c r="H65" i="32" s="1"/>
  <c r="L65" i="32" s="1"/>
  <c r="F66" i="32"/>
  <c r="H66" i="32" s="1"/>
  <c r="L66" i="32" s="1"/>
  <c r="F67" i="32"/>
  <c r="H67" i="32" s="1"/>
  <c r="L67" i="32" s="1"/>
  <c r="F68" i="32"/>
  <c r="H68" i="32" s="1"/>
  <c r="L68" i="32" s="1"/>
  <c r="F69" i="32"/>
  <c r="H69" i="32" s="1"/>
  <c r="L69" i="32" s="1"/>
  <c r="F70" i="32"/>
  <c r="H70" i="32" s="1"/>
  <c r="L70" i="32" s="1"/>
  <c r="F71" i="32"/>
  <c r="H71" i="32" s="1"/>
  <c r="L71" i="32" s="1"/>
  <c r="F72" i="32"/>
  <c r="H72" i="32" s="1"/>
  <c r="L72" i="32" s="1"/>
  <c r="F73" i="32"/>
  <c r="H73" i="32" s="1"/>
  <c r="L73" i="32" s="1"/>
  <c r="F74" i="32"/>
  <c r="H74" i="32" s="1"/>
  <c r="L74" i="32" s="1"/>
  <c r="F75" i="32"/>
  <c r="H75" i="32" s="1"/>
  <c r="L75" i="32" s="1"/>
  <c r="F76" i="32"/>
  <c r="H76" i="32" s="1"/>
  <c r="L76" i="32" s="1"/>
  <c r="F77" i="32"/>
  <c r="H77" i="32" s="1"/>
  <c r="L77" i="32" s="1"/>
  <c r="I64" i="32" a="1"/>
  <c r="I64" i="32" s="1"/>
  <c r="J64" i="32" s="1"/>
  <c r="K64" i="32" s="1"/>
  <c r="I65" i="32" a="1"/>
  <c r="I65" i="32" s="1"/>
  <c r="J65" i="32" s="1"/>
  <c r="K65" i="32" s="1"/>
  <c r="I66" i="32" a="1"/>
  <c r="I66" i="32" s="1"/>
  <c r="J66" i="32" s="1"/>
  <c r="K66" i="32" s="1"/>
  <c r="I67" i="32" a="1"/>
  <c r="I67" i="32" s="1"/>
  <c r="J67" i="32" s="1"/>
  <c r="K67" i="32" s="1"/>
  <c r="I68" i="32" a="1"/>
  <c r="I68" i="32" s="1"/>
  <c r="J68" i="32" s="1"/>
  <c r="K68" i="32" s="1"/>
  <c r="I69" i="32" a="1"/>
  <c r="I69" i="32" s="1"/>
  <c r="J69" i="32" s="1"/>
  <c r="K69" i="32" s="1"/>
  <c r="I70" i="32" a="1"/>
  <c r="I70" i="32" s="1"/>
  <c r="J70" i="32" s="1"/>
  <c r="K70" i="32" s="1"/>
  <c r="I71" i="32" a="1"/>
  <c r="I71" i="32" s="1"/>
  <c r="J71" i="32" s="1"/>
  <c r="K71" i="32" s="1"/>
  <c r="I72" i="32" a="1"/>
  <c r="I72" i="32" s="1"/>
  <c r="J72" i="32" s="1"/>
  <c r="K72" i="32" s="1"/>
  <c r="I73" i="32" a="1"/>
  <c r="I73" i="32" s="1"/>
  <c r="J73" i="32" s="1"/>
  <c r="K73" i="32" s="1"/>
  <c r="I74" i="32" a="1"/>
  <c r="I74" i="32" s="1"/>
  <c r="J74" i="32" s="1"/>
  <c r="K74" i="32" s="1"/>
  <c r="I75" i="32" a="1"/>
  <c r="I75" i="32" s="1"/>
  <c r="J75" i="32" s="1"/>
  <c r="K75" i="32" s="1"/>
  <c r="I76" i="32" a="1"/>
  <c r="I76" i="32" s="1"/>
  <c r="J76" i="32" s="1"/>
  <c r="K76" i="32" s="1"/>
  <c r="I77" i="32" a="1"/>
  <c r="I77" i="32" s="1"/>
  <c r="J77" i="32" s="1"/>
  <c r="K77" i="32" s="1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62" i="32"/>
  <c r="A63" i="32"/>
  <c r="F49" i="32"/>
  <c r="F50" i="32"/>
  <c r="H50" i="32" s="1"/>
  <c r="L50" i="32" s="1"/>
  <c r="F51" i="32"/>
  <c r="H51" i="32" s="1"/>
  <c r="L51" i="32" s="1"/>
  <c r="F52" i="32"/>
  <c r="H52" i="32" s="1"/>
  <c r="L52" i="32" s="1"/>
  <c r="F53" i="32"/>
  <c r="H53" i="32" s="1"/>
  <c r="L53" i="32" s="1"/>
  <c r="F54" i="32"/>
  <c r="H54" i="32" s="1"/>
  <c r="L54" i="32" s="1"/>
  <c r="F55" i="32"/>
  <c r="H55" i="32" s="1"/>
  <c r="L55" i="32" s="1"/>
  <c r="F56" i="32"/>
  <c r="H56" i="32" s="1"/>
  <c r="L56" i="32" s="1"/>
  <c r="F57" i="32"/>
  <c r="H57" i="32" s="1"/>
  <c r="L57" i="32" s="1"/>
  <c r="F58" i="32"/>
  <c r="H58" i="32" s="1"/>
  <c r="L58" i="32" s="1"/>
  <c r="F59" i="32"/>
  <c r="H59" i="32" s="1"/>
  <c r="L59" i="32" s="1"/>
  <c r="F60" i="32"/>
  <c r="H60" i="32" s="1"/>
  <c r="L60" i="32" s="1"/>
  <c r="F61" i="32"/>
  <c r="H61" i="32" s="1"/>
  <c r="L61" i="32" s="1"/>
  <c r="F62" i="32"/>
  <c r="H62" i="32" s="1"/>
  <c r="L62" i="32" s="1"/>
  <c r="F63" i="32"/>
  <c r="H63" i="32" s="1"/>
  <c r="L63" i="32" s="1"/>
  <c r="I49" i="32" a="1"/>
  <c r="I49" i="32" s="1"/>
  <c r="J49" i="32" s="1"/>
  <c r="I50" i="32" a="1"/>
  <c r="I50" i="32" s="1"/>
  <c r="J50" i="32" s="1"/>
  <c r="K50" i="32" s="1"/>
  <c r="I51" i="32" a="1"/>
  <c r="I51" i="32" s="1"/>
  <c r="J51" i="32" s="1"/>
  <c r="K51" i="32" s="1"/>
  <c r="I52" i="32" a="1"/>
  <c r="I52" i="32" s="1"/>
  <c r="J52" i="32" s="1"/>
  <c r="K52" i="32" s="1"/>
  <c r="I53" i="32" a="1"/>
  <c r="I53" i="32" s="1"/>
  <c r="J53" i="32" s="1"/>
  <c r="K53" i="32" s="1"/>
  <c r="I54" i="32" a="1"/>
  <c r="I54" i="32" s="1"/>
  <c r="J54" i="32" s="1"/>
  <c r="K54" i="32" s="1"/>
  <c r="I55" i="32" a="1"/>
  <c r="I55" i="32" s="1"/>
  <c r="J55" i="32" s="1"/>
  <c r="K55" i="32" s="1"/>
  <c r="I56" i="32" a="1"/>
  <c r="I56" i="32" s="1"/>
  <c r="J56" i="32" s="1"/>
  <c r="K56" i="32" s="1"/>
  <c r="I57" i="32" a="1"/>
  <c r="I57" i="32" s="1"/>
  <c r="J57" i="32" s="1"/>
  <c r="K57" i="32" s="1"/>
  <c r="I58" i="32" a="1"/>
  <c r="I58" i="32" s="1"/>
  <c r="J58" i="32" s="1"/>
  <c r="K58" i="32" s="1"/>
  <c r="I59" i="32" a="1"/>
  <c r="I59" i="32" s="1"/>
  <c r="J59" i="32" s="1"/>
  <c r="K59" i="32" s="1"/>
  <c r="I60" i="32" a="1"/>
  <c r="I60" i="32" s="1"/>
  <c r="J60" i="32" s="1"/>
  <c r="K60" i="32" s="1"/>
  <c r="I61" i="32" a="1"/>
  <c r="I61" i="32" s="1"/>
  <c r="J61" i="32" s="1"/>
  <c r="K61" i="32" s="1"/>
  <c r="I62" i="32" a="1"/>
  <c r="I62" i="32" s="1"/>
  <c r="J62" i="32" s="1"/>
  <c r="K62" i="32" s="1"/>
  <c r="I63" i="32" a="1"/>
  <c r="I63" i="32" s="1"/>
  <c r="J63" i="32" s="1"/>
  <c r="K63" i="32" s="1"/>
  <c r="A48" i="32"/>
  <c r="F48" i="32"/>
  <c r="H48" i="32" s="1"/>
  <c r="L48" i="32" s="1"/>
  <c r="I48" i="32" a="1"/>
  <c r="I48" i="32" s="1"/>
  <c r="J48" i="32" s="1"/>
  <c r="K48" i="32" s="1"/>
  <c r="A38" i="32"/>
  <c r="A39" i="32"/>
  <c r="A40" i="32"/>
  <c r="A41" i="32"/>
  <c r="A42" i="32"/>
  <c r="A43" i="32"/>
  <c r="A44" i="32"/>
  <c r="A45" i="32"/>
  <c r="A46" i="32"/>
  <c r="A47" i="32"/>
  <c r="F38" i="32"/>
  <c r="F39" i="32"/>
  <c r="H39" i="32" s="1"/>
  <c r="L39" i="32" s="1"/>
  <c r="F40" i="32"/>
  <c r="H40" i="32" s="1"/>
  <c r="L40" i="32" s="1"/>
  <c r="F41" i="32"/>
  <c r="H41" i="32" s="1"/>
  <c r="L41" i="32" s="1"/>
  <c r="F42" i="32"/>
  <c r="H42" i="32" s="1"/>
  <c r="L42" i="32" s="1"/>
  <c r="F43" i="32"/>
  <c r="H43" i="32" s="1"/>
  <c r="L43" i="32" s="1"/>
  <c r="F44" i="32"/>
  <c r="H44" i="32" s="1"/>
  <c r="L44" i="32" s="1"/>
  <c r="F45" i="32"/>
  <c r="H45" i="32" s="1"/>
  <c r="L45" i="32" s="1"/>
  <c r="F46" i="32"/>
  <c r="H46" i="32" s="1"/>
  <c r="L46" i="32" s="1"/>
  <c r="F47" i="32"/>
  <c r="H47" i="32" s="1"/>
  <c r="L47" i="32" s="1"/>
  <c r="I38" i="32" a="1"/>
  <c r="I38" i="32" s="1"/>
  <c r="J38" i="32" s="1"/>
  <c r="K38" i="32" s="1"/>
  <c r="I39" i="32" a="1"/>
  <c r="I39" i="32" s="1"/>
  <c r="J39" i="32" s="1"/>
  <c r="K39" i="32" s="1"/>
  <c r="I40" i="32" a="1"/>
  <c r="I40" i="32" s="1"/>
  <c r="J40" i="32" s="1"/>
  <c r="K40" i="32" s="1"/>
  <c r="I41" i="32" a="1"/>
  <c r="I41" i="32" s="1"/>
  <c r="J41" i="32" s="1"/>
  <c r="K41" i="32" s="1"/>
  <c r="I42" i="32" a="1"/>
  <c r="I42" i="32" s="1"/>
  <c r="J42" i="32" s="1"/>
  <c r="K42" i="32" s="1"/>
  <c r="I43" i="32" a="1"/>
  <c r="I43" i="32" s="1"/>
  <c r="J43" i="32" s="1"/>
  <c r="K43" i="32" s="1"/>
  <c r="I44" i="32" a="1"/>
  <c r="I44" i="32" s="1"/>
  <c r="J44" i="32" s="1"/>
  <c r="K44" i="32" s="1"/>
  <c r="I45" i="32" a="1"/>
  <c r="I45" i="32" s="1"/>
  <c r="J45" i="32" s="1"/>
  <c r="K45" i="32" s="1"/>
  <c r="I46" i="32" a="1"/>
  <c r="I46" i="32" s="1"/>
  <c r="J46" i="32" s="1"/>
  <c r="K46" i="32" s="1"/>
  <c r="I47" i="32" a="1"/>
  <c r="I47" i="32" s="1"/>
  <c r="J47" i="32" s="1"/>
  <c r="K47" i="32" s="1"/>
  <c r="I3" i="32" a="1"/>
  <c r="I3" i="32" s="1"/>
  <c r="J3" i="32" s="1"/>
  <c r="B12" i="30" s="1"/>
  <c r="I4" i="32" a="1"/>
  <c r="I4" i="32" s="1"/>
  <c r="J4" i="32" s="1"/>
  <c r="K4" i="32" s="1"/>
  <c r="I5" i="32" a="1"/>
  <c r="I5" i="32" s="1"/>
  <c r="J5" i="32" s="1"/>
  <c r="K5" i="32" s="1"/>
  <c r="I6" i="32" a="1"/>
  <c r="I6" i="32" s="1"/>
  <c r="J6" i="32" s="1"/>
  <c r="K6" i="32" s="1"/>
  <c r="I7" i="32" a="1"/>
  <c r="I7" i="32" s="1"/>
  <c r="J7" i="32" s="1"/>
  <c r="I8" i="32" a="1"/>
  <c r="I8" i="32" s="1"/>
  <c r="J8" i="32" s="1"/>
  <c r="I9" i="32" a="1"/>
  <c r="I9" i="32" s="1"/>
  <c r="J9" i="32" s="1"/>
  <c r="I10" i="32" a="1"/>
  <c r="I10" i="32" s="1"/>
  <c r="J10" i="32" s="1"/>
  <c r="I11" i="32" a="1"/>
  <c r="I11" i="32" s="1"/>
  <c r="J11" i="32" s="1"/>
  <c r="I12" i="32" a="1"/>
  <c r="I12" i="32" s="1"/>
  <c r="J12" i="32" s="1"/>
  <c r="I13" i="32" a="1"/>
  <c r="I13" i="32" s="1"/>
  <c r="J13" i="32" s="1"/>
  <c r="I14" i="32" a="1"/>
  <c r="I14" i="32" s="1"/>
  <c r="J14" i="32" s="1"/>
  <c r="I15" i="32" a="1"/>
  <c r="I15" i="32" s="1"/>
  <c r="J15" i="32" s="1"/>
  <c r="I16" i="32" a="1"/>
  <c r="I16" i="32" s="1"/>
  <c r="J16" i="32" s="1"/>
  <c r="I17" i="32" a="1"/>
  <c r="I17" i="32" s="1"/>
  <c r="J17" i="32" s="1"/>
  <c r="I18" i="32" a="1"/>
  <c r="I18" i="32" s="1"/>
  <c r="J18" i="32" s="1"/>
  <c r="K18" i="32" s="1"/>
  <c r="I19" i="32" a="1"/>
  <c r="I19" i="32" s="1"/>
  <c r="J19" i="32" s="1"/>
  <c r="I20" i="32" a="1"/>
  <c r="I20" i="32" s="1"/>
  <c r="J20" i="32" s="1"/>
  <c r="K20" i="32" s="1"/>
  <c r="I21" i="32" a="1"/>
  <c r="I21" i="32" s="1"/>
  <c r="J21" i="32" s="1"/>
  <c r="I22" i="32" a="1"/>
  <c r="I22" i="32" s="1"/>
  <c r="J22" i="32" s="1"/>
  <c r="K22" i="32" s="1"/>
  <c r="I23" i="32" a="1"/>
  <c r="I23" i="32" s="1"/>
  <c r="J23" i="32" s="1"/>
  <c r="K23" i="32" s="1"/>
  <c r="I24" i="32" a="1"/>
  <c r="I24" i="32" s="1"/>
  <c r="J24" i="32" s="1"/>
  <c r="K24" i="32" s="1"/>
  <c r="I25" i="32" a="1"/>
  <c r="I25" i="32" s="1"/>
  <c r="J25" i="32" s="1"/>
  <c r="K25" i="32" s="1"/>
  <c r="I26" i="32" a="1"/>
  <c r="I26" i="32" s="1"/>
  <c r="J26" i="32" s="1"/>
  <c r="K26" i="32" s="1"/>
  <c r="I27" i="32" a="1"/>
  <c r="I27" i="32" s="1"/>
  <c r="J27" i="32" s="1"/>
  <c r="K27" i="32" s="1"/>
  <c r="I28" i="32" a="1"/>
  <c r="I28" i="32" s="1"/>
  <c r="J28" i="32" s="1"/>
  <c r="K28" i="32" s="1"/>
  <c r="I29" i="32" a="1"/>
  <c r="I29" i="32" s="1"/>
  <c r="J29" i="32" s="1"/>
  <c r="K29" i="32" s="1"/>
  <c r="I30" i="32" a="1"/>
  <c r="I30" i="32" s="1"/>
  <c r="J30" i="32" s="1"/>
  <c r="K30" i="32" s="1"/>
  <c r="I31" i="32" a="1"/>
  <c r="I31" i="32" s="1"/>
  <c r="J31" i="32" s="1"/>
  <c r="K31" i="32" s="1"/>
  <c r="I32" i="32" a="1"/>
  <c r="I32" i="32" s="1"/>
  <c r="J32" i="32" s="1"/>
  <c r="K32" i="32" s="1"/>
  <c r="I33" i="32" a="1"/>
  <c r="I33" i="32" s="1"/>
  <c r="J33" i="32" s="1"/>
  <c r="K33" i="32" s="1"/>
  <c r="I34" i="32" a="1"/>
  <c r="I34" i="32" s="1"/>
  <c r="J34" i="32" s="1"/>
  <c r="K34" i="32" s="1"/>
  <c r="I35" i="32" a="1"/>
  <c r="I35" i="32" s="1"/>
  <c r="J35" i="32" s="1"/>
  <c r="K35" i="32" s="1"/>
  <c r="I36" i="32" a="1"/>
  <c r="I36" i="32" s="1"/>
  <c r="J36" i="32" s="1"/>
  <c r="K36" i="32" s="1"/>
  <c r="I37" i="32" a="1"/>
  <c r="I37" i="32" s="1"/>
  <c r="J37" i="32" s="1"/>
  <c r="K37" i="32" s="1"/>
  <c r="F7" i="32"/>
  <c r="A3" i="32"/>
  <c r="F3" i="32"/>
  <c r="H3" i="32" s="1"/>
  <c r="L3" i="32" s="1"/>
  <c r="F4" i="32"/>
  <c r="F5" i="32"/>
  <c r="H5" i="32" s="1"/>
  <c r="L5" i="32" s="1"/>
  <c r="F6" i="32"/>
  <c r="F8" i="32"/>
  <c r="F9" i="32"/>
  <c r="F10" i="32"/>
  <c r="F11" i="32"/>
  <c r="F12" i="32"/>
  <c r="F13" i="32"/>
  <c r="F14" i="32"/>
  <c r="F15" i="32"/>
  <c r="F16" i="32"/>
  <c r="F17" i="32"/>
  <c r="F18" i="32"/>
  <c r="H18" i="32" s="1"/>
  <c r="L18" i="32" s="1"/>
  <c r="F19" i="32"/>
  <c r="H19" i="32" s="1"/>
  <c r="L19" i="32" s="1"/>
  <c r="F20" i="32"/>
  <c r="H20" i="32" s="1"/>
  <c r="L20" i="32" s="1"/>
  <c r="F21" i="32"/>
  <c r="H21" i="32" s="1"/>
  <c r="L21" i="32" s="1"/>
  <c r="F22" i="32"/>
  <c r="H22" i="32" s="1"/>
  <c r="L22" i="32" s="1"/>
  <c r="F23" i="32"/>
  <c r="H23" i="32" s="1"/>
  <c r="L23" i="32" s="1"/>
  <c r="F24" i="32"/>
  <c r="H24" i="32" s="1"/>
  <c r="L24" i="32" s="1"/>
  <c r="F25" i="32"/>
  <c r="H25" i="32" s="1"/>
  <c r="L25" i="32" s="1"/>
  <c r="F26" i="32"/>
  <c r="H26" i="32" s="1"/>
  <c r="L26" i="32" s="1"/>
  <c r="F27" i="32"/>
  <c r="H27" i="32" s="1"/>
  <c r="L27" i="32" s="1"/>
  <c r="F28" i="32"/>
  <c r="H28" i="32" s="1"/>
  <c r="L28" i="32" s="1"/>
  <c r="F29" i="32"/>
  <c r="H29" i="32" s="1"/>
  <c r="L29" i="32" s="1"/>
  <c r="F30" i="32"/>
  <c r="H30" i="32" s="1"/>
  <c r="L30" i="32" s="1"/>
  <c r="F31" i="32"/>
  <c r="H31" i="32" s="1"/>
  <c r="L31" i="32" s="1"/>
  <c r="F32" i="32"/>
  <c r="H32" i="32" s="1"/>
  <c r="L32" i="32" s="1"/>
  <c r="F33" i="32"/>
  <c r="H33" i="32" s="1"/>
  <c r="L33" i="32" s="1"/>
  <c r="F34" i="32"/>
  <c r="H34" i="32" s="1"/>
  <c r="L34" i="32" s="1"/>
  <c r="F35" i="32"/>
  <c r="H35" i="32" s="1"/>
  <c r="L35" i="32" s="1"/>
  <c r="F36" i="32"/>
  <c r="H36" i="32" s="1"/>
  <c r="L36" i="32" s="1"/>
  <c r="F37" i="32"/>
  <c r="H37" i="32" s="1"/>
  <c r="L37" i="32" s="1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K386" i="2"/>
  <c r="AE386" i="2" a="1"/>
  <c r="AE386" i="2" s="1"/>
  <c r="AF386" i="2" s="1"/>
  <c r="AC386" i="2" a="1"/>
  <c r="AC386" i="2" s="1"/>
  <c r="AD386" i="2" s="1"/>
  <c r="AA386" i="2"/>
  <c r="AB386" i="2" s="1"/>
  <c r="X386" i="2"/>
  <c r="AK385" i="2"/>
  <c r="AE385" i="2" a="1"/>
  <c r="AE385" i="2" s="1"/>
  <c r="AF385" i="2" s="1"/>
  <c r="AC385" i="2" a="1"/>
  <c r="AC385" i="2" s="1"/>
  <c r="AD385" i="2" s="1"/>
  <c r="AA385" i="2"/>
  <c r="AB385" i="2" s="1"/>
  <c r="X385" i="2"/>
  <c r="AK384" i="2"/>
  <c r="AE384" i="2"/>
  <c r="AF384" i="2" s="1"/>
  <c r="AE384" i="2" a="1"/>
  <c r="AC384" i="2" a="1"/>
  <c r="AC384" i="2" s="1"/>
  <c r="AD384" i="2" s="1"/>
  <c r="AA384" i="2"/>
  <c r="AB384" i="2" s="1"/>
  <c r="X384" i="2"/>
  <c r="AK383" i="2"/>
  <c r="AE383" i="2"/>
  <c r="AF383" i="2" s="1"/>
  <c r="AE383" i="2" a="1"/>
  <c r="AC383" i="2" a="1"/>
  <c r="AC383" i="2" s="1"/>
  <c r="AD383" i="2" s="1"/>
  <c r="AA383" i="2"/>
  <c r="AB383" i="2" s="1"/>
  <c r="X383" i="2"/>
  <c r="AK382" i="2"/>
  <c r="AE382" i="2"/>
  <c r="AF382" i="2" s="1"/>
  <c r="AE382" i="2" a="1"/>
  <c r="AC382" i="2" a="1"/>
  <c r="AC382" i="2" s="1"/>
  <c r="AD382" i="2" s="1"/>
  <c r="AA382" i="2"/>
  <c r="AB382" i="2" s="1"/>
  <c r="X382" i="2"/>
  <c r="AK381" i="2"/>
  <c r="AE381" i="2"/>
  <c r="AF381" i="2" s="1"/>
  <c r="AE381" i="2" a="1"/>
  <c r="AC381" i="2" a="1"/>
  <c r="AC381" i="2" s="1"/>
  <c r="AD381" i="2" s="1"/>
  <c r="AA381" i="2"/>
  <c r="AB381" i="2" s="1"/>
  <c r="X381" i="2"/>
  <c r="AK380" i="2"/>
  <c r="AE380" i="2"/>
  <c r="AF380" i="2" s="1"/>
  <c r="AE380" i="2" a="1"/>
  <c r="AC380" i="2" a="1"/>
  <c r="AC380" i="2" s="1"/>
  <c r="AD380" i="2" s="1"/>
  <c r="AA380" i="2"/>
  <c r="AB380" i="2" s="1"/>
  <c r="X380" i="2"/>
  <c r="AK379" i="2"/>
  <c r="AE379" i="2"/>
  <c r="AF379" i="2" s="1"/>
  <c r="AE379" i="2" a="1"/>
  <c r="AC379" i="2" a="1"/>
  <c r="AC379" i="2" s="1"/>
  <c r="AD379" i="2" s="1"/>
  <c r="AA379" i="2"/>
  <c r="AB379" i="2" s="1"/>
  <c r="X379" i="2"/>
  <c r="AK378" i="2"/>
  <c r="AE378" i="2"/>
  <c r="AF378" i="2" s="1"/>
  <c r="AE378" i="2" a="1"/>
  <c r="AC378" i="2" a="1"/>
  <c r="AC378" i="2" s="1"/>
  <c r="AD378" i="2" s="1"/>
  <c r="AA378" i="2"/>
  <c r="AB378" i="2" s="1"/>
  <c r="X378" i="2"/>
  <c r="AK377" i="2"/>
  <c r="AE377" i="2"/>
  <c r="AF377" i="2" s="1"/>
  <c r="AE377" i="2" a="1"/>
  <c r="AC377" i="2" a="1"/>
  <c r="AC377" i="2" s="1"/>
  <c r="AD377" i="2" s="1"/>
  <c r="AA377" i="2"/>
  <c r="AB377" i="2" s="1"/>
  <c r="X377" i="2"/>
  <c r="AK376" i="2"/>
  <c r="AE376" i="2"/>
  <c r="AF376" i="2" s="1"/>
  <c r="AE376" i="2" a="1"/>
  <c r="AC376" i="2" a="1"/>
  <c r="AC376" i="2" s="1"/>
  <c r="AD376" i="2" s="1"/>
  <c r="AA376" i="2"/>
  <c r="AB376" i="2" s="1"/>
  <c r="X376" i="2"/>
  <c r="AK375" i="2"/>
  <c r="AE375" i="2"/>
  <c r="AF375" i="2" s="1"/>
  <c r="AE375" i="2" a="1"/>
  <c r="AC375" i="2" a="1"/>
  <c r="AC375" i="2" s="1"/>
  <c r="AD375" i="2" s="1"/>
  <c r="AA375" i="2"/>
  <c r="AB375" i="2" s="1"/>
  <c r="X375" i="2"/>
  <c r="AK374" i="2"/>
  <c r="AE374" i="2"/>
  <c r="AF374" i="2" s="1"/>
  <c r="AE374" i="2" a="1"/>
  <c r="AC374" i="2" a="1"/>
  <c r="AC374" i="2" s="1"/>
  <c r="AD374" i="2" s="1"/>
  <c r="AA374" i="2"/>
  <c r="AB374" i="2" s="1"/>
  <c r="X374" i="2"/>
  <c r="AK373" i="2"/>
  <c r="AE373" i="2"/>
  <c r="AF373" i="2" s="1"/>
  <c r="AE373" i="2" a="1"/>
  <c r="AC373" i="2" a="1"/>
  <c r="AC373" i="2" s="1"/>
  <c r="AD373" i="2" s="1"/>
  <c r="AA373" i="2"/>
  <c r="AB373" i="2" s="1"/>
  <c r="X373" i="2"/>
  <c r="AK372" i="2"/>
  <c r="AE372" i="2"/>
  <c r="AF372" i="2" s="1"/>
  <c r="AE372" i="2" a="1"/>
  <c r="AC372" i="2" a="1"/>
  <c r="AC372" i="2" s="1"/>
  <c r="AD372" i="2" s="1"/>
  <c r="AA372" i="2"/>
  <c r="AB372" i="2" s="1"/>
  <c r="X372" i="2"/>
  <c r="AK371" i="2"/>
  <c r="AE371" i="2"/>
  <c r="AF371" i="2" s="1"/>
  <c r="AE371" i="2" a="1"/>
  <c r="AC371" i="2" a="1"/>
  <c r="AC371" i="2" s="1"/>
  <c r="AD371" i="2" s="1"/>
  <c r="AA371" i="2"/>
  <c r="AB371" i="2" s="1"/>
  <c r="X371" i="2"/>
  <c r="AK370" i="2"/>
  <c r="AE370" i="2"/>
  <c r="AF370" i="2" s="1"/>
  <c r="AE370" i="2" a="1"/>
  <c r="AC370" i="2" a="1"/>
  <c r="AC370" i="2" s="1"/>
  <c r="AD370" i="2" s="1"/>
  <c r="AA370" i="2"/>
  <c r="AB370" i="2" s="1"/>
  <c r="X370" i="2"/>
  <c r="AK369" i="2"/>
  <c r="AE369" i="2"/>
  <c r="AF369" i="2" s="1"/>
  <c r="AE369" i="2" a="1"/>
  <c r="AC369" i="2" a="1"/>
  <c r="AC369" i="2" s="1"/>
  <c r="AD369" i="2" s="1"/>
  <c r="AA369" i="2"/>
  <c r="AB369" i="2" s="1"/>
  <c r="X369" i="2"/>
  <c r="AK368" i="2"/>
  <c r="AE368" i="2"/>
  <c r="AF368" i="2" s="1"/>
  <c r="AE368" i="2" a="1"/>
  <c r="AC368" i="2" a="1"/>
  <c r="AC368" i="2" s="1"/>
  <c r="AD368" i="2" s="1"/>
  <c r="AA368" i="2"/>
  <c r="AB368" i="2" s="1"/>
  <c r="X368" i="2"/>
  <c r="AK367" i="2"/>
  <c r="AE367" i="2"/>
  <c r="AF367" i="2" s="1"/>
  <c r="AE367" i="2" a="1"/>
  <c r="AC367" i="2" a="1"/>
  <c r="AC367" i="2" s="1"/>
  <c r="AD367" i="2" s="1"/>
  <c r="AA367" i="2"/>
  <c r="AB367" i="2" s="1"/>
  <c r="X367" i="2"/>
  <c r="AK366" i="2"/>
  <c r="AE366" i="2"/>
  <c r="AF366" i="2" s="1"/>
  <c r="AE366" i="2" a="1"/>
  <c r="AC366" i="2" a="1"/>
  <c r="AC366" i="2" s="1"/>
  <c r="AD366" i="2" s="1"/>
  <c r="AA366" i="2"/>
  <c r="AB366" i="2" s="1"/>
  <c r="X366" i="2"/>
  <c r="AK365" i="2"/>
  <c r="AE365" i="2"/>
  <c r="AF365" i="2" s="1"/>
  <c r="AE365" i="2" a="1"/>
  <c r="AC365" i="2" a="1"/>
  <c r="AC365" i="2" s="1"/>
  <c r="AD365" i="2" s="1"/>
  <c r="AA365" i="2"/>
  <c r="AB365" i="2" s="1"/>
  <c r="X365" i="2"/>
  <c r="AK364" i="2"/>
  <c r="AE364" i="2"/>
  <c r="AF364" i="2" s="1"/>
  <c r="AE364" i="2" a="1"/>
  <c r="AC364" i="2" a="1"/>
  <c r="AC364" i="2" s="1"/>
  <c r="AD364" i="2" s="1"/>
  <c r="AA364" i="2"/>
  <c r="AB364" i="2" s="1"/>
  <c r="AK363" i="2"/>
  <c r="AE363" i="2" a="1"/>
  <c r="AE363" i="2" s="1"/>
  <c r="AF363" i="2" s="1"/>
  <c r="AC363" i="2"/>
  <c r="AD363" i="2" s="1"/>
  <c r="AC363" i="2" a="1"/>
  <c r="AB363" i="2"/>
  <c r="AA363" i="2"/>
  <c r="X363" i="2"/>
  <c r="AK362" i="2"/>
  <c r="AE362" i="2" a="1"/>
  <c r="AE362" i="2" s="1"/>
  <c r="AF362" i="2" s="1"/>
  <c r="AC362" i="2"/>
  <c r="AD362" i="2" s="1"/>
  <c r="AC362" i="2" a="1"/>
  <c r="AB362" i="2"/>
  <c r="AA362" i="2"/>
  <c r="X362" i="2"/>
  <c r="AK361" i="2"/>
  <c r="AE361" i="2" a="1"/>
  <c r="AE361" i="2" s="1"/>
  <c r="AF361" i="2" s="1"/>
  <c r="AC361" i="2"/>
  <c r="AD361" i="2" s="1"/>
  <c r="AC361" i="2" a="1"/>
  <c r="AB361" i="2"/>
  <c r="AA361" i="2"/>
  <c r="X361" i="2"/>
  <c r="AK360" i="2"/>
  <c r="AE360" i="2" a="1"/>
  <c r="AE360" i="2" s="1"/>
  <c r="AF360" i="2" s="1"/>
  <c r="AC360" i="2"/>
  <c r="AD360" i="2" s="1"/>
  <c r="AC360" i="2" a="1"/>
  <c r="AB360" i="2"/>
  <c r="AA360" i="2"/>
  <c r="X360" i="2"/>
  <c r="AK359" i="2"/>
  <c r="AE359" i="2" a="1"/>
  <c r="AE359" i="2" s="1"/>
  <c r="AF359" i="2" s="1"/>
  <c r="AC359" i="2"/>
  <c r="AD359" i="2" s="1"/>
  <c r="AC359" i="2" a="1"/>
  <c r="AB359" i="2"/>
  <c r="AA359" i="2"/>
  <c r="X359" i="2"/>
  <c r="AK358" i="2"/>
  <c r="AE358" i="2" a="1"/>
  <c r="AE358" i="2" s="1"/>
  <c r="AF358" i="2" s="1"/>
  <c r="AC358" i="2"/>
  <c r="AD358" i="2" s="1"/>
  <c r="AC358" i="2" a="1"/>
  <c r="AB358" i="2"/>
  <c r="AA358" i="2"/>
  <c r="X358" i="2"/>
  <c r="AK357" i="2"/>
  <c r="AE357" i="2" a="1"/>
  <c r="AE357" i="2" s="1"/>
  <c r="AF357" i="2" s="1"/>
  <c r="AC357" i="2"/>
  <c r="AD357" i="2" s="1"/>
  <c r="AC357" i="2" a="1"/>
  <c r="AB357" i="2"/>
  <c r="AA357" i="2"/>
  <c r="X357" i="2"/>
  <c r="AK356" i="2"/>
  <c r="AE356" i="2" a="1"/>
  <c r="AE356" i="2" s="1"/>
  <c r="AF356" i="2" s="1"/>
  <c r="AC356" i="2"/>
  <c r="AD356" i="2" s="1"/>
  <c r="AC356" i="2" a="1"/>
  <c r="AB356" i="2"/>
  <c r="AA356" i="2"/>
  <c r="X356" i="2"/>
  <c r="AK355" i="2"/>
  <c r="AE355" i="2" a="1"/>
  <c r="AE355" i="2" s="1"/>
  <c r="AF355" i="2" s="1"/>
  <c r="AC355" i="2"/>
  <c r="AD355" i="2" s="1"/>
  <c r="AC355" i="2" a="1"/>
  <c r="AB355" i="2"/>
  <c r="AA355" i="2"/>
  <c r="X355" i="2"/>
  <c r="AK354" i="2"/>
  <c r="AE354" i="2" a="1"/>
  <c r="AE354" i="2" s="1"/>
  <c r="AF354" i="2" s="1"/>
  <c r="AC354" i="2" a="1"/>
  <c r="AC354" i="2" s="1"/>
  <c r="AD354" i="2" s="1"/>
  <c r="AB354" i="2"/>
  <c r="AA354" i="2"/>
  <c r="X354" i="2"/>
  <c r="AK353" i="2"/>
  <c r="AE353" i="2" a="1"/>
  <c r="AE353" i="2" s="1"/>
  <c r="AF353" i="2" s="1"/>
  <c r="AC353" i="2"/>
  <c r="AD353" i="2" s="1"/>
  <c r="AC353" i="2" a="1"/>
  <c r="AB353" i="2"/>
  <c r="AA353" i="2"/>
  <c r="X353" i="2"/>
  <c r="AK352" i="2"/>
  <c r="AE352" i="2" a="1"/>
  <c r="AE352" i="2" s="1"/>
  <c r="AF352" i="2" s="1"/>
  <c r="AC352" i="2"/>
  <c r="AD352" i="2" s="1"/>
  <c r="AC352" i="2" a="1"/>
  <c r="AB352" i="2"/>
  <c r="AA352" i="2"/>
  <c r="X352" i="2"/>
  <c r="AK351" i="2"/>
  <c r="AE351" i="2" a="1"/>
  <c r="AE351" i="2" s="1"/>
  <c r="AF351" i="2" s="1"/>
  <c r="AC351" i="2"/>
  <c r="AD351" i="2" s="1"/>
  <c r="AC351" i="2" a="1"/>
  <c r="AA351" i="2"/>
  <c r="AB351" i="2" s="1"/>
  <c r="X351" i="2"/>
  <c r="AK350" i="2"/>
  <c r="AE350" i="2" a="1"/>
  <c r="AE350" i="2" s="1"/>
  <c r="AF350" i="2" s="1"/>
  <c r="AC350" i="2" a="1"/>
  <c r="AC350" i="2" s="1"/>
  <c r="AD350" i="2" s="1"/>
  <c r="AB350" i="2"/>
  <c r="AA350" i="2"/>
  <c r="X350" i="2"/>
  <c r="AK349" i="2"/>
  <c r="AF349" i="2"/>
  <c r="AE349" i="2"/>
  <c r="AE349" i="2" a="1"/>
  <c r="AC349" i="2"/>
  <c r="AD349" i="2" s="1"/>
  <c r="AC349" i="2" a="1"/>
  <c r="AB349" i="2"/>
  <c r="AA349" i="2"/>
  <c r="X349" i="2"/>
  <c r="AK348" i="2"/>
  <c r="AE348" i="2"/>
  <c r="AF348" i="2" s="1"/>
  <c r="AE348" i="2" a="1"/>
  <c r="AC348" i="2" a="1"/>
  <c r="AC348" i="2" s="1"/>
  <c r="AD348" i="2" s="1"/>
  <c r="AB348" i="2"/>
  <c r="AA348" i="2"/>
  <c r="X348" i="2"/>
  <c r="AK347" i="2"/>
  <c r="AE347" i="2" a="1"/>
  <c r="AE347" i="2" s="1"/>
  <c r="AF347" i="2" s="1"/>
  <c r="AC347" i="2" a="1"/>
  <c r="AC347" i="2" s="1"/>
  <c r="AD347" i="2" s="1"/>
  <c r="AA347" i="2"/>
  <c r="AB347" i="2" s="1"/>
  <c r="X347" i="2"/>
  <c r="AK346" i="2"/>
  <c r="AE346" i="2" a="1"/>
  <c r="AE346" i="2" s="1"/>
  <c r="AF346" i="2" s="1"/>
  <c r="AC346" i="2" a="1"/>
  <c r="AC346" i="2" s="1"/>
  <c r="AD346" i="2" s="1"/>
  <c r="AB346" i="2"/>
  <c r="AA346" i="2"/>
  <c r="X346" i="2"/>
  <c r="AK345" i="2"/>
  <c r="AE345" i="2" a="1"/>
  <c r="AE345" i="2" s="1"/>
  <c r="AF345" i="2" s="1"/>
  <c r="AC345" i="2" a="1"/>
  <c r="AC345" i="2" s="1"/>
  <c r="AD345" i="2" s="1"/>
  <c r="AA345" i="2"/>
  <c r="AB345" i="2" s="1"/>
  <c r="X345" i="2"/>
  <c r="AK344" i="2"/>
  <c r="AE344" i="2"/>
  <c r="AF344" i="2" s="1"/>
  <c r="AE344" i="2" a="1"/>
  <c r="AC344" i="2"/>
  <c r="AD344" i="2" s="1"/>
  <c r="AC344" i="2" a="1"/>
  <c r="AA344" i="2"/>
  <c r="AB344" i="2" s="1"/>
  <c r="X344" i="2"/>
  <c r="AK343" i="2"/>
  <c r="AE343" i="2"/>
  <c r="AF343" i="2" s="1"/>
  <c r="AE343" i="2" a="1"/>
  <c r="AC343" i="2"/>
  <c r="AD343" i="2" s="1"/>
  <c r="AC343" i="2" a="1"/>
  <c r="AA343" i="2"/>
  <c r="AB343" i="2" s="1"/>
  <c r="X343" i="2"/>
  <c r="AK342" i="2"/>
  <c r="AE342" i="2" a="1"/>
  <c r="AE342" i="2" s="1"/>
  <c r="AF342" i="2" s="1"/>
  <c r="AC342" i="2" a="1"/>
  <c r="AC342" i="2" s="1"/>
  <c r="AD342" i="2" s="1"/>
  <c r="AA342" i="2"/>
  <c r="AB342" i="2" s="1"/>
  <c r="X342" i="2"/>
  <c r="AK341" i="2"/>
  <c r="AF341" i="2"/>
  <c r="AE341" i="2"/>
  <c r="AE341" i="2" a="1"/>
  <c r="AC341" i="2" a="1"/>
  <c r="AC341" i="2" s="1"/>
  <c r="AD341" i="2" s="1"/>
  <c r="AB341" i="2"/>
  <c r="AA341" i="2"/>
  <c r="X341" i="2"/>
  <c r="AK340" i="2"/>
  <c r="AE340" i="2"/>
  <c r="AF340" i="2" s="1"/>
  <c r="AE340" i="2" a="1"/>
  <c r="AC340" i="2" a="1"/>
  <c r="AC340" i="2" s="1"/>
  <c r="AD340" i="2" s="1"/>
  <c r="AB340" i="2"/>
  <c r="AA340" i="2"/>
  <c r="X340" i="2"/>
  <c r="AK339" i="2"/>
  <c r="AE339" i="2" a="1"/>
  <c r="AE339" i="2" s="1"/>
  <c r="AF339" i="2" s="1"/>
  <c r="AC339" i="2" a="1"/>
  <c r="AC339" i="2" s="1"/>
  <c r="AD339" i="2" s="1"/>
  <c r="AA339" i="2"/>
  <c r="AB339" i="2" s="1"/>
  <c r="X339" i="2"/>
  <c r="AK338" i="2"/>
  <c r="AE338" i="2"/>
  <c r="AF338" i="2" s="1"/>
  <c r="AE338" i="2" a="1"/>
  <c r="AC338" i="2" a="1"/>
  <c r="AC338" i="2" s="1"/>
  <c r="AD338" i="2" s="1"/>
  <c r="AA338" i="2"/>
  <c r="AB338" i="2" s="1"/>
  <c r="X338" i="2"/>
  <c r="AK337" i="2"/>
  <c r="AE337" i="2"/>
  <c r="AF337" i="2" s="1"/>
  <c r="AE337" i="2" a="1"/>
  <c r="AC337" i="2" a="1"/>
  <c r="AC337" i="2" s="1"/>
  <c r="AD337" i="2" s="1"/>
  <c r="AA337" i="2"/>
  <c r="AB337" i="2" s="1"/>
  <c r="X337" i="2"/>
  <c r="AK336" i="2"/>
  <c r="AE336" i="2"/>
  <c r="AF336" i="2" s="1"/>
  <c r="AE336" i="2" a="1"/>
  <c r="AC336" i="2"/>
  <c r="AD336" i="2" s="1"/>
  <c r="AC336" i="2" a="1"/>
  <c r="AA336" i="2"/>
  <c r="AB336" i="2" s="1"/>
  <c r="X336" i="2"/>
  <c r="AK335" i="2"/>
  <c r="AE335" i="2"/>
  <c r="AF335" i="2" s="1"/>
  <c r="AE335" i="2" a="1"/>
  <c r="AC335" i="2" a="1"/>
  <c r="AC335" i="2" s="1"/>
  <c r="AD335" i="2" s="1"/>
  <c r="AA335" i="2"/>
  <c r="AB335" i="2" s="1"/>
  <c r="X335" i="2"/>
  <c r="AK334" i="2"/>
  <c r="AF334" i="2"/>
  <c r="AE334" i="2"/>
  <c r="AE334" i="2" a="1"/>
  <c r="AC334" i="2" a="1"/>
  <c r="AC334" i="2" s="1"/>
  <c r="AD334" i="2" s="1"/>
  <c r="AA334" i="2"/>
  <c r="AB334" i="2" s="1"/>
  <c r="X334" i="2"/>
  <c r="AK333" i="2"/>
  <c r="AE333" i="2"/>
  <c r="AF333" i="2" s="1"/>
  <c r="AE333" i="2" a="1"/>
  <c r="AC333" i="2" a="1"/>
  <c r="AC333" i="2" s="1"/>
  <c r="AD333" i="2" s="1"/>
  <c r="AB333" i="2"/>
  <c r="AA333" i="2"/>
  <c r="X333" i="2"/>
  <c r="AK332" i="2"/>
  <c r="AE332" i="2"/>
  <c r="AF332" i="2" s="1"/>
  <c r="AE332" i="2" a="1"/>
  <c r="AC332" i="2" a="1"/>
  <c r="AC332" i="2" s="1"/>
  <c r="AD332" i="2" s="1"/>
  <c r="AA332" i="2"/>
  <c r="AB332" i="2" s="1"/>
  <c r="X332" i="2"/>
  <c r="AK331" i="2"/>
  <c r="AE331" i="2" a="1"/>
  <c r="AE331" i="2" s="1"/>
  <c r="AF331" i="2" s="1"/>
  <c r="AC331" i="2" a="1"/>
  <c r="AC331" i="2" s="1"/>
  <c r="AD331" i="2" s="1"/>
  <c r="AA331" i="2"/>
  <c r="AB331" i="2" s="1"/>
  <c r="X331" i="2"/>
  <c r="AK330" i="2"/>
  <c r="AE330" i="2"/>
  <c r="AF330" i="2" s="1"/>
  <c r="AE330" i="2" a="1"/>
  <c r="AC330" i="2" a="1"/>
  <c r="AC330" i="2" s="1"/>
  <c r="AD330" i="2" s="1"/>
  <c r="AA330" i="2"/>
  <c r="AB330" i="2" s="1"/>
  <c r="X330" i="2"/>
  <c r="AK329" i="2"/>
  <c r="AE329" i="2"/>
  <c r="AF329" i="2" s="1"/>
  <c r="AE329" i="2" a="1"/>
  <c r="AC329" i="2" a="1"/>
  <c r="AC329" i="2" s="1"/>
  <c r="AD329" i="2" s="1"/>
  <c r="AA329" i="2"/>
  <c r="AB329" i="2" s="1"/>
  <c r="X329" i="2"/>
  <c r="AK328" i="2"/>
  <c r="AE328" i="2"/>
  <c r="AF328" i="2" s="1"/>
  <c r="AE328" i="2" a="1"/>
  <c r="AC328" i="2" a="1"/>
  <c r="AC328" i="2" s="1"/>
  <c r="AD328" i="2" s="1"/>
  <c r="AA328" i="2"/>
  <c r="AB328" i="2" s="1"/>
  <c r="X328" i="2"/>
  <c r="AK327" i="2"/>
  <c r="AE327" i="2"/>
  <c r="AF327" i="2" s="1"/>
  <c r="AE327" i="2" a="1"/>
  <c r="AC327" i="2" a="1"/>
  <c r="AC327" i="2" s="1"/>
  <c r="AD327" i="2" s="1"/>
  <c r="AA327" i="2"/>
  <c r="AB327" i="2" s="1"/>
  <c r="X327" i="2"/>
  <c r="AK326" i="2"/>
  <c r="AE326" i="2"/>
  <c r="AF326" i="2" s="1"/>
  <c r="AE326" i="2" a="1"/>
  <c r="AC326" i="2" a="1"/>
  <c r="AC326" i="2" s="1"/>
  <c r="AD326" i="2" s="1"/>
  <c r="AA326" i="2"/>
  <c r="AB326" i="2" s="1"/>
  <c r="X326" i="2"/>
  <c r="AK325" i="2"/>
  <c r="AE325" i="2"/>
  <c r="AF325" i="2" s="1"/>
  <c r="AE325" i="2" a="1"/>
  <c r="AC325" i="2" a="1"/>
  <c r="AC325" i="2" s="1"/>
  <c r="AD325" i="2" s="1"/>
  <c r="AA325" i="2"/>
  <c r="AB325" i="2" s="1"/>
  <c r="X325" i="2"/>
  <c r="AK324" i="2"/>
  <c r="AE324" i="2"/>
  <c r="AF324" i="2" s="1"/>
  <c r="AE324" i="2" a="1"/>
  <c r="AC324" i="2" a="1"/>
  <c r="AC324" i="2" s="1"/>
  <c r="AD324" i="2" s="1"/>
  <c r="AA324" i="2"/>
  <c r="AB324" i="2" s="1"/>
  <c r="X324" i="2"/>
  <c r="AK323" i="2"/>
  <c r="AE323" i="2"/>
  <c r="AF323" i="2" s="1"/>
  <c r="AE323" i="2" a="1"/>
  <c r="AC323" i="2" a="1"/>
  <c r="AC323" i="2" s="1"/>
  <c r="AD323" i="2" s="1"/>
  <c r="AA323" i="2"/>
  <c r="AB323" i="2" s="1"/>
  <c r="X323" i="2"/>
  <c r="AK322" i="2"/>
  <c r="AE322" i="2"/>
  <c r="AF322" i="2" s="1"/>
  <c r="AE322" i="2" a="1"/>
  <c r="AC322" i="2" a="1"/>
  <c r="AC322" i="2" s="1"/>
  <c r="AD322" i="2" s="1"/>
  <c r="AA322" i="2"/>
  <c r="AB322" i="2" s="1"/>
  <c r="X322" i="2"/>
  <c r="AK321" i="2"/>
  <c r="AE321" i="2"/>
  <c r="AF321" i="2" s="1"/>
  <c r="AE321" i="2" a="1"/>
  <c r="AC321" i="2" a="1"/>
  <c r="AC321" i="2" s="1"/>
  <c r="AD321" i="2" s="1"/>
  <c r="AA321" i="2"/>
  <c r="AB321" i="2" s="1"/>
  <c r="X321" i="2"/>
  <c r="AK320" i="2"/>
  <c r="AE320" i="2"/>
  <c r="AF320" i="2" s="1"/>
  <c r="AE320" i="2" a="1"/>
  <c r="AC320" i="2" a="1"/>
  <c r="AC320" i="2" s="1"/>
  <c r="AD320" i="2" s="1"/>
  <c r="AA320" i="2"/>
  <c r="AB320" i="2" s="1"/>
  <c r="X320" i="2"/>
  <c r="AK319" i="2"/>
  <c r="AE319" i="2"/>
  <c r="AF319" i="2" s="1"/>
  <c r="AE319" i="2" a="1"/>
  <c r="AC319" i="2" a="1"/>
  <c r="AC319" i="2" s="1"/>
  <c r="AD319" i="2" s="1"/>
  <c r="AA319" i="2"/>
  <c r="AB319" i="2" s="1"/>
  <c r="X319" i="2"/>
  <c r="AK318" i="2"/>
  <c r="AE318" i="2"/>
  <c r="AF318" i="2" s="1"/>
  <c r="AE318" i="2" a="1"/>
  <c r="AC318" i="2" a="1"/>
  <c r="AC318" i="2" s="1"/>
  <c r="AD318" i="2" s="1"/>
  <c r="AA318" i="2"/>
  <c r="AB318" i="2" s="1"/>
  <c r="X318" i="2"/>
  <c r="AK317" i="2"/>
  <c r="AE317" i="2"/>
  <c r="AF317" i="2" s="1"/>
  <c r="AE317" i="2" a="1"/>
  <c r="AC317" i="2" a="1"/>
  <c r="AC317" i="2" s="1"/>
  <c r="AD317" i="2" s="1"/>
  <c r="AA317" i="2"/>
  <c r="AB317" i="2" s="1"/>
  <c r="X317" i="2"/>
  <c r="AK316" i="2"/>
  <c r="AE316" i="2"/>
  <c r="AF316" i="2" s="1"/>
  <c r="AE316" i="2" a="1"/>
  <c r="AC316" i="2" a="1"/>
  <c r="AC316" i="2" s="1"/>
  <c r="AD316" i="2" s="1"/>
  <c r="AA316" i="2"/>
  <c r="AB316" i="2" s="1"/>
  <c r="X316" i="2"/>
  <c r="AK315" i="2"/>
  <c r="AE315" i="2"/>
  <c r="AF315" i="2" s="1"/>
  <c r="AE315" i="2" a="1"/>
  <c r="AC315" i="2" a="1"/>
  <c r="AC315" i="2" s="1"/>
  <c r="AD315" i="2" s="1"/>
  <c r="AA315" i="2"/>
  <c r="AB315" i="2" s="1"/>
  <c r="X315" i="2"/>
  <c r="AK314" i="2"/>
  <c r="AE314" i="2"/>
  <c r="AF314" i="2" s="1"/>
  <c r="AE314" i="2" a="1"/>
  <c r="AC314" i="2" a="1"/>
  <c r="AC314" i="2" s="1"/>
  <c r="AD314" i="2" s="1"/>
  <c r="AA314" i="2"/>
  <c r="AB314" i="2" s="1"/>
  <c r="X314" i="2"/>
  <c r="AK313" i="2"/>
  <c r="AE313" i="2"/>
  <c r="AF313" i="2" s="1"/>
  <c r="AE313" i="2" a="1"/>
  <c r="AC313" i="2" a="1"/>
  <c r="AC313" i="2" s="1"/>
  <c r="AD313" i="2" s="1"/>
  <c r="AA313" i="2"/>
  <c r="AB313" i="2" s="1"/>
  <c r="X313" i="2"/>
  <c r="AK312" i="2"/>
  <c r="AE312" i="2"/>
  <c r="AF312" i="2" s="1"/>
  <c r="AE312" i="2" a="1"/>
  <c r="AC312" i="2" a="1"/>
  <c r="AC312" i="2" s="1"/>
  <c r="AD312" i="2" s="1"/>
  <c r="AA312" i="2"/>
  <c r="AB312" i="2" s="1"/>
  <c r="X312" i="2"/>
  <c r="AK311" i="2"/>
  <c r="AE311" i="2"/>
  <c r="AF311" i="2" s="1"/>
  <c r="AE311" i="2" a="1"/>
  <c r="AC311" i="2" a="1"/>
  <c r="AC311" i="2" s="1"/>
  <c r="AD311" i="2" s="1"/>
  <c r="AA311" i="2"/>
  <c r="AB311" i="2" s="1"/>
  <c r="X311" i="2"/>
  <c r="AK310" i="2"/>
  <c r="AE310" i="2"/>
  <c r="AF310" i="2" s="1"/>
  <c r="AE310" i="2" a="1"/>
  <c r="AC310" i="2" a="1"/>
  <c r="AC310" i="2" s="1"/>
  <c r="AD310" i="2" s="1"/>
  <c r="AA310" i="2"/>
  <c r="AB310" i="2" s="1"/>
  <c r="X310" i="2"/>
  <c r="AK309" i="2"/>
  <c r="AE309" i="2"/>
  <c r="AF309" i="2" s="1"/>
  <c r="AE309" i="2" a="1"/>
  <c r="AC309" i="2" a="1"/>
  <c r="AC309" i="2" s="1"/>
  <c r="AD309" i="2" s="1"/>
  <c r="AA309" i="2"/>
  <c r="AB309" i="2" s="1"/>
  <c r="X309" i="2"/>
  <c r="AK308" i="2"/>
  <c r="AE308" i="2"/>
  <c r="AF308" i="2" s="1"/>
  <c r="AE308" i="2" a="1"/>
  <c r="AC308" i="2" a="1"/>
  <c r="AC308" i="2" s="1"/>
  <c r="AD308" i="2" s="1"/>
  <c r="AA308" i="2"/>
  <c r="AB308" i="2" s="1"/>
  <c r="X308" i="2"/>
  <c r="AK307" i="2"/>
  <c r="AE307" i="2"/>
  <c r="AF307" i="2" s="1"/>
  <c r="AE307" i="2" a="1"/>
  <c r="AC307" i="2" a="1"/>
  <c r="AC307" i="2" s="1"/>
  <c r="AD307" i="2" s="1"/>
  <c r="AA307" i="2"/>
  <c r="AB307" i="2" s="1"/>
  <c r="X307" i="2"/>
  <c r="AK306" i="2"/>
  <c r="AE306" i="2"/>
  <c r="AF306" i="2" s="1"/>
  <c r="AE306" i="2" a="1"/>
  <c r="AC306" i="2" a="1"/>
  <c r="AC306" i="2" s="1"/>
  <c r="AD306" i="2" s="1"/>
  <c r="AA306" i="2"/>
  <c r="AB306" i="2" s="1"/>
  <c r="X306" i="2"/>
  <c r="AK305" i="2"/>
  <c r="AE305" i="2"/>
  <c r="AF305" i="2" s="1"/>
  <c r="AE305" i="2" a="1"/>
  <c r="AC305" i="2" a="1"/>
  <c r="AC305" i="2" s="1"/>
  <c r="AD305" i="2" s="1"/>
  <c r="AA305" i="2"/>
  <c r="AB305" i="2" s="1"/>
  <c r="X305" i="2"/>
  <c r="AK304" i="2"/>
  <c r="AE304" i="2"/>
  <c r="AF304" i="2" s="1"/>
  <c r="AE304" i="2" a="1"/>
  <c r="AC304" i="2" a="1"/>
  <c r="AC304" i="2" s="1"/>
  <c r="AD304" i="2" s="1"/>
  <c r="AA304" i="2"/>
  <c r="AB304" i="2" s="1"/>
  <c r="X304" i="2"/>
  <c r="AK303" i="2"/>
  <c r="AE303" i="2"/>
  <c r="AF303" i="2" s="1"/>
  <c r="AE303" i="2" a="1"/>
  <c r="AC303" i="2" a="1"/>
  <c r="AC303" i="2" s="1"/>
  <c r="AD303" i="2" s="1"/>
  <c r="AA303" i="2"/>
  <c r="AB303" i="2" s="1"/>
  <c r="X303" i="2"/>
  <c r="AK302" i="2"/>
  <c r="AE302" i="2"/>
  <c r="AF302" i="2" s="1"/>
  <c r="AE302" i="2" a="1"/>
  <c r="AC302" i="2" a="1"/>
  <c r="AC302" i="2" s="1"/>
  <c r="AD302" i="2" s="1"/>
  <c r="AA302" i="2"/>
  <c r="AB302" i="2" s="1"/>
  <c r="X302" i="2"/>
  <c r="AK301" i="2"/>
  <c r="AE301" i="2"/>
  <c r="AF301" i="2" s="1"/>
  <c r="AE301" i="2" a="1"/>
  <c r="AC301" i="2" a="1"/>
  <c r="AC301" i="2" s="1"/>
  <c r="AD301" i="2" s="1"/>
  <c r="AA301" i="2"/>
  <c r="AB301" i="2" s="1"/>
  <c r="X301" i="2"/>
  <c r="AK300" i="2"/>
  <c r="AE300" i="2"/>
  <c r="AF300" i="2" s="1"/>
  <c r="AE300" i="2" a="1"/>
  <c r="AC300" i="2" a="1"/>
  <c r="AC300" i="2" s="1"/>
  <c r="AD300" i="2" s="1"/>
  <c r="AA300" i="2"/>
  <c r="AB300" i="2" s="1"/>
  <c r="X300" i="2"/>
  <c r="AK299" i="2"/>
  <c r="AE299" i="2"/>
  <c r="AF299" i="2" s="1"/>
  <c r="AE299" i="2" a="1"/>
  <c r="AC299" i="2" a="1"/>
  <c r="AC299" i="2" s="1"/>
  <c r="AD299" i="2" s="1"/>
  <c r="AA299" i="2"/>
  <c r="AB299" i="2" s="1"/>
  <c r="X299" i="2"/>
  <c r="AK298" i="2"/>
  <c r="AE298" i="2"/>
  <c r="AF298" i="2" s="1"/>
  <c r="AE298" i="2" a="1"/>
  <c r="AC298" i="2" a="1"/>
  <c r="AC298" i="2" s="1"/>
  <c r="AD298" i="2" s="1"/>
  <c r="AA298" i="2"/>
  <c r="AB298" i="2" s="1"/>
  <c r="X298" i="2"/>
  <c r="AK297" i="2"/>
  <c r="AE297" i="2"/>
  <c r="AF297" i="2" s="1"/>
  <c r="AE297" i="2" a="1"/>
  <c r="AC297" i="2" a="1"/>
  <c r="AC297" i="2" s="1"/>
  <c r="AD297" i="2" s="1"/>
  <c r="AA297" i="2"/>
  <c r="AB297" i="2" s="1"/>
  <c r="X297" i="2"/>
  <c r="AK296" i="2"/>
  <c r="AE296" i="2"/>
  <c r="AF296" i="2" s="1"/>
  <c r="AE296" i="2" a="1"/>
  <c r="AC296" i="2" a="1"/>
  <c r="AC296" i="2" s="1"/>
  <c r="AD296" i="2" s="1"/>
  <c r="AA296" i="2"/>
  <c r="AB296" i="2" s="1"/>
  <c r="X296" i="2"/>
  <c r="AK295" i="2"/>
  <c r="AE295" i="2"/>
  <c r="AF295" i="2" s="1"/>
  <c r="AE295" i="2" a="1"/>
  <c r="AC295" i="2" a="1"/>
  <c r="AC295" i="2" s="1"/>
  <c r="AD295" i="2" s="1"/>
  <c r="AA295" i="2"/>
  <c r="AB295" i="2" s="1"/>
  <c r="X295" i="2"/>
  <c r="AK294" i="2"/>
  <c r="AE294" i="2"/>
  <c r="AF294" i="2" s="1"/>
  <c r="AE294" i="2" a="1"/>
  <c r="AC294" i="2" a="1"/>
  <c r="AC294" i="2" s="1"/>
  <c r="AD294" i="2" s="1"/>
  <c r="AA294" i="2"/>
  <c r="AB294" i="2" s="1"/>
  <c r="X294" i="2"/>
  <c r="AK293" i="2"/>
  <c r="AE293" i="2"/>
  <c r="AF293" i="2" s="1"/>
  <c r="AE293" i="2" a="1"/>
  <c r="AC293" i="2" a="1"/>
  <c r="AC293" i="2" s="1"/>
  <c r="AD293" i="2" s="1"/>
  <c r="AA293" i="2"/>
  <c r="AB293" i="2" s="1"/>
  <c r="X293" i="2"/>
  <c r="AK292" i="2"/>
  <c r="AE292" i="2"/>
  <c r="AF292" i="2" s="1"/>
  <c r="AE292" i="2" a="1"/>
  <c r="AC292" i="2" a="1"/>
  <c r="AC292" i="2" s="1"/>
  <c r="AD292" i="2" s="1"/>
  <c r="AA292" i="2"/>
  <c r="AB292" i="2" s="1"/>
  <c r="X292" i="2"/>
  <c r="AK291" i="2"/>
  <c r="AE291" i="2"/>
  <c r="AF291" i="2" s="1"/>
  <c r="AE291" i="2" a="1"/>
  <c r="AC291" i="2" a="1"/>
  <c r="AC291" i="2" s="1"/>
  <c r="AD291" i="2" s="1"/>
  <c r="AA291" i="2"/>
  <c r="AB291" i="2" s="1"/>
  <c r="X291" i="2"/>
  <c r="AK290" i="2"/>
  <c r="AE290" i="2"/>
  <c r="AF290" i="2" s="1"/>
  <c r="AE290" i="2" a="1"/>
  <c r="AC290" i="2" a="1"/>
  <c r="AC290" i="2" s="1"/>
  <c r="AD290" i="2" s="1"/>
  <c r="AA290" i="2"/>
  <c r="AB290" i="2" s="1"/>
  <c r="X290" i="2"/>
  <c r="AK289" i="2"/>
  <c r="AE289" i="2"/>
  <c r="AF289" i="2" s="1"/>
  <c r="AE289" i="2" a="1"/>
  <c r="AC289" i="2" a="1"/>
  <c r="AC289" i="2" s="1"/>
  <c r="AD289" i="2" s="1"/>
  <c r="AA289" i="2"/>
  <c r="AB289" i="2" s="1"/>
  <c r="X289" i="2"/>
  <c r="AK288" i="2"/>
  <c r="AE288" i="2"/>
  <c r="AF288" i="2" s="1"/>
  <c r="AE288" i="2" a="1"/>
  <c r="AC288" i="2" a="1"/>
  <c r="AC288" i="2" s="1"/>
  <c r="AD288" i="2" s="1"/>
  <c r="AA288" i="2"/>
  <c r="AB288" i="2" s="1"/>
  <c r="X288" i="2"/>
  <c r="AK287" i="2"/>
  <c r="AE287" i="2"/>
  <c r="AF287" i="2" s="1"/>
  <c r="AE287" i="2" a="1"/>
  <c r="AC287" i="2" a="1"/>
  <c r="AC287" i="2" s="1"/>
  <c r="AD287" i="2" s="1"/>
  <c r="AA287" i="2"/>
  <c r="AB287" i="2" s="1"/>
  <c r="X287" i="2"/>
  <c r="AK286" i="2"/>
  <c r="AE286" i="2"/>
  <c r="AF286" i="2" s="1"/>
  <c r="AE286" i="2" a="1"/>
  <c r="AC286" i="2" a="1"/>
  <c r="AC286" i="2" s="1"/>
  <c r="AD286" i="2" s="1"/>
  <c r="AA286" i="2"/>
  <c r="AB286" i="2" s="1"/>
  <c r="X286" i="2"/>
  <c r="AK285" i="2"/>
  <c r="AE285" i="2"/>
  <c r="AF285" i="2" s="1"/>
  <c r="AE285" i="2" a="1"/>
  <c r="AC285" i="2" a="1"/>
  <c r="AC285" i="2" s="1"/>
  <c r="AD285" i="2" s="1"/>
  <c r="AA285" i="2"/>
  <c r="AB285" i="2" s="1"/>
  <c r="X285" i="2"/>
  <c r="AK284" i="2"/>
  <c r="AE284" i="2"/>
  <c r="AF284" i="2" s="1"/>
  <c r="AE284" i="2" a="1"/>
  <c r="AC284" i="2" a="1"/>
  <c r="AC284" i="2" s="1"/>
  <c r="AD284" i="2" s="1"/>
  <c r="AA284" i="2"/>
  <c r="AB284" i="2" s="1"/>
  <c r="X284" i="2"/>
  <c r="AK283" i="2"/>
  <c r="AE283" i="2"/>
  <c r="AF283" i="2" s="1"/>
  <c r="AE283" i="2" a="1"/>
  <c r="AC283" i="2" a="1"/>
  <c r="AC283" i="2" s="1"/>
  <c r="AD283" i="2" s="1"/>
  <c r="AA283" i="2"/>
  <c r="AB283" i="2" s="1"/>
  <c r="X283" i="2"/>
  <c r="AK282" i="2"/>
  <c r="AE282" i="2"/>
  <c r="AF282" i="2" s="1"/>
  <c r="AE282" i="2" a="1"/>
  <c r="AC282" i="2" a="1"/>
  <c r="AC282" i="2" s="1"/>
  <c r="AD282" i="2" s="1"/>
  <c r="AA282" i="2"/>
  <c r="AB282" i="2" s="1"/>
  <c r="X282" i="2"/>
  <c r="AK281" i="2"/>
  <c r="AE281" i="2"/>
  <c r="AF281" i="2" s="1"/>
  <c r="AE281" i="2" a="1"/>
  <c r="AC281" i="2" a="1"/>
  <c r="AC281" i="2" s="1"/>
  <c r="AD281" i="2" s="1"/>
  <c r="AA281" i="2"/>
  <c r="AB281" i="2" s="1"/>
  <c r="X281" i="2"/>
  <c r="AK280" i="2"/>
  <c r="AE280" i="2"/>
  <c r="AF280" i="2" s="1"/>
  <c r="AE280" i="2" a="1"/>
  <c r="AC280" i="2" a="1"/>
  <c r="AC280" i="2" s="1"/>
  <c r="AD280" i="2" s="1"/>
  <c r="AA280" i="2"/>
  <c r="AB280" i="2" s="1"/>
  <c r="X280" i="2"/>
  <c r="AK279" i="2"/>
  <c r="AE279" i="2"/>
  <c r="AF279" i="2" s="1"/>
  <c r="AE279" i="2" a="1"/>
  <c r="AC279" i="2" a="1"/>
  <c r="AC279" i="2" s="1"/>
  <c r="AD279" i="2" s="1"/>
  <c r="AA279" i="2"/>
  <c r="AB279" i="2" s="1"/>
  <c r="X279" i="2"/>
  <c r="AK278" i="2"/>
  <c r="AE278" i="2"/>
  <c r="AF278" i="2" s="1"/>
  <c r="AE278" i="2" a="1"/>
  <c r="AC278" i="2" a="1"/>
  <c r="AC278" i="2" s="1"/>
  <c r="AD278" i="2" s="1"/>
  <c r="AA278" i="2"/>
  <c r="AB278" i="2" s="1"/>
  <c r="X278" i="2"/>
  <c r="AK277" i="2"/>
  <c r="AE277" i="2"/>
  <c r="AF277" i="2" s="1"/>
  <c r="AE277" i="2" a="1"/>
  <c r="AC277" i="2" a="1"/>
  <c r="AC277" i="2" s="1"/>
  <c r="AD277" i="2" s="1"/>
  <c r="AA277" i="2"/>
  <c r="AB277" i="2" s="1"/>
  <c r="X277" i="2"/>
  <c r="AK276" i="2"/>
  <c r="AE276" i="2"/>
  <c r="AF276" i="2" s="1"/>
  <c r="AE276" i="2" a="1"/>
  <c r="AC276" i="2" a="1"/>
  <c r="AC276" i="2" s="1"/>
  <c r="AD276" i="2" s="1"/>
  <c r="AA276" i="2"/>
  <c r="AB276" i="2" s="1"/>
  <c r="X276" i="2"/>
  <c r="AK275" i="2"/>
  <c r="AE275" i="2"/>
  <c r="AF275" i="2" s="1"/>
  <c r="AE275" i="2" a="1"/>
  <c r="AC275" i="2" a="1"/>
  <c r="AC275" i="2" s="1"/>
  <c r="AD275" i="2" s="1"/>
  <c r="AA275" i="2"/>
  <c r="AB275" i="2" s="1"/>
  <c r="X275" i="2"/>
  <c r="AK274" i="2"/>
  <c r="AE274" i="2"/>
  <c r="AF274" i="2" s="1"/>
  <c r="AE274" i="2" a="1"/>
  <c r="AC274" i="2" a="1"/>
  <c r="AC274" i="2" s="1"/>
  <c r="AD274" i="2" s="1"/>
  <c r="AA274" i="2"/>
  <c r="AB274" i="2" s="1"/>
  <c r="X274" i="2"/>
  <c r="AK273" i="2"/>
  <c r="AE273" i="2"/>
  <c r="AF273" i="2" s="1"/>
  <c r="AE273" i="2" a="1"/>
  <c r="AC273" i="2" a="1"/>
  <c r="AC273" i="2" s="1"/>
  <c r="AD273" i="2" s="1"/>
  <c r="AA273" i="2"/>
  <c r="AB273" i="2" s="1"/>
  <c r="X273" i="2"/>
  <c r="AK272" i="2"/>
  <c r="AE272" i="2"/>
  <c r="AF272" i="2" s="1"/>
  <c r="AE272" i="2" a="1"/>
  <c r="AC272" i="2" a="1"/>
  <c r="AC272" i="2" s="1"/>
  <c r="AD272" i="2" s="1"/>
  <c r="AA272" i="2"/>
  <c r="AB272" i="2" s="1"/>
  <c r="X272" i="2"/>
  <c r="AK271" i="2"/>
  <c r="AE271" i="2"/>
  <c r="AF271" i="2" s="1"/>
  <c r="AE271" i="2" a="1"/>
  <c r="AC271" i="2" a="1"/>
  <c r="AC271" i="2" s="1"/>
  <c r="AD271" i="2" s="1"/>
  <c r="AA271" i="2"/>
  <c r="AB271" i="2" s="1"/>
  <c r="X271" i="2"/>
  <c r="AK270" i="2"/>
  <c r="AE270" i="2"/>
  <c r="AF270" i="2" s="1"/>
  <c r="AE270" i="2" a="1"/>
  <c r="AC270" i="2" a="1"/>
  <c r="AC270" i="2" s="1"/>
  <c r="AD270" i="2" s="1"/>
  <c r="AA270" i="2"/>
  <c r="AB270" i="2" s="1"/>
  <c r="X270" i="2"/>
  <c r="AK269" i="2"/>
  <c r="AE269" i="2"/>
  <c r="AF269" i="2" s="1"/>
  <c r="AE269" i="2" a="1"/>
  <c r="AC269" i="2" a="1"/>
  <c r="AC269" i="2" s="1"/>
  <c r="AD269" i="2" s="1"/>
  <c r="AA269" i="2"/>
  <c r="AB269" i="2" s="1"/>
  <c r="X269" i="2"/>
  <c r="AK268" i="2"/>
  <c r="AE268" i="2"/>
  <c r="AF268" i="2" s="1"/>
  <c r="AE268" i="2" a="1"/>
  <c r="AC268" i="2" a="1"/>
  <c r="AC268" i="2" s="1"/>
  <c r="AD268" i="2" s="1"/>
  <c r="AA268" i="2"/>
  <c r="AB268" i="2" s="1"/>
  <c r="X268" i="2"/>
  <c r="AK267" i="2"/>
  <c r="AE267" i="2"/>
  <c r="AF267" i="2" s="1"/>
  <c r="AE267" i="2" a="1"/>
  <c r="AC267" i="2" a="1"/>
  <c r="AC267" i="2" s="1"/>
  <c r="AD267" i="2" s="1"/>
  <c r="AA267" i="2"/>
  <c r="AB267" i="2" s="1"/>
  <c r="X267" i="2"/>
  <c r="AK266" i="2"/>
  <c r="AE266" i="2"/>
  <c r="AF266" i="2" s="1"/>
  <c r="AE266" i="2" a="1"/>
  <c r="AC266" i="2" a="1"/>
  <c r="AC266" i="2" s="1"/>
  <c r="AD266" i="2" s="1"/>
  <c r="AA266" i="2"/>
  <c r="AB266" i="2" s="1"/>
  <c r="X266" i="2"/>
  <c r="AK265" i="2"/>
  <c r="AE265" i="2"/>
  <c r="AF265" i="2" s="1"/>
  <c r="AE265" i="2" a="1"/>
  <c r="AC265" i="2" a="1"/>
  <c r="AC265" i="2" s="1"/>
  <c r="AD265" i="2" s="1"/>
  <c r="AA265" i="2"/>
  <c r="AB265" i="2" s="1"/>
  <c r="X265" i="2"/>
  <c r="AK264" i="2"/>
  <c r="AE264" i="2"/>
  <c r="AF264" i="2" s="1"/>
  <c r="AE264" i="2" a="1"/>
  <c r="AC264" i="2" a="1"/>
  <c r="AC264" i="2" s="1"/>
  <c r="AD264" i="2" s="1"/>
  <c r="AA264" i="2"/>
  <c r="AB264" i="2" s="1"/>
  <c r="X264" i="2"/>
  <c r="AK263" i="2"/>
  <c r="AE263" i="2"/>
  <c r="AF263" i="2" s="1"/>
  <c r="AE263" i="2" a="1"/>
  <c r="AC263" i="2" a="1"/>
  <c r="AC263" i="2" s="1"/>
  <c r="AD263" i="2" s="1"/>
  <c r="AA263" i="2"/>
  <c r="AB263" i="2" s="1"/>
  <c r="X263" i="2"/>
  <c r="AK262" i="2"/>
  <c r="AE262" i="2"/>
  <c r="AF262" i="2" s="1"/>
  <c r="AE262" i="2" a="1"/>
  <c r="AC262" i="2" a="1"/>
  <c r="AC262" i="2" s="1"/>
  <c r="AD262" i="2" s="1"/>
  <c r="AA262" i="2"/>
  <c r="AB262" i="2" s="1"/>
  <c r="X262" i="2"/>
  <c r="AK261" i="2"/>
  <c r="AE261" i="2"/>
  <c r="AF261" i="2" s="1"/>
  <c r="AE261" i="2" a="1"/>
  <c r="AC261" i="2" a="1"/>
  <c r="AC261" i="2" s="1"/>
  <c r="AD261" i="2" s="1"/>
  <c r="AA261" i="2"/>
  <c r="AB261" i="2" s="1"/>
  <c r="X261" i="2"/>
  <c r="AK260" i="2"/>
  <c r="AE260" i="2"/>
  <c r="AF260" i="2" s="1"/>
  <c r="AE260" i="2" a="1"/>
  <c r="AC260" i="2" a="1"/>
  <c r="AC260" i="2" s="1"/>
  <c r="AD260" i="2" s="1"/>
  <c r="AA260" i="2"/>
  <c r="AB260" i="2" s="1"/>
  <c r="X260" i="2"/>
  <c r="AK259" i="2"/>
  <c r="AE259" i="2"/>
  <c r="AF259" i="2" s="1"/>
  <c r="AE259" i="2" a="1"/>
  <c r="AC259" i="2" a="1"/>
  <c r="AC259" i="2" s="1"/>
  <c r="AD259" i="2" s="1"/>
  <c r="AA259" i="2"/>
  <c r="AB259" i="2" s="1"/>
  <c r="X259" i="2"/>
  <c r="AK258" i="2"/>
  <c r="AE258" i="2"/>
  <c r="AF258" i="2" s="1"/>
  <c r="AE258" i="2" a="1"/>
  <c r="AC258" i="2" a="1"/>
  <c r="AC258" i="2" s="1"/>
  <c r="AD258" i="2" s="1"/>
  <c r="AA258" i="2"/>
  <c r="AB258" i="2" s="1"/>
  <c r="X258" i="2"/>
  <c r="AK257" i="2"/>
  <c r="AE257" i="2"/>
  <c r="AF257" i="2" s="1"/>
  <c r="AE257" i="2" a="1"/>
  <c r="AC257" i="2" a="1"/>
  <c r="AC257" i="2" s="1"/>
  <c r="AD257" i="2" s="1"/>
  <c r="AA257" i="2"/>
  <c r="AB257" i="2" s="1"/>
  <c r="X257" i="2"/>
  <c r="AK256" i="2"/>
  <c r="AE256" i="2"/>
  <c r="AF256" i="2" s="1"/>
  <c r="AE256" i="2" a="1"/>
  <c r="AC256" i="2" a="1"/>
  <c r="AC256" i="2" s="1"/>
  <c r="AD256" i="2" s="1"/>
  <c r="AA256" i="2"/>
  <c r="AB256" i="2" s="1"/>
  <c r="X256" i="2"/>
  <c r="AK255" i="2"/>
  <c r="AE255" i="2"/>
  <c r="AF255" i="2" s="1"/>
  <c r="AE255" i="2" a="1"/>
  <c r="AC255" i="2" a="1"/>
  <c r="AC255" i="2" s="1"/>
  <c r="AD255" i="2" s="1"/>
  <c r="AA255" i="2"/>
  <c r="AB255" i="2" s="1"/>
  <c r="X255" i="2"/>
  <c r="AK254" i="2"/>
  <c r="AE254" i="2"/>
  <c r="AF254" i="2" s="1"/>
  <c r="AE254" i="2" a="1"/>
  <c r="AC254" i="2" a="1"/>
  <c r="AC254" i="2" s="1"/>
  <c r="AD254" i="2" s="1"/>
  <c r="AA254" i="2"/>
  <c r="AB254" i="2" s="1"/>
  <c r="X254" i="2"/>
  <c r="AK253" i="2"/>
  <c r="AE253" i="2"/>
  <c r="AF253" i="2" s="1"/>
  <c r="AE253" i="2" a="1"/>
  <c r="AC253" i="2" a="1"/>
  <c r="AC253" i="2" s="1"/>
  <c r="AD253" i="2" s="1"/>
  <c r="AA253" i="2"/>
  <c r="AB253" i="2" s="1"/>
  <c r="X253" i="2"/>
  <c r="AK252" i="2"/>
  <c r="AE252" i="2"/>
  <c r="AF252" i="2" s="1"/>
  <c r="AE252" i="2" a="1"/>
  <c r="AC252" i="2" a="1"/>
  <c r="AC252" i="2" s="1"/>
  <c r="AD252" i="2" s="1"/>
  <c r="AA252" i="2"/>
  <c r="AB252" i="2" s="1"/>
  <c r="X252" i="2"/>
  <c r="AK251" i="2"/>
  <c r="AE251" i="2"/>
  <c r="AF251" i="2" s="1"/>
  <c r="AE251" i="2" a="1"/>
  <c r="AC251" i="2" a="1"/>
  <c r="AC251" i="2" s="1"/>
  <c r="AD251" i="2" s="1"/>
  <c r="AA251" i="2"/>
  <c r="AB251" i="2" s="1"/>
  <c r="X251" i="2"/>
  <c r="AK250" i="2"/>
  <c r="AE250" i="2"/>
  <c r="AF250" i="2" s="1"/>
  <c r="AE250" i="2" a="1"/>
  <c r="AC250" i="2" a="1"/>
  <c r="AC250" i="2" s="1"/>
  <c r="AD250" i="2" s="1"/>
  <c r="AA250" i="2"/>
  <c r="AB250" i="2" s="1"/>
  <c r="X250" i="2"/>
  <c r="AK249" i="2"/>
  <c r="AE249" i="2"/>
  <c r="AF249" i="2" s="1"/>
  <c r="AE249" i="2" a="1"/>
  <c r="AC249" i="2" a="1"/>
  <c r="AC249" i="2" s="1"/>
  <c r="AD249" i="2" s="1"/>
  <c r="AA249" i="2"/>
  <c r="AB249" i="2" s="1"/>
  <c r="X249" i="2"/>
  <c r="AK248" i="2"/>
  <c r="AE248" i="2"/>
  <c r="AF248" i="2" s="1"/>
  <c r="AE248" i="2" a="1"/>
  <c r="AC248" i="2" a="1"/>
  <c r="AC248" i="2" s="1"/>
  <c r="AD248" i="2" s="1"/>
  <c r="AA248" i="2"/>
  <c r="AB248" i="2" s="1"/>
  <c r="X248" i="2"/>
  <c r="AK247" i="2"/>
  <c r="AE247" i="2"/>
  <c r="AF247" i="2" s="1"/>
  <c r="AE247" i="2" a="1"/>
  <c r="AC247" i="2" a="1"/>
  <c r="AC247" i="2" s="1"/>
  <c r="AD247" i="2" s="1"/>
  <c r="AA247" i="2"/>
  <c r="AB247" i="2" s="1"/>
  <c r="X247" i="2"/>
  <c r="AK246" i="2"/>
  <c r="AE246" i="2"/>
  <c r="AF246" i="2" s="1"/>
  <c r="AE246" i="2" a="1"/>
  <c r="AC246" i="2" a="1"/>
  <c r="AC246" i="2" s="1"/>
  <c r="AD246" i="2" s="1"/>
  <c r="AA246" i="2"/>
  <c r="AB246" i="2" s="1"/>
  <c r="X246" i="2"/>
  <c r="AK245" i="2"/>
  <c r="AE245" i="2"/>
  <c r="AF245" i="2" s="1"/>
  <c r="AE245" i="2" a="1"/>
  <c r="AC245" i="2" a="1"/>
  <c r="AC245" i="2" s="1"/>
  <c r="AD245" i="2" s="1"/>
  <c r="AA245" i="2"/>
  <c r="AB245" i="2" s="1"/>
  <c r="X245" i="2"/>
  <c r="AK244" i="2"/>
  <c r="AE244" i="2"/>
  <c r="AF244" i="2" s="1"/>
  <c r="AE244" i="2" a="1"/>
  <c r="AC244" i="2" a="1"/>
  <c r="AC244" i="2" s="1"/>
  <c r="AD244" i="2" s="1"/>
  <c r="AA244" i="2"/>
  <c r="AB244" i="2" s="1"/>
  <c r="X244" i="2"/>
  <c r="AK243" i="2"/>
  <c r="AE243" i="2"/>
  <c r="AF243" i="2" s="1"/>
  <c r="AE243" i="2" a="1"/>
  <c r="AC243" i="2" a="1"/>
  <c r="AC243" i="2" s="1"/>
  <c r="AD243" i="2" s="1"/>
  <c r="AA243" i="2"/>
  <c r="AB243" i="2" s="1"/>
  <c r="X243" i="2"/>
  <c r="AK242" i="2"/>
  <c r="AE242" i="2"/>
  <c r="AF242" i="2" s="1"/>
  <c r="AE242" i="2" a="1"/>
  <c r="AC242" i="2" a="1"/>
  <c r="AC242" i="2" s="1"/>
  <c r="AD242" i="2" s="1"/>
  <c r="AA242" i="2"/>
  <c r="AB242" i="2" s="1"/>
  <c r="X242" i="2"/>
  <c r="AK241" i="2"/>
  <c r="AE241" i="2"/>
  <c r="AF241" i="2" s="1"/>
  <c r="AE241" i="2" a="1"/>
  <c r="AC241" i="2" a="1"/>
  <c r="AC241" i="2" s="1"/>
  <c r="AD241" i="2" s="1"/>
  <c r="AA241" i="2"/>
  <c r="AB241" i="2" s="1"/>
  <c r="X241" i="2"/>
  <c r="AK240" i="2"/>
  <c r="AE240" i="2"/>
  <c r="AF240" i="2" s="1"/>
  <c r="AE240" i="2" a="1"/>
  <c r="AC240" i="2" a="1"/>
  <c r="AC240" i="2" s="1"/>
  <c r="AD240" i="2" s="1"/>
  <c r="AA240" i="2"/>
  <c r="AB240" i="2" s="1"/>
  <c r="X240" i="2"/>
  <c r="AK239" i="2"/>
  <c r="AE239" i="2"/>
  <c r="AF239" i="2" s="1"/>
  <c r="AE239" i="2" a="1"/>
  <c r="AC239" i="2" a="1"/>
  <c r="AC239" i="2" s="1"/>
  <c r="AD239" i="2" s="1"/>
  <c r="AA239" i="2"/>
  <c r="AB239" i="2" s="1"/>
  <c r="X239" i="2"/>
  <c r="AK238" i="2"/>
  <c r="AE238" i="2"/>
  <c r="AF238" i="2" s="1"/>
  <c r="AE238" i="2" a="1"/>
  <c r="AC238" i="2" a="1"/>
  <c r="AC238" i="2" s="1"/>
  <c r="AD238" i="2" s="1"/>
  <c r="AA238" i="2"/>
  <c r="AB238" i="2" s="1"/>
  <c r="X238" i="2"/>
  <c r="AK237" i="2"/>
  <c r="AE237" i="2"/>
  <c r="AF237" i="2" s="1"/>
  <c r="AE237" i="2" a="1"/>
  <c r="AC237" i="2" a="1"/>
  <c r="AC237" i="2" s="1"/>
  <c r="AD237" i="2" s="1"/>
  <c r="AA237" i="2"/>
  <c r="AB237" i="2" s="1"/>
  <c r="X237" i="2"/>
  <c r="AK236" i="2"/>
  <c r="AE236" i="2"/>
  <c r="AF236" i="2" s="1"/>
  <c r="AE236" i="2" a="1"/>
  <c r="AC236" i="2" a="1"/>
  <c r="AC236" i="2" s="1"/>
  <c r="AD236" i="2" s="1"/>
  <c r="AA236" i="2"/>
  <c r="AB236" i="2" s="1"/>
  <c r="X236" i="2"/>
  <c r="AK235" i="2"/>
  <c r="AE235" i="2"/>
  <c r="AF235" i="2" s="1"/>
  <c r="AE235" i="2" a="1"/>
  <c r="AC235" i="2" a="1"/>
  <c r="AC235" i="2" s="1"/>
  <c r="AD235" i="2" s="1"/>
  <c r="AA235" i="2"/>
  <c r="AB235" i="2" s="1"/>
  <c r="X235" i="2"/>
  <c r="AK234" i="2"/>
  <c r="AE234" i="2"/>
  <c r="AF234" i="2" s="1"/>
  <c r="AE234" i="2" a="1"/>
  <c r="AC234" i="2" a="1"/>
  <c r="AC234" i="2" s="1"/>
  <c r="AD234" i="2" s="1"/>
  <c r="AA234" i="2"/>
  <c r="AB234" i="2" s="1"/>
  <c r="AK233" i="2"/>
  <c r="AE233" i="2" a="1"/>
  <c r="AE233" i="2" s="1"/>
  <c r="AF233" i="2" s="1"/>
  <c r="AC233" i="2"/>
  <c r="AD233" i="2" s="1"/>
  <c r="AC233" i="2" a="1"/>
  <c r="AB233" i="2"/>
  <c r="AA233" i="2"/>
  <c r="X233" i="2"/>
  <c r="AK232" i="2"/>
  <c r="AE232" i="2" a="1"/>
  <c r="AE232" i="2" s="1"/>
  <c r="AF232" i="2" s="1"/>
  <c r="AC232" i="2"/>
  <c r="AD232" i="2" s="1"/>
  <c r="AC232" i="2" a="1"/>
  <c r="AB232" i="2"/>
  <c r="AA232" i="2"/>
  <c r="X232" i="2"/>
  <c r="AK231" i="2"/>
  <c r="AE231" i="2" a="1"/>
  <c r="AE231" i="2" s="1"/>
  <c r="AF231" i="2" s="1"/>
  <c r="AC231" i="2"/>
  <c r="AD231" i="2" s="1"/>
  <c r="AC231" i="2" a="1"/>
  <c r="AB231" i="2"/>
  <c r="AA231" i="2"/>
  <c r="X231" i="2"/>
  <c r="AK230" i="2"/>
  <c r="AE230" i="2" a="1"/>
  <c r="AE230" i="2" s="1"/>
  <c r="AF230" i="2" s="1"/>
  <c r="AC230" i="2"/>
  <c r="AD230" i="2" s="1"/>
  <c r="AC230" i="2" a="1"/>
  <c r="AB230" i="2"/>
  <c r="AA230" i="2"/>
  <c r="X230" i="2"/>
  <c r="AK229" i="2"/>
  <c r="AE229" i="2" a="1"/>
  <c r="AE229" i="2" s="1"/>
  <c r="AF229" i="2" s="1"/>
  <c r="AC229" i="2"/>
  <c r="AD229" i="2" s="1"/>
  <c r="AC229" i="2" a="1"/>
  <c r="AB229" i="2"/>
  <c r="AA229" i="2"/>
  <c r="X229" i="2"/>
  <c r="AK228" i="2"/>
  <c r="AE228" i="2" a="1"/>
  <c r="AE228" i="2" s="1"/>
  <c r="AF228" i="2" s="1"/>
  <c r="AC228" i="2"/>
  <c r="AD228" i="2" s="1"/>
  <c r="AC228" i="2" a="1"/>
  <c r="AB228" i="2"/>
  <c r="AA228" i="2"/>
  <c r="X228" i="2"/>
  <c r="AK227" i="2"/>
  <c r="AE227" i="2" a="1"/>
  <c r="AE227" i="2" s="1"/>
  <c r="AF227" i="2" s="1"/>
  <c r="AC227" i="2"/>
  <c r="AD227" i="2" s="1"/>
  <c r="AC227" i="2" a="1"/>
  <c r="AB227" i="2"/>
  <c r="AA227" i="2"/>
  <c r="X227" i="2"/>
  <c r="AK226" i="2"/>
  <c r="AE226" i="2" a="1"/>
  <c r="AE226" i="2" s="1"/>
  <c r="AF226" i="2" s="1"/>
  <c r="AC226" i="2"/>
  <c r="AD226" i="2" s="1"/>
  <c r="AC226" i="2" a="1"/>
  <c r="AB226" i="2"/>
  <c r="AA226" i="2"/>
  <c r="X226" i="2"/>
  <c r="AK225" i="2"/>
  <c r="AE225" i="2" a="1"/>
  <c r="AE225" i="2" s="1"/>
  <c r="AF225" i="2" s="1"/>
  <c r="AC225" i="2"/>
  <c r="AD225" i="2" s="1"/>
  <c r="AC225" i="2" a="1"/>
  <c r="AB225" i="2"/>
  <c r="AA225" i="2"/>
  <c r="X225" i="2"/>
  <c r="AK224" i="2"/>
  <c r="AE224" i="2" a="1"/>
  <c r="AE224" i="2" s="1"/>
  <c r="AF224" i="2" s="1"/>
  <c r="AC224" i="2"/>
  <c r="AD224" i="2" s="1"/>
  <c r="AC224" i="2" a="1"/>
  <c r="AB224" i="2"/>
  <c r="AA224" i="2"/>
  <c r="X224" i="2"/>
  <c r="AK223" i="2"/>
  <c r="AE223" i="2" a="1"/>
  <c r="AE223" i="2" s="1"/>
  <c r="AF223" i="2" s="1"/>
  <c r="AC223" i="2"/>
  <c r="AD223" i="2" s="1"/>
  <c r="AC223" i="2" a="1"/>
  <c r="AB223" i="2"/>
  <c r="AA223" i="2"/>
  <c r="X223" i="2"/>
  <c r="AK222" i="2"/>
  <c r="AE222" i="2" a="1"/>
  <c r="AE222" i="2" s="1"/>
  <c r="AF222" i="2" s="1"/>
  <c r="AC222" i="2"/>
  <c r="AD222" i="2" s="1"/>
  <c r="AC222" i="2" a="1"/>
  <c r="AB222" i="2"/>
  <c r="AA222" i="2"/>
  <c r="X222" i="2"/>
  <c r="AK221" i="2"/>
  <c r="AE221" i="2" a="1"/>
  <c r="AE221" i="2" s="1"/>
  <c r="AF221" i="2" s="1"/>
  <c r="AC221" i="2"/>
  <c r="AD221" i="2" s="1"/>
  <c r="AC221" i="2" a="1"/>
  <c r="AB221" i="2"/>
  <c r="AA221" i="2"/>
  <c r="X221" i="2"/>
  <c r="AK220" i="2"/>
  <c r="AE220" i="2" a="1"/>
  <c r="AE220" i="2" s="1"/>
  <c r="AF220" i="2" s="1"/>
  <c r="AC220" i="2"/>
  <c r="AD220" i="2" s="1"/>
  <c r="AC220" i="2" a="1"/>
  <c r="AB220" i="2"/>
  <c r="AA220" i="2"/>
  <c r="X220" i="2"/>
  <c r="AK219" i="2"/>
  <c r="AE219" i="2" a="1"/>
  <c r="AE219" i="2" s="1"/>
  <c r="AF219" i="2" s="1"/>
  <c r="AC219" i="2"/>
  <c r="AD219" i="2" s="1"/>
  <c r="AC219" i="2" a="1"/>
  <c r="AB219" i="2"/>
  <c r="AA219" i="2"/>
  <c r="X219" i="2"/>
  <c r="AK218" i="2"/>
  <c r="AE218" i="2" a="1"/>
  <c r="AE218" i="2" s="1"/>
  <c r="AF218" i="2" s="1"/>
  <c r="AC218" i="2"/>
  <c r="AD218" i="2" s="1"/>
  <c r="AC218" i="2" a="1"/>
  <c r="AB218" i="2"/>
  <c r="AA218" i="2"/>
  <c r="X218" i="2"/>
  <c r="AK217" i="2"/>
  <c r="AE217" i="2" a="1"/>
  <c r="AE217" i="2" s="1"/>
  <c r="AF217" i="2" s="1"/>
  <c r="AC217" i="2"/>
  <c r="AD217" i="2" s="1"/>
  <c r="AC217" i="2" a="1"/>
  <c r="AB217" i="2"/>
  <c r="AA217" i="2"/>
  <c r="X217" i="2"/>
  <c r="AK216" i="2"/>
  <c r="AE216" i="2" a="1"/>
  <c r="AE216" i="2" s="1"/>
  <c r="AF216" i="2" s="1"/>
  <c r="AC216" i="2"/>
  <c r="AD216" i="2" s="1"/>
  <c r="AC216" i="2" a="1"/>
  <c r="AB216" i="2"/>
  <c r="AA216" i="2"/>
  <c r="X216" i="2"/>
  <c r="AK215" i="2"/>
  <c r="AE215" i="2" a="1"/>
  <c r="AE215" i="2" s="1"/>
  <c r="AF215" i="2" s="1"/>
  <c r="AC215" i="2"/>
  <c r="AD215" i="2" s="1"/>
  <c r="AC215" i="2" a="1"/>
  <c r="AB215" i="2"/>
  <c r="AA215" i="2"/>
  <c r="X215" i="2"/>
  <c r="AK214" i="2"/>
  <c r="AE214" i="2" a="1"/>
  <c r="AE214" i="2" s="1"/>
  <c r="AF214" i="2" s="1"/>
  <c r="AC214" i="2"/>
  <c r="AD214" i="2" s="1"/>
  <c r="AC214" i="2" a="1"/>
  <c r="AB214" i="2"/>
  <c r="AA214" i="2"/>
  <c r="X214" i="2"/>
  <c r="AK213" i="2"/>
  <c r="AE213" i="2" a="1"/>
  <c r="AE213" i="2" s="1"/>
  <c r="AF213" i="2" s="1"/>
  <c r="AC213" i="2"/>
  <c r="AD213" i="2" s="1"/>
  <c r="AC213" i="2" a="1"/>
  <c r="AB213" i="2"/>
  <c r="AA213" i="2"/>
  <c r="X213" i="2"/>
  <c r="AK212" i="2"/>
  <c r="AE212" i="2" a="1"/>
  <c r="AE212" i="2" s="1"/>
  <c r="AF212" i="2" s="1"/>
  <c r="AC212" i="2"/>
  <c r="AD212" i="2" s="1"/>
  <c r="AC212" i="2" a="1"/>
  <c r="AB212" i="2"/>
  <c r="AA212" i="2"/>
  <c r="X212" i="2"/>
  <c r="AK211" i="2"/>
  <c r="AE211" i="2" a="1"/>
  <c r="AE211" i="2" s="1"/>
  <c r="AF211" i="2" s="1"/>
  <c r="AC211" i="2"/>
  <c r="AD211" i="2" s="1"/>
  <c r="AC211" i="2" a="1"/>
  <c r="AB211" i="2"/>
  <c r="AA211" i="2"/>
  <c r="X211" i="2"/>
  <c r="AK210" i="2"/>
  <c r="AE210" i="2" a="1"/>
  <c r="AE210" i="2" s="1"/>
  <c r="AF210" i="2" s="1"/>
  <c r="AC210" i="2"/>
  <c r="AD210" i="2" s="1"/>
  <c r="AC210" i="2" a="1"/>
  <c r="AB210" i="2"/>
  <c r="AA210" i="2"/>
  <c r="X210" i="2"/>
  <c r="AK209" i="2"/>
  <c r="AE209" i="2" a="1"/>
  <c r="AE209" i="2" s="1"/>
  <c r="AF209" i="2" s="1"/>
  <c r="AC209" i="2"/>
  <c r="AD209" i="2" s="1"/>
  <c r="AC209" i="2" a="1"/>
  <c r="AB209" i="2"/>
  <c r="AA209" i="2"/>
  <c r="X209" i="2"/>
  <c r="AK208" i="2"/>
  <c r="AE208" i="2" a="1"/>
  <c r="AE208" i="2" s="1"/>
  <c r="AF208" i="2" s="1"/>
  <c r="AC208" i="2"/>
  <c r="AD208" i="2" s="1"/>
  <c r="AC208" i="2" a="1"/>
  <c r="AB208" i="2"/>
  <c r="AA208" i="2"/>
  <c r="X208" i="2"/>
  <c r="AK207" i="2"/>
  <c r="AE207" i="2" a="1"/>
  <c r="AE207" i="2" s="1"/>
  <c r="AF207" i="2" s="1"/>
  <c r="AC207" i="2"/>
  <c r="AD207" i="2" s="1"/>
  <c r="AC207" i="2" a="1"/>
  <c r="AB207" i="2"/>
  <c r="AA207" i="2"/>
  <c r="X207" i="2"/>
  <c r="AK206" i="2"/>
  <c r="AE206" i="2" a="1"/>
  <c r="AE206" i="2" s="1"/>
  <c r="AF206" i="2" s="1"/>
  <c r="AC206" i="2"/>
  <c r="AD206" i="2" s="1"/>
  <c r="AC206" i="2" a="1"/>
  <c r="AB206" i="2"/>
  <c r="AA206" i="2"/>
  <c r="X206" i="2"/>
  <c r="AK205" i="2"/>
  <c r="AE205" i="2" a="1"/>
  <c r="AE205" i="2" s="1"/>
  <c r="AF205" i="2" s="1"/>
  <c r="AC205" i="2"/>
  <c r="AD205" i="2" s="1"/>
  <c r="AC205" i="2" a="1"/>
  <c r="AB205" i="2"/>
  <c r="AA205" i="2"/>
  <c r="X205" i="2"/>
  <c r="AK204" i="2"/>
  <c r="AE204" i="2" a="1"/>
  <c r="AE204" i="2" s="1"/>
  <c r="AF204" i="2" s="1"/>
  <c r="AC204" i="2"/>
  <c r="AD204" i="2" s="1"/>
  <c r="AC204" i="2" a="1"/>
  <c r="AB204" i="2"/>
  <c r="AA204" i="2"/>
  <c r="X204" i="2"/>
  <c r="AK203" i="2"/>
  <c r="AF203" i="2"/>
  <c r="AE203" i="2" a="1"/>
  <c r="AE203" i="2" s="1"/>
  <c r="AC203" i="2"/>
  <c r="AD203" i="2" s="1"/>
  <c r="AC203" i="2" a="1"/>
  <c r="AB203" i="2"/>
  <c r="AA203" i="2"/>
  <c r="X203" i="2"/>
  <c r="AK202" i="2"/>
  <c r="AE202" i="2" a="1"/>
  <c r="AE202" i="2" s="1"/>
  <c r="AF202" i="2" s="1"/>
  <c r="AC202" i="2"/>
  <c r="AD202" i="2" s="1"/>
  <c r="AC202" i="2" a="1"/>
  <c r="AB202" i="2"/>
  <c r="AA202" i="2"/>
  <c r="X202" i="2"/>
  <c r="AK201" i="2"/>
  <c r="AE201" i="2" a="1"/>
  <c r="AE201" i="2" s="1"/>
  <c r="AF201" i="2" s="1"/>
  <c r="AC201" i="2"/>
  <c r="AD201" i="2" s="1"/>
  <c r="AC201" i="2" a="1"/>
  <c r="AB201" i="2"/>
  <c r="AA201" i="2"/>
  <c r="X201" i="2"/>
  <c r="AK200" i="2"/>
  <c r="AE200" i="2" a="1"/>
  <c r="AE200" i="2" s="1"/>
  <c r="AF200" i="2" s="1"/>
  <c r="AC200" i="2"/>
  <c r="AD200" i="2" s="1"/>
  <c r="AC200" i="2" a="1"/>
  <c r="AB200" i="2"/>
  <c r="AA200" i="2"/>
  <c r="X200" i="2"/>
  <c r="AK199" i="2"/>
  <c r="AE199" i="2" a="1"/>
  <c r="AE199" i="2" s="1"/>
  <c r="AF199" i="2" s="1"/>
  <c r="AC199" i="2"/>
  <c r="AD199" i="2" s="1"/>
  <c r="AC199" i="2" a="1"/>
  <c r="AB199" i="2"/>
  <c r="AA199" i="2"/>
  <c r="X199" i="2"/>
  <c r="AK198" i="2"/>
  <c r="AE198" i="2" a="1"/>
  <c r="AE198" i="2" s="1"/>
  <c r="AF198" i="2" s="1"/>
  <c r="AC198" i="2"/>
  <c r="AD198" i="2" s="1"/>
  <c r="AC198" i="2" a="1"/>
  <c r="AB198" i="2"/>
  <c r="AA198" i="2"/>
  <c r="X198" i="2"/>
  <c r="AK197" i="2"/>
  <c r="AE197" i="2" a="1"/>
  <c r="AE197" i="2" s="1"/>
  <c r="AF197" i="2" s="1"/>
  <c r="AC197" i="2"/>
  <c r="AD197" i="2" s="1"/>
  <c r="AC197" i="2" a="1"/>
  <c r="AB197" i="2"/>
  <c r="AA197" i="2"/>
  <c r="X197" i="2"/>
  <c r="AK196" i="2"/>
  <c r="AE196" i="2" a="1"/>
  <c r="AE196" i="2" s="1"/>
  <c r="AF196" i="2" s="1"/>
  <c r="AC196" i="2"/>
  <c r="AD196" i="2" s="1"/>
  <c r="AC196" i="2" a="1"/>
  <c r="AB196" i="2"/>
  <c r="AA196" i="2"/>
  <c r="X196" i="2"/>
  <c r="AK195" i="2"/>
  <c r="AE195" i="2" a="1"/>
  <c r="AE195" i="2" s="1"/>
  <c r="AF195" i="2" s="1"/>
  <c r="AC195" i="2"/>
  <c r="AD195" i="2" s="1"/>
  <c r="AC195" i="2" a="1"/>
  <c r="AB195" i="2"/>
  <c r="AA195" i="2"/>
  <c r="X195" i="2"/>
  <c r="AK194" i="2"/>
  <c r="AE194" i="2" a="1"/>
  <c r="AE194" i="2" s="1"/>
  <c r="AF194" i="2" s="1"/>
  <c r="AC194" i="2"/>
  <c r="AD194" i="2" s="1"/>
  <c r="AC194" i="2" a="1"/>
  <c r="AB194" i="2"/>
  <c r="AA194" i="2"/>
  <c r="X194" i="2"/>
  <c r="AK193" i="2"/>
  <c r="AE193" i="2" a="1"/>
  <c r="AE193" i="2" s="1"/>
  <c r="AF193" i="2" s="1"/>
  <c r="AC193" i="2"/>
  <c r="AD193" i="2" s="1"/>
  <c r="AC193" i="2" a="1"/>
  <c r="AB193" i="2"/>
  <c r="AA193" i="2"/>
  <c r="X193" i="2"/>
  <c r="AK192" i="2"/>
  <c r="AE192" i="2" a="1"/>
  <c r="AE192" i="2" s="1"/>
  <c r="AF192" i="2" s="1"/>
  <c r="AC192" i="2"/>
  <c r="AD192" i="2" s="1"/>
  <c r="AC192" i="2" a="1"/>
  <c r="AB192" i="2"/>
  <c r="AA192" i="2"/>
  <c r="X192" i="2"/>
  <c r="AK191" i="2"/>
  <c r="AE191" i="2" a="1"/>
  <c r="AE191" i="2" s="1"/>
  <c r="AF191" i="2" s="1"/>
  <c r="AC191" i="2"/>
  <c r="AD191" i="2" s="1"/>
  <c r="AC191" i="2" a="1"/>
  <c r="AB191" i="2"/>
  <c r="AA191" i="2"/>
  <c r="X191" i="2"/>
  <c r="AK190" i="2"/>
  <c r="AE190" i="2" a="1"/>
  <c r="AE190" i="2" s="1"/>
  <c r="AF190" i="2" s="1"/>
  <c r="AC190" i="2"/>
  <c r="AD190" i="2" s="1"/>
  <c r="AC190" i="2" a="1"/>
  <c r="AB190" i="2"/>
  <c r="AA190" i="2"/>
  <c r="X190" i="2"/>
  <c r="AK189" i="2"/>
  <c r="AE189" i="2" a="1"/>
  <c r="AE189" i="2" s="1"/>
  <c r="AF189" i="2" s="1"/>
  <c r="AC189" i="2"/>
  <c r="AD189" i="2" s="1"/>
  <c r="AC189" i="2" a="1"/>
  <c r="AB189" i="2"/>
  <c r="AA189" i="2"/>
  <c r="X189" i="2"/>
  <c r="AK188" i="2"/>
  <c r="AE188" i="2" a="1"/>
  <c r="AE188" i="2" s="1"/>
  <c r="AF188" i="2" s="1"/>
  <c r="AC188" i="2"/>
  <c r="AD188" i="2" s="1"/>
  <c r="AC188" i="2" a="1"/>
  <c r="AB188" i="2"/>
  <c r="AA188" i="2"/>
  <c r="X188" i="2"/>
  <c r="AK187" i="2"/>
  <c r="AF187" i="2"/>
  <c r="AE187" i="2" a="1"/>
  <c r="AE187" i="2" s="1"/>
  <c r="AC187" i="2"/>
  <c r="AD187" i="2" s="1"/>
  <c r="AC187" i="2" a="1"/>
  <c r="AB187" i="2"/>
  <c r="AA187" i="2"/>
  <c r="X187" i="2"/>
  <c r="AK186" i="2"/>
  <c r="AE186" i="2" a="1"/>
  <c r="AE186" i="2" s="1"/>
  <c r="AF186" i="2" s="1"/>
  <c r="AC186" i="2"/>
  <c r="AD186" i="2" s="1"/>
  <c r="AC186" i="2" a="1"/>
  <c r="AB186" i="2"/>
  <c r="AA186" i="2"/>
  <c r="X186" i="2"/>
  <c r="AK185" i="2"/>
  <c r="AE185" i="2" a="1"/>
  <c r="AE185" i="2" s="1"/>
  <c r="AF185" i="2" s="1"/>
  <c r="AC185" i="2"/>
  <c r="AD185" i="2" s="1"/>
  <c r="AC185" i="2" a="1"/>
  <c r="AB185" i="2"/>
  <c r="AA185" i="2"/>
  <c r="X185" i="2"/>
  <c r="AK184" i="2"/>
  <c r="AE184" i="2" a="1"/>
  <c r="AE184" i="2" s="1"/>
  <c r="AF184" i="2" s="1"/>
  <c r="AC184" i="2"/>
  <c r="AD184" i="2" s="1"/>
  <c r="AC184" i="2" a="1"/>
  <c r="AB184" i="2"/>
  <c r="AA184" i="2"/>
  <c r="X184" i="2"/>
  <c r="AK183" i="2"/>
  <c r="AE183" i="2" a="1"/>
  <c r="AE183" i="2" s="1"/>
  <c r="AF183" i="2" s="1"/>
  <c r="AC183" i="2"/>
  <c r="AD183" i="2" s="1"/>
  <c r="AC183" i="2" a="1"/>
  <c r="AB183" i="2"/>
  <c r="AA183" i="2"/>
  <c r="X183" i="2"/>
  <c r="AK182" i="2"/>
  <c r="AE182" i="2" a="1"/>
  <c r="AE182" i="2" s="1"/>
  <c r="AF182" i="2" s="1"/>
  <c r="AC182" i="2"/>
  <c r="AD182" i="2" s="1"/>
  <c r="AC182" i="2" a="1"/>
  <c r="AB182" i="2"/>
  <c r="AA182" i="2"/>
  <c r="X182" i="2"/>
  <c r="AK181" i="2"/>
  <c r="AE181" i="2" a="1"/>
  <c r="AE181" i="2" s="1"/>
  <c r="AF181" i="2" s="1"/>
  <c r="AC181" i="2"/>
  <c r="AD181" i="2" s="1"/>
  <c r="AC181" i="2" a="1"/>
  <c r="AB181" i="2"/>
  <c r="AA181" i="2"/>
  <c r="X181" i="2"/>
  <c r="AK180" i="2"/>
  <c r="AE180" i="2" a="1"/>
  <c r="AE180" i="2" s="1"/>
  <c r="AF180" i="2" s="1"/>
  <c r="AC180" i="2"/>
  <c r="AD180" i="2" s="1"/>
  <c r="AC180" i="2" a="1"/>
  <c r="AB180" i="2"/>
  <c r="AA180" i="2"/>
  <c r="X180" i="2"/>
  <c r="AK179" i="2"/>
  <c r="AE179" i="2" a="1"/>
  <c r="AE179" i="2" s="1"/>
  <c r="AF179" i="2" s="1"/>
  <c r="AC179" i="2"/>
  <c r="AD179" i="2" s="1"/>
  <c r="AC179" i="2" a="1"/>
  <c r="AB179" i="2"/>
  <c r="AA179" i="2"/>
  <c r="X179" i="2"/>
  <c r="AK178" i="2"/>
  <c r="AE178" i="2" a="1"/>
  <c r="AE178" i="2" s="1"/>
  <c r="AF178" i="2" s="1"/>
  <c r="AC178" i="2"/>
  <c r="AD178" i="2" s="1"/>
  <c r="AC178" i="2" a="1"/>
  <c r="AB178" i="2"/>
  <c r="AA178" i="2"/>
  <c r="X178" i="2"/>
  <c r="AK177" i="2"/>
  <c r="AE177" i="2" a="1"/>
  <c r="AE177" i="2" s="1"/>
  <c r="AF177" i="2" s="1"/>
  <c r="AC177" i="2"/>
  <c r="AD177" i="2" s="1"/>
  <c r="AC177" i="2" a="1"/>
  <c r="AB177" i="2"/>
  <c r="AA177" i="2"/>
  <c r="X177" i="2"/>
  <c r="AK176" i="2"/>
  <c r="AE176" i="2" a="1"/>
  <c r="AE176" i="2" s="1"/>
  <c r="AF176" i="2" s="1"/>
  <c r="AC176" i="2"/>
  <c r="AD176" i="2" s="1"/>
  <c r="AC176" i="2" a="1"/>
  <c r="AB176" i="2"/>
  <c r="AA176" i="2"/>
  <c r="X176" i="2"/>
  <c r="AK175" i="2"/>
  <c r="AE175" i="2" a="1"/>
  <c r="AE175" i="2" s="1"/>
  <c r="AF175" i="2" s="1"/>
  <c r="AC175" i="2"/>
  <c r="AD175" i="2" s="1"/>
  <c r="AC175" i="2" a="1"/>
  <c r="AB175" i="2"/>
  <c r="AA175" i="2"/>
  <c r="X175" i="2"/>
  <c r="AK174" i="2"/>
  <c r="AE174" i="2" a="1"/>
  <c r="AE174" i="2" s="1"/>
  <c r="AF174" i="2" s="1"/>
  <c r="AC174" i="2"/>
  <c r="AD174" i="2" s="1"/>
  <c r="AC174" i="2" a="1"/>
  <c r="AB174" i="2"/>
  <c r="AA174" i="2"/>
  <c r="X174" i="2"/>
  <c r="AK173" i="2"/>
  <c r="AE173" i="2" a="1"/>
  <c r="AE173" i="2" s="1"/>
  <c r="AF173" i="2" s="1"/>
  <c r="AC173" i="2"/>
  <c r="AD173" i="2" s="1"/>
  <c r="AC173" i="2" a="1"/>
  <c r="AB173" i="2"/>
  <c r="AA173" i="2"/>
  <c r="X173" i="2"/>
  <c r="AK172" i="2"/>
  <c r="AE172" i="2" a="1"/>
  <c r="AE172" i="2" s="1"/>
  <c r="AF172" i="2" s="1"/>
  <c r="AC172" i="2"/>
  <c r="AD172" i="2" s="1"/>
  <c r="AC172" i="2" a="1"/>
  <c r="AB172" i="2"/>
  <c r="AA172" i="2"/>
  <c r="X172" i="2"/>
  <c r="AK171" i="2"/>
  <c r="AF171" i="2"/>
  <c r="AE171" i="2" a="1"/>
  <c r="AE171" i="2" s="1"/>
  <c r="AC171" i="2"/>
  <c r="AD171" i="2" s="1"/>
  <c r="AC171" i="2" a="1"/>
  <c r="AB171" i="2"/>
  <c r="AA171" i="2"/>
  <c r="X171" i="2"/>
  <c r="AK170" i="2"/>
  <c r="AE170" i="2" a="1"/>
  <c r="AE170" i="2" s="1"/>
  <c r="AF170" i="2" s="1"/>
  <c r="AC170" i="2"/>
  <c r="AD170" i="2" s="1"/>
  <c r="AC170" i="2" a="1"/>
  <c r="AB170" i="2"/>
  <c r="AA170" i="2"/>
  <c r="X170" i="2"/>
  <c r="AK169" i="2"/>
  <c r="AE169" i="2" a="1"/>
  <c r="AE169" i="2" s="1"/>
  <c r="AF169" i="2" s="1"/>
  <c r="AC169" i="2"/>
  <c r="AD169" i="2" s="1"/>
  <c r="AC169" i="2" a="1"/>
  <c r="AB169" i="2"/>
  <c r="AA169" i="2"/>
  <c r="X169" i="2"/>
  <c r="AK168" i="2"/>
  <c r="AE168" i="2" a="1"/>
  <c r="AE168" i="2" s="1"/>
  <c r="AF168" i="2" s="1"/>
  <c r="AC168" i="2"/>
  <c r="AD168" i="2" s="1"/>
  <c r="AC168" i="2" a="1"/>
  <c r="AB168" i="2"/>
  <c r="AA168" i="2"/>
  <c r="X168" i="2"/>
  <c r="AK167" i="2"/>
  <c r="AE167" i="2" a="1"/>
  <c r="AE167" i="2" s="1"/>
  <c r="AF167" i="2" s="1"/>
  <c r="AC167" i="2"/>
  <c r="AD167" i="2" s="1"/>
  <c r="AC167" i="2" a="1"/>
  <c r="AB167" i="2"/>
  <c r="AA167" i="2"/>
  <c r="X167" i="2"/>
  <c r="AK166" i="2"/>
  <c r="AE166" i="2" a="1"/>
  <c r="AE166" i="2" s="1"/>
  <c r="AF166" i="2" s="1"/>
  <c r="AC166" i="2"/>
  <c r="AD166" i="2" s="1"/>
  <c r="AC166" i="2" a="1"/>
  <c r="AB166" i="2"/>
  <c r="AA166" i="2"/>
  <c r="X166" i="2"/>
  <c r="AK165" i="2"/>
  <c r="AE165" i="2" a="1"/>
  <c r="AE165" i="2" s="1"/>
  <c r="AF165" i="2" s="1"/>
  <c r="AC165" i="2"/>
  <c r="AD165" i="2" s="1"/>
  <c r="AC165" i="2" a="1"/>
  <c r="AB165" i="2"/>
  <c r="AA165" i="2"/>
  <c r="X165" i="2"/>
  <c r="AK164" i="2"/>
  <c r="AE164" i="2" a="1"/>
  <c r="AE164" i="2" s="1"/>
  <c r="AF164" i="2" s="1"/>
  <c r="AC164" i="2"/>
  <c r="AD164" i="2" s="1"/>
  <c r="AC164" i="2" a="1"/>
  <c r="AB164" i="2"/>
  <c r="AA164" i="2"/>
  <c r="X164" i="2"/>
  <c r="AK163" i="2"/>
  <c r="AE163" i="2" a="1"/>
  <c r="AE163" i="2" s="1"/>
  <c r="AF163" i="2" s="1"/>
  <c r="AC163" i="2"/>
  <c r="AD163" i="2" s="1"/>
  <c r="AC163" i="2" a="1"/>
  <c r="AB163" i="2"/>
  <c r="AA163" i="2"/>
  <c r="X163" i="2"/>
  <c r="AK162" i="2"/>
  <c r="AE162" i="2" a="1"/>
  <c r="AE162" i="2" s="1"/>
  <c r="AF162" i="2" s="1"/>
  <c r="AC162" i="2"/>
  <c r="AD162" i="2" s="1"/>
  <c r="AC162" i="2" a="1"/>
  <c r="AB162" i="2"/>
  <c r="AA162" i="2"/>
  <c r="X162" i="2"/>
  <c r="AK161" i="2"/>
  <c r="AE161" i="2" a="1"/>
  <c r="AE161" i="2" s="1"/>
  <c r="AF161" i="2" s="1"/>
  <c r="AC161" i="2"/>
  <c r="AD161" i="2" s="1"/>
  <c r="AC161" i="2" a="1"/>
  <c r="AB161" i="2"/>
  <c r="AA161" i="2"/>
  <c r="X161" i="2"/>
  <c r="AK160" i="2"/>
  <c r="AE160" i="2" a="1"/>
  <c r="AE160" i="2" s="1"/>
  <c r="AF160" i="2" s="1"/>
  <c r="AC160" i="2"/>
  <c r="AD160" i="2" s="1"/>
  <c r="AC160" i="2" a="1"/>
  <c r="AB160" i="2"/>
  <c r="AA160" i="2"/>
  <c r="X160" i="2"/>
  <c r="AK159" i="2"/>
  <c r="AE159" i="2" a="1"/>
  <c r="AE159" i="2" s="1"/>
  <c r="AF159" i="2" s="1"/>
  <c r="AC159" i="2"/>
  <c r="AD159" i="2" s="1"/>
  <c r="AC159" i="2" a="1"/>
  <c r="AB159" i="2"/>
  <c r="AA159" i="2"/>
  <c r="X159" i="2"/>
  <c r="AK158" i="2"/>
  <c r="AE158" i="2" a="1"/>
  <c r="AE158" i="2" s="1"/>
  <c r="AF158" i="2" s="1"/>
  <c r="AC158" i="2"/>
  <c r="AD158" i="2" s="1"/>
  <c r="AC158" i="2" a="1"/>
  <c r="AB158" i="2"/>
  <c r="AA158" i="2"/>
  <c r="X158" i="2"/>
  <c r="AK157" i="2"/>
  <c r="AE157" i="2" a="1"/>
  <c r="AE157" i="2" s="1"/>
  <c r="AF157" i="2" s="1"/>
  <c r="AC157" i="2"/>
  <c r="AD157" i="2" s="1"/>
  <c r="AC157" i="2" a="1"/>
  <c r="AB157" i="2"/>
  <c r="AA157" i="2"/>
  <c r="X157" i="2"/>
  <c r="AK156" i="2"/>
  <c r="AE156" i="2" a="1"/>
  <c r="AE156" i="2" s="1"/>
  <c r="AF156" i="2" s="1"/>
  <c r="AC156" i="2"/>
  <c r="AD156" i="2" s="1"/>
  <c r="AC156" i="2" a="1"/>
  <c r="AB156" i="2"/>
  <c r="AA156" i="2"/>
  <c r="X156" i="2"/>
  <c r="AK155" i="2"/>
  <c r="AF155" i="2"/>
  <c r="AE155" i="2" a="1"/>
  <c r="AE155" i="2" s="1"/>
  <c r="AC155" i="2"/>
  <c r="AD155" i="2" s="1"/>
  <c r="AC155" i="2" a="1"/>
  <c r="AB155" i="2"/>
  <c r="AA155" i="2"/>
  <c r="X155" i="2"/>
  <c r="AK154" i="2"/>
  <c r="AE154" i="2" a="1"/>
  <c r="AE154" i="2" s="1"/>
  <c r="AF154" i="2" s="1"/>
  <c r="AC154" i="2"/>
  <c r="AD154" i="2" s="1"/>
  <c r="AC154" i="2" a="1"/>
  <c r="AB154" i="2"/>
  <c r="AA154" i="2"/>
  <c r="X154" i="2"/>
  <c r="AK153" i="2"/>
  <c r="AE153" i="2" a="1"/>
  <c r="AE153" i="2" s="1"/>
  <c r="AF153" i="2" s="1"/>
  <c r="AC153" i="2"/>
  <c r="AD153" i="2" s="1"/>
  <c r="AC153" i="2" a="1"/>
  <c r="AB153" i="2"/>
  <c r="AA153" i="2"/>
  <c r="X153" i="2"/>
  <c r="AK152" i="2"/>
  <c r="AE152" i="2" a="1"/>
  <c r="AE152" i="2" s="1"/>
  <c r="AF152" i="2" s="1"/>
  <c r="AC152" i="2" a="1"/>
  <c r="AC152" i="2" s="1"/>
  <c r="AD152" i="2" s="1"/>
  <c r="AB152" i="2"/>
  <c r="AA152" i="2"/>
  <c r="X152" i="2"/>
  <c r="AK151" i="2"/>
  <c r="AE151" i="2" a="1"/>
  <c r="AE151" i="2" s="1"/>
  <c r="AF151" i="2" s="1"/>
  <c r="AC151" i="2"/>
  <c r="AD151" i="2" s="1"/>
  <c r="AC151" i="2" a="1"/>
  <c r="AB151" i="2"/>
  <c r="AA151" i="2"/>
  <c r="X151" i="2"/>
  <c r="AK150" i="2"/>
  <c r="AE150" i="2"/>
  <c r="AF150" i="2" s="1"/>
  <c r="AE150" i="2" a="1"/>
  <c r="AC150" i="2"/>
  <c r="AD150" i="2" s="1"/>
  <c r="AC150" i="2" a="1"/>
  <c r="AB150" i="2"/>
  <c r="AA150" i="2"/>
  <c r="X150" i="2"/>
  <c r="AK149" i="2"/>
  <c r="AE149" i="2" a="1"/>
  <c r="AE149" i="2" s="1"/>
  <c r="AF149" i="2" s="1"/>
  <c r="AC149" i="2"/>
  <c r="AD149" i="2" s="1"/>
  <c r="AC149" i="2" a="1"/>
  <c r="AA149" i="2"/>
  <c r="AB149" i="2" s="1"/>
  <c r="X149" i="2"/>
  <c r="AK148" i="2"/>
  <c r="AE148" i="2" a="1"/>
  <c r="AE148" i="2" s="1"/>
  <c r="AF148" i="2" s="1"/>
  <c r="AC148" i="2"/>
  <c r="AD148" i="2" s="1"/>
  <c r="AC148" i="2" a="1"/>
  <c r="AB148" i="2"/>
  <c r="AA148" i="2"/>
  <c r="X148" i="2"/>
  <c r="AK147" i="2"/>
  <c r="AF147" i="2"/>
  <c r="AE147" i="2" a="1"/>
  <c r="AE147" i="2" s="1"/>
  <c r="AD147" i="2"/>
  <c r="AC147" i="2"/>
  <c r="AC147" i="2" a="1"/>
  <c r="AB147" i="2"/>
  <c r="AA147" i="2"/>
  <c r="X147" i="2"/>
  <c r="AK146" i="2"/>
  <c r="AE146" i="2" a="1"/>
  <c r="AE146" i="2" s="1"/>
  <c r="AF146" i="2" s="1"/>
  <c r="AC146" i="2"/>
  <c r="AD146" i="2" s="1"/>
  <c r="AC146" i="2" a="1"/>
  <c r="AB146" i="2"/>
  <c r="AA146" i="2"/>
  <c r="X146" i="2"/>
  <c r="AK145" i="2"/>
  <c r="AE145" i="2" a="1"/>
  <c r="AE145" i="2" s="1"/>
  <c r="AF145" i="2" s="1"/>
  <c r="AC145" i="2"/>
  <c r="AD145" i="2" s="1"/>
  <c r="AC145" i="2" a="1"/>
  <c r="AB145" i="2"/>
  <c r="AA145" i="2"/>
  <c r="X145" i="2"/>
  <c r="AK144" i="2"/>
  <c r="AE144" i="2" a="1"/>
  <c r="AE144" i="2" s="1"/>
  <c r="AF144" i="2" s="1"/>
  <c r="AC144" i="2" a="1"/>
  <c r="AC144" i="2" s="1"/>
  <c r="AD144" i="2" s="1"/>
  <c r="AB144" i="2"/>
  <c r="AA144" i="2"/>
  <c r="X144" i="2"/>
  <c r="AK143" i="2"/>
  <c r="AE143" i="2" a="1"/>
  <c r="AE143" i="2" s="1"/>
  <c r="AF143" i="2" s="1"/>
  <c r="AC143" i="2"/>
  <c r="AD143" i="2" s="1"/>
  <c r="AC143" i="2" a="1"/>
  <c r="AB143" i="2"/>
  <c r="AA143" i="2"/>
  <c r="X143" i="2"/>
  <c r="AK142" i="2"/>
  <c r="AE142" i="2"/>
  <c r="AF142" i="2" s="1"/>
  <c r="AE142" i="2" a="1"/>
  <c r="AC142" i="2"/>
  <c r="AD142" i="2" s="1"/>
  <c r="AC142" i="2" a="1"/>
  <c r="AB142" i="2"/>
  <c r="AA142" i="2"/>
  <c r="X142" i="2"/>
  <c r="AK141" i="2"/>
  <c r="AF141" i="2"/>
  <c r="AE141" i="2"/>
  <c r="AE141" i="2" a="1"/>
  <c r="AC141" i="2"/>
  <c r="AD141" i="2" s="1"/>
  <c r="AC141" i="2" a="1"/>
  <c r="AA141" i="2"/>
  <c r="AB141" i="2" s="1"/>
  <c r="X141" i="2"/>
  <c r="AK140" i="2"/>
  <c r="AE140" i="2" a="1"/>
  <c r="AE140" i="2" s="1"/>
  <c r="AF140" i="2" s="1"/>
  <c r="AC140" i="2"/>
  <c r="AD140" i="2" s="1"/>
  <c r="AC140" i="2" a="1"/>
  <c r="AB140" i="2"/>
  <c r="AA140" i="2"/>
  <c r="X140" i="2"/>
  <c r="AK139" i="2"/>
  <c r="AE139" i="2" a="1"/>
  <c r="AE139" i="2" s="1"/>
  <c r="AF139" i="2" s="1"/>
  <c r="AC139" i="2" a="1"/>
  <c r="AC139" i="2" s="1"/>
  <c r="AD139" i="2" s="1"/>
  <c r="AB139" i="2"/>
  <c r="AA139" i="2"/>
  <c r="X139" i="2"/>
  <c r="AK138" i="2"/>
  <c r="AE138" i="2" a="1"/>
  <c r="AE138" i="2" s="1"/>
  <c r="AF138" i="2" s="1"/>
  <c r="AD138" i="2"/>
  <c r="AC138" i="2"/>
  <c r="AC138" i="2" a="1"/>
  <c r="AB138" i="2"/>
  <c r="AA138" i="2"/>
  <c r="X138" i="2"/>
  <c r="AK137" i="2"/>
  <c r="AE137" i="2" a="1"/>
  <c r="AE137" i="2" s="1"/>
  <c r="AF137" i="2" s="1"/>
  <c r="AC137" i="2"/>
  <c r="AD137" i="2" s="1"/>
  <c r="AC137" i="2" a="1"/>
  <c r="AB137" i="2"/>
  <c r="AA137" i="2"/>
  <c r="X137" i="2"/>
  <c r="AK136" i="2"/>
  <c r="AE136" i="2" a="1"/>
  <c r="AE136" i="2" s="1"/>
  <c r="AF136" i="2" s="1"/>
  <c r="AC136" i="2" a="1"/>
  <c r="AC136" i="2" s="1"/>
  <c r="AD136" i="2" s="1"/>
  <c r="AA136" i="2"/>
  <c r="AB136" i="2" s="1"/>
  <c r="X136" i="2"/>
  <c r="AK135" i="2"/>
  <c r="AF135" i="2"/>
  <c r="AE135" i="2"/>
  <c r="AE135" i="2" a="1"/>
  <c r="AC135" i="2"/>
  <c r="AD135" i="2" s="1"/>
  <c r="AC135" i="2" a="1"/>
  <c r="AB135" i="2"/>
  <c r="AA135" i="2"/>
  <c r="X135" i="2"/>
  <c r="AK134" i="2"/>
  <c r="AE134" i="2"/>
  <c r="AF134" i="2" s="1"/>
  <c r="AE134" i="2" a="1"/>
  <c r="AC134" i="2" a="1"/>
  <c r="AC134" i="2" s="1"/>
  <c r="AD134" i="2" s="1"/>
  <c r="AB134" i="2"/>
  <c r="AA134" i="2"/>
  <c r="X134" i="2"/>
  <c r="AK133" i="2"/>
  <c r="AF133" i="2"/>
  <c r="AE133" i="2"/>
  <c r="AE133" i="2" a="1"/>
  <c r="AC133" i="2"/>
  <c r="AD133" i="2" s="1"/>
  <c r="AC133" i="2" a="1"/>
  <c r="AA133" i="2"/>
  <c r="AB133" i="2" s="1"/>
  <c r="X133" i="2"/>
  <c r="AK132" i="2"/>
  <c r="AE132" i="2" a="1"/>
  <c r="AE132" i="2" s="1"/>
  <c r="AF132" i="2" s="1"/>
  <c r="AD132" i="2"/>
  <c r="AC132" i="2"/>
  <c r="AC132" i="2" a="1"/>
  <c r="AA132" i="2"/>
  <c r="AB132" i="2" s="1"/>
  <c r="X132" i="2"/>
  <c r="AK131" i="2"/>
  <c r="AF131" i="2"/>
  <c r="AE131" i="2"/>
  <c r="AE131" i="2" a="1"/>
  <c r="AC131" i="2" a="1"/>
  <c r="AC131" i="2" s="1"/>
  <c r="AD131" i="2" s="1"/>
  <c r="AA131" i="2"/>
  <c r="AB131" i="2" s="1"/>
  <c r="X131" i="2"/>
  <c r="AK130" i="2"/>
  <c r="AE130" i="2" a="1"/>
  <c r="AE130" i="2" s="1"/>
  <c r="AF130" i="2" s="1"/>
  <c r="AC130" i="2" a="1"/>
  <c r="AC130" i="2" s="1"/>
  <c r="AD130" i="2" s="1"/>
  <c r="AB130" i="2"/>
  <c r="AA130" i="2"/>
  <c r="X130" i="2"/>
  <c r="AK129" i="2"/>
  <c r="AE129" i="2" a="1"/>
  <c r="AE129" i="2" s="1"/>
  <c r="AF129" i="2" s="1"/>
  <c r="AC129" i="2" a="1"/>
  <c r="AC129" i="2" s="1"/>
  <c r="AD129" i="2" s="1"/>
  <c r="AB129" i="2"/>
  <c r="AA129" i="2"/>
  <c r="X129" i="2"/>
  <c r="AK128" i="2"/>
  <c r="AE128" i="2" a="1"/>
  <c r="AE128" i="2" s="1"/>
  <c r="AF128" i="2" s="1"/>
  <c r="AC128" i="2" a="1"/>
  <c r="AC128" i="2" s="1"/>
  <c r="AD128" i="2" s="1"/>
  <c r="AA128" i="2"/>
  <c r="AB128" i="2" s="1"/>
  <c r="X128" i="2"/>
  <c r="AK127" i="2"/>
  <c r="AE127" i="2"/>
  <c r="AF127" i="2" s="1"/>
  <c r="AE127" i="2" a="1"/>
  <c r="AC127" i="2" a="1"/>
  <c r="AC127" i="2" s="1"/>
  <c r="AD127" i="2" s="1"/>
  <c r="AA127" i="2"/>
  <c r="AB127" i="2" s="1"/>
  <c r="X127" i="2"/>
  <c r="AK126" i="2"/>
  <c r="AE126" i="2"/>
  <c r="AF126" i="2" s="1"/>
  <c r="AE126" i="2" a="1"/>
  <c r="AC126" i="2" a="1"/>
  <c r="AC126" i="2" s="1"/>
  <c r="AD126" i="2" s="1"/>
  <c r="AA126" i="2"/>
  <c r="AB126" i="2" s="1"/>
  <c r="X126" i="2"/>
  <c r="AK125" i="2"/>
  <c r="AE125" i="2"/>
  <c r="AF125" i="2" s="1"/>
  <c r="AE125" i="2" a="1"/>
  <c r="AC125" i="2"/>
  <c r="AD125" i="2" s="1"/>
  <c r="AC125" i="2" a="1"/>
  <c r="AA125" i="2"/>
  <c r="AB125" i="2" s="1"/>
  <c r="X125" i="2"/>
  <c r="AK124" i="2"/>
  <c r="AE124" i="2" a="1"/>
  <c r="AE124" i="2" s="1"/>
  <c r="AF124" i="2" s="1"/>
  <c r="AC124" i="2" a="1"/>
  <c r="AC124" i="2" s="1"/>
  <c r="AD124" i="2" s="1"/>
  <c r="AA124" i="2"/>
  <c r="AB124" i="2" s="1"/>
  <c r="X124" i="2"/>
  <c r="AK123" i="2"/>
  <c r="AF123" i="2"/>
  <c r="AE123" i="2"/>
  <c r="AE123" i="2" a="1"/>
  <c r="AC123" i="2" a="1"/>
  <c r="AC123" i="2" s="1"/>
  <c r="AD123" i="2" s="1"/>
  <c r="AA123" i="2"/>
  <c r="AB123" i="2" s="1"/>
  <c r="X123" i="2"/>
  <c r="AK122" i="2"/>
  <c r="AE122" i="2" a="1"/>
  <c r="AE122" i="2" s="1"/>
  <c r="AF122" i="2" s="1"/>
  <c r="AC122" i="2" a="1"/>
  <c r="AC122" i="2" s="1"/>
  <c r="AD122" i="2" s="1"/>
  <c r="AB122" i="2"/>
  <c r="AA122" i="2"/>
  <c r="X122" i="2"/>
  <c r="AK121" i="2"/>
  <c r="AE121" i="2" a="1"/>
  <c r="AE121" i="2" s="1"/>
  <c r="AF121" i="2" s="1"/>
  <c r="AC121" i="2" a="1"/>
  <c r="AC121" i="2" s="1"/>
  <c r="AD121" i="2" s="1"/>
  <c r="AA121" i="2"/>
  <c r="AB121" i="2" s="1"/>
  <c r="X121" i="2"/>
  <c r="AK120" i="2"/>
  <c r="AE120" i="2" a="1"/>
  <c r="AE120" i="2" s="1"/>
  <c r="AF120" i="2" s="1"/>
  <c r="AC120" i="2" a="1"/>
  <c r="AC120" i="2" s="1"/>
  <c r="AD120" i="2" s="1"/>
  <c r="AA120" i="2"/>
  <c r="AB120" i="2" s="1"/>
  <c r="X120" i="2"/>
  <c r="AK119" i="2"/>
  <c r="AE119" i="2"/>
  <c r="AF119" i="2" s="1"/>
  <c r="AE119" i="2" a="1"/>
  <c r="AC119" i="2" a="1"/>
  <c r="AC119" i="2" s="1"/>
  <c r="AD119" i="2" s="1"/>
  <c r="AA119" i="2"/>
  <c r="AB119" i="2" s="1"/>
  <c r="X119" i="2"/>
  <c r="AK118" i="2"/>
  <c r="AE118" i="2"/>
  <c r="AF118" i="2" s="1"/>
  <c r="AE118" i="2" a="1"/>
  <c r="AC118" i="2" a="1"/>
  <c r="AC118" i="2" s="1"/>
  <c r="AD118" i="2" s="1"/>
  <c r="AA118" i="2"/>
  <c r="AB118" i="2" s="1"/>
  <c r="X118" i="2"/>
  <c r="AK117" i="2"/>
  <c r="AE117" i="2"/>
  <c r="AF117" i="2" s="1"/>
  <c r="AE117" i="2" a="1"/>
  <c r="AC117" i="2"/>
  <c r="AD117" i="2" s="1"/>
  <c r="AC117" i="2" a="1"/>
  <c r="AA117" i="2"/>
  <c r="AB117" i="2" s="1"/>
  <c r="X117" i="2"/>
  <c r="AK116" i="2"/>
  <c r="AE116" i="2"/>
  <c r="AF116" i="2" s="1"/>
  <c r="AE116" i="2" a="1"/>
  <c r="AC116" i="2" a="1"/>
  <c r="AC116" i="2" s="1"/>
  <c r="AD116" i="2" s="1"/>
  <c r="AA116" i="2"/>
  <c r="AB116" i="2" s="1"/>
  <c r="X116" i="2"/>
  <c r="AK115" i="2"/>
  <c r="AF115" i="2"/>
  <c r="AE115" i="2"/>
  <c r="AE115" i="2" a="1"/>
  <c r="AC115" i="2" a="1"/>
  <c r="AC115" i="2" s="1"/>
  <c r="AD115" i="2" s="1"/>
  <c r="AA115" i="2"/>
  <c r="AB115" i="2" s="1"/>
  <c r="X115" i="2"/>
  <c r="AK114" i="2"/>
  <c r="AE114" i="2" a="1"/>
  <c r="AE114" i="2" s="1"/>
  <c r="AF114" i="2" s="1"/>
  <c r="AC114" i="2" a="1"/>
  <c r="AC114" i="2" s="1"/>
  <c r="AD114" i="2" s="1"/>
  <c r="AB114" i="2"/>
  <c r="AA114" i="2"/>
  <c r="X114" i="2"/>
  <c r="AK113" i="2"/>
  <c r="AE113" i="2"/>
  <c r="AF113" i="2" s="1"/>
  <c r="AE113" i="2" a="1"/>
  <c r="AC113" i="2" a="1"/>
  <c r="AC113" i="2" s="1"/>
  <c r="AD113" i="2" s="1"/>
  <c r="AA113" i="2"/>
  <c r="AB113" i="2" s="1"/>
  <c r="X113" i="2"/>
  <c r="AK112" i="2"/>
  <c r="AE112" i="2" a="1"/>
  <c r="AE112" i="2" s="1"/>
  <c r="AF112" i="2" s="1"/>
  <c r="AC112" i="2" a="1"/>
  <c r="AC112" i="2" s="1"/>
  <c r="AD112" i="2" s="1"/>
  <c r="AA112" i="2"/>
  <c r="AB112" i="2" s="1"/>
  <c r="X112" i="2"/>
  <c r="AK111" i="2"/>
  <c r="AE111" i="2"/>
  <c r="AF111" i="2" s="1"/>
  <c r="AE111" i="2" a="1"/>
  <c r="AC111" i="2" a="1"/>
  <c r="AC111" i="2" s="1"/>
  <c r="AD111" i="2" s="1"/>
  <c r="AA111" i="2"/>
  <c r="AB111" i="2" s="1"/>
  <c r="X111" i="2"/>
  <c r="AK110" i="2"/>
  <c r="AE110" i="2"/>
  <c r="AF110" i="2" s="1"/>
  <c r="AE110" i="2" a="1"/>
  <c r="AC110" i="2" a="1"/>
  <c r="AC110" i="2" s="1"/>
  <c r="AD110" i="2" s="1"/>
  <c r="AA110" i="2"/>
  <c r="AB110" i="2" s="1"/>
  <c r="X110" i="2"/>
  <c r="AK109" i="2"/>
  <c r="AE109" i="2"/>
  <c r="AF109" i="2" s="1"/>
  <c r="AE109" i="2" a="1"/>
  <c r="AC109" i="2"/>
  <c r="AD109" i="2" s="1"/>
  <c r="AC109" i="2" a="1"/>
  <c r="AA109" i="2"/>
  <c r="AB109" i="2" s="1"/>
  <c r="X109" i="2"/>
  <c r="AK108" i="2"/>
  <c r="AE108" i="2"/>
  <c r="AF108" i="2" s="1"/>
  <c r="AE108" i="2" a="1"/>
  <c r="AD108" i="2"/>
  <c r="AC108" i="2" a="1"/>
  <c r="AC108" i="2" s="1"/>
  <c r="AA108" i="2"/>
  <c r="AB108" i="2" s="1"/>
  <c r="X108" i="2"/>
  <c r="AK107" i="2"/>
  <c r="AF107" i="2"/>
  <c r="AE107" i="2"/>
  <c r="AE107" i="2" a="1"/>
  <c r="AD107" i="2"/>
  <c r="AC107" i="2" a="1"/>
  <c r="AC107" i="2" s="1"/>
  <c r="AA107" i="2"/>
  <c r="AB107" i="2" s="1"/>
  <c r="X107" i="2"/>
  <c r="AK106" i="2"/>
  <c r="AE106" i="2"/>
  <c r="AF106" i="2" s="1"/>
  <c r="AE106" i="2" a="1"/>
  <c r="AD106" i="2"/>
  <c r="AC106" i="2" a="1"/>
  <c r="AC106" i="2" s="1"/>
  <c r="AB106" i="2"/>
  <c r="AA106" i="2"/>
  <c r="X106" i="2"/>
  <c r="AK105" i="2"/>
  <c r="AE105" i="2"/>
  <c r="AF105" i="2" s="1"/>
  <c r="AE105" i="2" a="1"/>
  <c r="AC105" i="2" a="1"/>
  <c r="AC105" i="2" s="1"/>
  <c r="AD105" i="2" s="1"/>
  <c r="AA105" i="2"/>
  <c r="AB105" i="2" s="1"/>
  <c r="X105" i="2"/>
  <c r="AK104" i="2"/>
  <c r="AE104" i="2" a="1"/>
  <c r="AE104" i="2" s="1"/>
  <c r="AF104" i="2" s="1"/>
  <c r="AC104" i="2" a="1"/>
  <c r="AC104" i="2" s="1"/>
  <c r="AD104" i="2" s="1"/>
  <c r="AA104" i="2"/>
  <c r="AB104" i="2" s="1"/>
  <c r="X104" i="2"/>
  <c r="AK103" i="2"/>
  <c r="AE103" i="2"/>
  <c r="AF103" i="2" s="1"/>
  <c r="AE103" i="2" a="1"/>
  <c r="AC103" i="2" a="1"/>
  <c r="AC103" i="2" s="1"/>
  <c r="AD103" i="2" s="1"/>
  <c r="AA103" i="2"/>
  <c r="AB103" i="2" s="1"/>
  <c r="X103" i="2"/>
  <c r="AK102" i="2"/>
  <c r="AE102" i="2"/>
  <c r="AF102" i="2" s="1"/>
  <c r="AE102" i="2" a="1"/>
  <c r="AC102" i="2" a="1"/>
  <c r="AC102" i="2" s="1"/>
  <c r="AD102" i="2" s="1"/>
  <c r="AA102" i="2"/>
  <c r="AB102" i="2" s="1"/>
  <c r="X102" i="2"/>
  <c r="AK101" i="2"/>
  <c r="AE101" i="2"/>
  <c r="AF101" i="2" s="1"/>
  <c r="AE101" i="2" a="1"/>
  <c r="AC101" i="2" a="1"/>
  <c r="AC101" i="2" s="1"/>
  <c r="AD101" i="2" s="1"/>
  <c r="AA101" i="2"/>
  <c r="AB101" i="2" s="1"/>
  <c r="X101" i="2"/>
  <c r="AK100" i="2"/>
  <c r="AE100" i="2"/>
  <c r="AF100" i="2" s="1"/>
  <c r="AE100" i="2" a="1"/>
  <c r="AD100" i="2"/>
  <c r="AC100" i="2" a="1"/>
  <c r="AC100" i="2" s="1"/>
  <c r="AA100" i="2"/>
  <c r="AB100" i="2" s="1"/>
  <c r="X100" i="2"/>
  <c r="AK99" i="2"/>
  <c r="AE99" i="2"/>
  <c r="AF99" i="2" s="1"/>
  <c r="AE99" i="2" a="1"/>
  <c r="AC99" i="2" a="1"/>
  <c r="AC99" i="2" s="1"/>
  <c r="AD99" i="2" s="1"/>
  <c r="AA99" i="2"/>
  <c r="AB99" i="2" s="1"/>
  <c r="X99" i="2"/>
  <c r="AK98" i="2"/>
  <c r="AE98" i="2"/>
  <c r="AF98" i="2" s="1"/>
  <c r="AE98" i="2" a="1"/>
  <c r="AC98" i="2" a="1"/>
  <c r="AC98" i="2" s="1"/>
  <c r="AD98" i="2" s="1"/>
  <c r="AB98" i="2"/>
  <c r="AA98" i="2"/>
  <c r="X98" i="2"/>
  <c r="AK97" i="2"/>
  <c r="AE97" i="2"/>
  <c r="AF97" i="2" s="1"/>
  <c r="AE97" i="2" a="1"/>
  <c r="AC97" i="2" a="1"/>
  <c r="AC97" i="2" s="1"/>
  <c r="AD97" i="2" s="1"/>
  <c r="AA97" i="2"/>
  <c r="AB97" i="2" s="1"/>
  <c r="X97" i="2"/>
  <c r="AK96" i="2"/>
  <c r="AE96" i="2" a="1"/>
  <c r="AE96" i="2" s="1"/>
  <c r="AF96" i="2" s="1"/>
  <c r="AC96" i="2" a="1"/>
  <c r="AC96" i="2" s="1"/>
  <c r="AD96" i="2" s="1"/>
  <c r="AA96" i="2"/>
  <c r="AB96" i="2" s="1"/>
  <c r="X96" i="2"/>
  <c r="AK95" i="2"/>
  <c r="AF95" i="2"/>
  <c r="AE95" i="2"/>
  <c r="AE95" i="2" a="1"/>
  <c r="AC95" i="2" a="1"/>
  <c r="AC95" i="2" s="1"/>
  <c r="AD95" i="2" s="1"/>
  <c r="AA95" i="2"/>
  <c r="AB95" i="2" s="1"/>
  <c r="X95" i="2"/>
  <c r="AK94" i="2"/>
  <c r="AE94" i="2"/>
  <c r="AF94" i="2" s="1"/>
  <c r="AE94" i="2" a="1"/>
  <c r="AC94" i="2" a="1"/>
  <c r="AC94" i="2" s="1"/>
  <c r="AD94" i="2" s="1"/>
  <c r="AB94" i="2"/>
  <c r="AA94" i="2"/>
  <c r="X94" i="2"/>
  <c r="AK93" i="2"/>
  <c r="AE93" i="2"/>
  <c r="AF93" i="2" s="1"/>
  <c r="AE93" i="2" a="1"/>
  <c r="AC93" i="2"/>
  <c r="AD93" i="2" s="1"/>
  <c r="AC93" i="2" a="1"/>
  <c r="AA93" i="2"/>
  <c r="AB93" i="2" s="1"/>
  <c r="X93" i="2"/>
  <c r="AK92" i="2"/>
  <c r="AE92" i="2"/>
  <c r="AF92" i="2" s="1"/>
  <c r="AE92" i="2" a="1"/>
  <c r="AD92" i="2"/>
  <c r="AC92" i="2" a="1"/>
  <c r="AC92" i="2" s="1"/>
  <c r="AA92" i="2"/>
  <c r="AB92" i="2" s="1"/>
  <c r="X92" i="2"/>
  <c r="AK91" i="2"/>
  <c r="AF91" i="2"/>
  <c r="AE91" i="2"/>
  <c r="AE91" i="2" a="1"/>
  <c r="AC91" i="2" a="1"/>
  <c r="AC91" i="2" s="1"/>
  <c r="AD91" i="2" s="1"/>
  <c r="AA91" i="2"/>
  <c r="AB91" i="2" s="1"/>
  <c r="X91" i="2"/>
  <c r="AK90" i="2"/>
  <c r="AE90" i="2"/>
  <c r="AF90" i="2" s="1"/>
  <c r="AE90" i="2" a="1"/>
  <c r="AD90" i="2"/>
  <c r="AC90" i="2" a="1"/>
  <c r="AC90" i="2" s="1"/>
  <c r="AA90" i="2"/>
  <c r="AB90" i="2" s="1"/>
  <c r="X90" i="2"/>
  <c r="AK89" i="2"/>
  <c r="AE89" i="2"/>
  <c r="AF89" i="2" s="1"/>
  <c r="AE89" i="2" a="1"/>
  <c r="AC89" i="2" a="1"/>
  <c r="AC89" i="2" s="1"/>
  <c r="AD89" i="2" s="1"/>
  <c r="AA89" i="2"/>
  <c r="AB89" i="2" s="1"/>
  <c r="X89" i="2"/>
  <c r="AK88" i="2"/>
  <c r="AE88" i="2"/>
  <c r="AF88" i="2" s="1"/>
  <c r="AE88" i="2" a="1"/>
  <c r="AD88" i="2"/>
  <c r="AC88" i="2" a="1"/>
  <c r="AC88" i="2" s="1"/>
  <c r="AA88" i="2"/>
  <c r="AB88" i="2" s="1"/>
  <c r="X88" i="2"/>
  <c r="AK87" i="2"/>
  <c r="AF87" i="2"/>
  <c r="AE87" i="2"/>
  <c r="AE87" i="2" a="1"/>
  <c r="AC87" i="2" a="1"/>
  <c r="AC87" i="2" s="1"/>
  <c r="AD87" i="2" s="1"/>
  <c r="AA87" i="2"/>
  <c r="AB87" i="2" s="1"/>
  <c r="X87" i="2"/>
  <c r="AK86" i="2"/>
  <c r="AE86" i="2"/>
  <c r="AF86" i="2" s="1"/>
  <c r="AE86" i="2" a="1"/>
  <c r="AD86" i="2"/>
  <c r="AC86" i="2"/>
  <c r="AC86" i="2" a="1"/>
  <c r="AA86" i="2"/>
  <c r="AB86" i="2" s="1"/>
  <c r="X86" i="2"/>
  <c r="AK85" i="2"/>
  <c r="AF85" i="2"/>
  <c r="AE85" i="2"/>
  <c r="AE85" i="2" a="1"/>
  <c r="AC85" i="2" a="1"/>
  <c r="AC85" i="2" s="1"/>
  <c r="AD85" i="2" s="1"/>
  <c r="AA85" i="2"/>
  <c r="AB85" i="2" s="1"/>
  <c r="X85" i="2"/>
  <c r="AK84" i="2"/>
  <c r="AF84" i="2"/>
  <c r="AE84" i="2"/>
  <c r="AE84" i="2" a="1"/>
  <c r="AC84" i="2" a="1"/>
  <c r="AC84" i="2" s="1"/>
  <c r="AD84" i="2" s="1"/>
  <c r="AB84" i="2"/>
  <c r="AA84" i="2"/>
  <c r="X84" i="2"/>
  <c r="AK83" i="2"/>
  <c r="AE83" i="2"/>
  <c r="AF83" i="2" s="1"/>
  <c r="AE83" i="2" a="1"/>
  <c r="AD83" i="2"/>
  <c r="AC83" i="2" a="1"/>
  <c r="AC83" i="2" s="1"/>
  <c r="AA83" i="2"/>
  <c r="AB83" i="2" s="1"/>
  <c r="X83" i="2"/>
  <c r="AK82" i="2"/>
  <c r="AE82" i="2" a="1"/>
  <c r="AE82" i="2" s="1"/>
  <c r="AF82" i="2" s="1"/>
  <c r="AD82" i="2"/>
  <c r="AC82" i="2" a="1"/>
  <c r="AC82" i="2" s="1"/>
  <c r="AB82" i="2"/>
  <c r="AA82" i="2"/>
  <c r="X82" i="2"/>
  <c r="AK81" i="2"/>
  <c r="AE81" i="2"/>
  <c r="AF81" i="2" s="1"/>
  <c r="AE81" i="2" a="1"/>
  <c r="AC81" i="2" a="1"/>
  <c r="AC81" i="2" s="1"/>
  <c r="AD81" i="2" s="1"/>
  <c r="AA81" i="2"/>
  <c r="AB81" i="2" s="1"/>
  <c r="X81" i="2"/>
  <c r="AK80" i="2"/>
  <c r="AE80" i="2" a="1"/>
  <c r="AE80" i="2" s="1"/>
  <c r="AF80" i="2" s="1"/>
  <c r="AC80" i="2" a="1"/>
  <c r="AC80" i="2" s="1"/>
  <c r="AD80" i="2" s="1"/>
  <c r="AA80" i="2"/>
  <c r="AB80" i="2" s="1"/>
  <c r="X80" i="2"/>
  <c r="AK79" i="2"/>
  <c r="AE79" i="2"/>
  <c r="AF79" i="2" s="1"/>
  <c r="AE79" i="2" a="1"/>
  <c r="AC79" i="2" a="1"/>
  <c r="AC79" i="2" s="1"/>
  <c r="AD79" i="2" s="1"/>
  <c r="AA79" i="2"/>
  <c r="AB79" i="2" s="1"/>
  <c r="X79" i="2"/>
  <c r="AK78" i="2"/>
  <c r="AE78" i="2"/>
  <c r="AF78" i="2" s="1"/>
  <c r="AE78" i="2" a="1"/>
  <c r="AC78" i="2"/>
  <c r="AD78" i="2" s="1"/>
  <c r="AC78" i="2" a="1"/>
  <c r="AB78" i="2"/>
  <c r="AA78" i="2"/>
  <c r="X78" i="2"/>
  <c r="AK77" i="2"/>
  <c r="AE77" i="2"/>
  <c r="AF77" i="2" s="1"/>
  <c r="AE77" i="2" a="1"/>
  <c r="AC77" i="2" a="1"/>
  <c r="AC77" i="2" s="1"/>
  <c r="AD77" i="2" s="1"/>
  <c r="AA77" i="2"/>
  <c r="AB77" i="2" s="1"/>
  <c r="X77" i="2"/>
  <c r="AK76" i="2"/>
  <c r="AE76" i="2"/>
  <c r="AF76" i="2" s="1"/>
  <c r="AE76" i="2" a="1"/>
  <c r="AC76" i="2" a="1"/>
  <c r="AC76" i="2" s="1"/>
  <c r="AD76" i="2" s="1"/>
  <c r="AB76" i="2"/>
  <c r="AA76" i="2"/>
  <c r="X76" i="2"/>
  <c r="AK75" i="2"/>
  <c r="AF75" i="2"/>
  <c r="AE75" i="2"/>
  <c r="AE75" i="2" a="1"/>
  <c r="AD75" i="2"/>
  <c r="AC75" i="2" a="1"/>
  <c r="AC75" i="2" s="1"/>
  <c r="AA75" i="2"/>
  <c r="AB75" i="2" s="1"/>
  <c r="X75" i="2"/>
  <c r="AK74" i="2"/>
  <c r="AE74" i="2" a="1"/>
  <c r="AE74" i="2" s="1"/>
  <c r="AF74" i="2" s="1"/>
  <c r="AC74" i="2" a="1"/>
  <c r="AC74" i="2" s="1"/>
  <c r="AD74" i="2" s="1"/>
  <c r="AA74" i="2"/>
  <c r="AB74" i="2" s="1"/>
  <c r="X74" i="2"/>
  <c r="AK73" i="2"/>
  <c r="AE73" i="2"/>
  <c r="AF73" i="2" s="1"/>
  <c r="AE73" i="2" a="1"/>
  <c r="AC73" i="2" a="1"/>
  <c r="AC73" i="2" s="1"/>
  <c r="AD73" i="2" s="1"/>
  <c r="AB73" i="2"/>
  <c r="AA73" i="2"/>
  <c r="X73" i="2"/>
  <c r="AK72" i="2"/>
  <c r="AE72" i="2" a="1"/>
  <c r="AE72" i="2" s="1"/>
  <c r="AF72" i="2" s="1"/>
  <c r="AC72" i="2"/>
  <c r="AD72" i="2" s="1"/>
  <c r="AC72" i="2" a="1"/>
  <c r="AA72" i="2"/>
  <c r="AB72" i="2" s="1"/>
  <c r="X72" i="2"/>
  <c r="AK71" i="2"/>
  <c r="AE71" i="2" a="1"/>
  <c r="AE71" i="2" s="1"/>
  <c r="AF71" i="2" s="1"/>
  <c r="AC71" i="2" a="1"/>
  <c r="AC71" i="2" s="1"/>
  <c r="AD71" i="2" s="1"/>
  <c r="AA71" i="2"/>
  <c r="AB71" i="2" s="1"/>
  <c r="X71" i="2"/>
  <c r="AK70" i="2"/>
  <c r="AE70" i="2"/>
  <c r="AF70" i="2" s="1"/>
  <c r="AE70" i="2" a="1"/>
  <c r="AC70" i="2" a="1"/>
  <c r="AC70" i="2" s="1"/>
  <c r="AD70" i="2" s="1"/>
  <c r="AA70" i="2"/>
  <c r="AB70" i="2" s="1"/>
  <c r="X70" i="2"/>
  <c r="AK69" i="2"/>
  <c r="AE69" i="2" a="1"/>
  <c r="AE69" i="2" s="1"/>
  <c r="AF69" i="2" s="1"/>
  <c r="AC69" i="2" a="1"/>
  <c r="AC69" i="2" s="1"/>
  <c r="AD69" i="2" s="1"/>
  <c r="AA69" i="2"/>
  <c r="AB69" i="2" s="1"/>
  <c r="X69" i="2"/>
  <c r="AK68" i="2"/>
  <c r="AE68" i="2"/>
  <c r="AF68" i="2" s="1"/>
  <c r="AE68" i="2" a="1"/>
  <c r="AC68" i="2"/>
  <c r="AD68" i="2" s="1"/>
  <c r="AC68" i="2" a="1"/>
  <c r="AA68" i="2"/>
  <c r="AB68" i="2" s="1"/>
  <c r="X68" i="2"/>
  <c r="AK67" i="2"/>
  <c r="AE67" i="2"/>
  <c r="AF67" i="2" s="1"/>
  <c r="AE67" i="2" a="1"/>
  <c r="AC67" i="2" a="1"/>
  <c r="AC67" i="2" s="1"/>
  <c r="AD67" i="2" s="1"/>
  <c r="AA67" i="2"/>
  <c r="AB67" i="2" s="1"/>
  <c r="X67" i="2"/>
  <c r="AK66" i="2"/>
  <c r="AF66" i="2"/>
  <c r="AE66" i="2"/>
  <c r="AE66" i="2" a="1"/>
  <c r="AC66" i="2" a="1"/>
  <c r="AC66" i="2" s="1"/>
  <c r="AD66" i="2" s="1"/>
  <c r="AA66" i="2"/>
  <c r="AB66" i="2" s="1"/>
  <c r="X66" i="2"/>
  <c r="AK65" i="2"/>
  <c r="AE65" i="2"/>
  <c r="AF65" i="2" s="1"/>
  <c r="AE65" i="2" a="1"/>
  <c r="AC65" i="2" a="1"/>
  <c r="AC65" i="2" s="1"/>
  <c r="AD65" i="2" s="1"/>
  <c r="AB65" i="2"/>
  <c r="AA65" i="2"/>
  <c r="X65" i="2"/>
  <c r="AK64" i="2"/>
  <c r="AE64" i="2"/>
  <c r="AF64" i="2" s="1"/>
  <c r="AE64" i="2" a="1"/>
  <c r="AC64" i="2" a="1"/>
  <c r="AC64" i="2" s="1"/>
  <c r="AD64" i="2" s="1"/>
  <c r="AA64" i="2"/>
  <c r="AB64" i="2" s="1"/>
  <c r="X64" i="2"/>
  <c r="AK63" i="2"/>
  <c r="AE63" i="2" a="1"/>
  <c r="AE63" i="2" s="1"/>
  <c r="AF63" i="2" s="1"/>
  <c r="AC63" i="2" a="1"/>
  <c r="AC63" i="2" s="1"/>
  <c r="AD63" i="2" s="1"/>
  <c r="AA63" i="2"/>
  <c r="AB63" i="2" s="1"/>
  <c r="X63" i="2"/>
  <c r="AK62" i="2"/>
  <c r="AE62" i="2"/>
  <c r="AF62" i="2" s="1"/>
  <c r="AE62" i="2" a="1"/>
  <c r="AC62" i="2" a="1"/>
  <c r="AC62" i="2" s="1"/>
  <c r="AD62" i="2" s="1"/>
  <c r="AA62" i="2"/>
  <c r="AB62" i="2" s="1"/>
  <c r="X62" i="2"/>
  <c r="AK61" i="2"/>
  <c r="AE61" i="2" a="1"/>
  <c r="AE61" i="2" s="1"/>
  <c r="AF61" i="2" s="1"/>
  <c r="AC61" i="2" a="1"/>
  <c r="AC61" i="2" s="1"/>
  <c r="AD61" i="2" s="1"/>
  <c r="AA61" i="2"/>
  <c r="AB61" i="2" s="1"/>
  <c r="X61" i="2"/>
  <c r="AK60" i="2"/>
  <c r="AE60" i="2"/>
  <c r="AF60" i="2" s="1"/>
  <c r="AE60" i="2" a="1"/>
  <c r="AC60" i="2"/>
  <c r="AD60" i="2" s="1"/>
  <c r="AC60" i="2" a="1"/>
  <c r="AA60" i="2"/>
  <c r="AB60" i="2" s="1"/>
  <c r="X60" i="2"/>
  <c r="AK59" i="2"/>
  <c r="AE59" i="2"/>
  <c r="AF59" i="2" s="1"/>
  <c r="AE59" i="2" a="1"/>
  <c r="AC59" i="2" a="1"/>
  <c r="AC59" i="2" s="1"/>
  <c r="AD59" i="2" s="1"/>
  <c r="AA59" i="2"/>
  <c r="AB59" i="2" s="1"/>
  <c r="X59" i="2"/>
  <c r="AK58" i="2"/>
  <c r="AF58" i="2"/>
  <c r="AE58" i="2"/>
  <c r="AE58" i="2" a="1"/>
  <c r="AC58" i="2" a="1"/>
  <c r="AC58" i="2" s="1"/>
  <c r="AD58" i="2" s="1"/>
  <c r="AA58" i="2"/>
  <c r="AB58" i="2" s="1"/>
  <c r="X58" i="2"/>
  <c r="AK57" i="2"/>
  <c r="AE57" i="2"/>
  <c r="AF57" i="2" s="1"/>
  <c r="AE57" i="2" a="1"/>
  <c r="AC57" i="2" a="1"/>
  <c r="AC57" i="2" s="1"/>
  <c r="AD57" i="2" s="1"/>
  <c r="AB57" i="2"/>
  <c r="AA57" i="2"/>
  <c r="X57" i="2"/>
  <c r="AK56" i="2"/>
  <c r="AE56" i="2"/>
  <c r="AF56" i="2" s="1"/>
  <c r="AE56" i="2" a="1"/>
  <c r="AC56" i="2" a="1"/>
  <c r="AC56" i="2" s="1"/>
  <c r="AD56" i="2" s="1"/>
  <c r="AA56" i="2"/>
  <c r="AB56" i="2" s="1"/>
  <c r="X56" i="2"/>
  <c r="AK55" i="2"/>
  <c r="AE55" i="2" a="1"/>
  <c r="AE55" i="2" s="1"/>
  <c r="AF55" i="2" s="1"/>
  <c r="AC55" i="2" a="1"/>
  <c r="AC55" i="2" s="1"/>
  <c r="AD55" i="2" s="1"/>
  <c r="AA55" i="2"/>
  <c r="AB55" i="2" s="1"/>
  <c r="X55" i="2"/>
  <c r="AK54" i="2"/>
  <c r="AE54" i="2"/>
  <c r="AF54" i="2" s="1"/>
  <c r="AE54" i="2" a="1"/>
  <c r="AC54" i="2" a="1"/>
  <c r="AC54" i="2" s="1"/>
  <c r="AD54" i="2" s="1"/>
  <c r="AA54" i="2"/>
  <c r="AB54" i="2" s="1"/>
  <c r="X54" i="2"/>
  <c r="AK53" i="2"/>
  <c r="AE53" i="2" a="1"/>
  <c r="AE53" i="2" s="1"/>
  <c r="AF53" i="2" s="1"/>
  <c r="AC53" i="2" a="1"/>
  <c r="AC53" i="2" s="1"/>
  <c r="AD53" i="2" s="1"/>
  <c r="AA53" i="2"/>
  <c r="AB53" i="2" s="1"/>
  <c r="X53" i="2"/>
  <c r="AK52" i="2"/>
  <c r="AE52" i="2"/>
  <c r="AF52" i="2" s="1"/>
  <c r="AE52" i="2" a="1"/>
  <c r="AC52" i="2" a="1"/>
  <c r="AC52" i="2" s="1"/>
  <c r="AD52" i="2" s="1"/>
  <c r="AA52" i="2"/>
  <c r="AB52" i="2" s="1"/>
  <c r="X52" i="2"/>
  <c r="AK51" i="2"/>
  <c r="AE51" i="2"/>
  <c r="AF51" i="2" s="1"/>
  <c r="AE51" i="2" a="1"/>
  <c r="AC51" i="2" a="1"/>
  <c r="AC51" i="2" s="1"/>
  <c r="AD51" i="2" s="1"/>
  <c r="AA51" i="2"/>
  <c r="AB51" i="2" s="1"/>
  <c r="X51" i="2"/>
  <c r="AK50" i="2"/>
  <c r="AE50" i="2"/>
  <c r="AF50" i="2" s="1"/>
  <c r="AE50" i="2" a="1"/>
  <c r="AC50" i="2" a="1"/>
  <c r="AC50" i="2" s="1"/>
  <c r="AD50" i="2" s="1"/>
  <c r="AA50" i="2"/>
  <c r="AB50" i="2" s="1"/>
  <c r="X50" i="2"/>
  <c r="AK49" i="2"/>
  <c r="AE49" i="2"/>
  <c r="AF49" i="2" s="1"/>
  <c r="AE49" i="2" a="1"/>
  <c r="AC49" i="2" a="1"/>
  <c r="AC49" i="2" s="1"/>
  <c r="AD49" i="2" s="1"/>
  <c r="AA49" i="2"/>
  <c r="AB49" i="2" s="1"/>
  <c r="X49" i="2"/>
  <c r="AK48" i="2"/>
  <c r="AE48" i="2"/>
  <c r="AF48" i="2" s="1"/>
  <c r="AE48" i="2" a="1"/>
  <c r="AC48" i="2" a="1"/>
  <c r="AC48" i="2" s="1"/>
  <c r="AD48" i="2" s="1"/>
  <c r="AA48" i="2"/>
  <c r="AB48" i="2" s="1"/>
  <c r="X48" i="2"/>
  <c r="AK47" i="2"/>
  <c r="AE47" i="2" a="1"/>
  <c r="AE47" i="2" s="1"/>
  <c r="AF47" i="2" s="1"/>
  <c r="AC47" i="2" a="1"/>
  <c r="AC47" i="2" s="1"/>
  <c r="AD47" i="2" s="1"/>
  <c r="AA47" i="2"/>
  <c r="AB47" i="2" s="1"/>
  <c r="X47" i="2"/>
  <c r="AK46" i="2"/>
  <c r="AE46" i="2"/>
  <c r="AF46" i="2" s="1"/>
  <c r="AE46" i="2" a="1"/>
  <c r="AC46" i="2" a="1"/>
  <c r="AC46" i="2" s="1"/>
  <c r="AD46" i="2" s="1"/>
  <c r="AA46" i="2"/>
  <c r="AB46" i="2" s="1"/>
  <c r="X46" i="2"/>
  <c r="AK45" i="2"/>
  <c r="AE45" i="2" a="1"/>
  <c r="AE45" i="2" s="1"/>
  <c r="AF45" i="2" s="1"/>
  <c r="AC45" i="2" a="1"/>
  <c r="AC45" i="2" s="1"/>
  <c r="AD45" i="2" s="1"/>
  <c r="AA45" i="2"/>
  <c r="AB45" i="2" s="1"/>
  <c r="X45" i="2"/>
  <c r="AK44" i="2"/>
  <c r="AE44" i="2"/>
  <c r="AF44" i="2" s="1"/>
  <c r="AE44" i="2" a="1"/>
  <c r="AC44" i="2" a="1"/>
  <c r="AC44" i="2" s="1"/>
  <c r="AD44" i="2" s="1"/>
  <c r="AA44" i="2"/>
  <c r="AB44" i="2" s="1"/>
  <c r="X44" i="2"/>
  <c r="AK43" i="2"/>
  <c r="AE43" i="2"/>
  <c r="AF43" i="2" s="1"/>
  <c r="AE43" i="2" a="1"/>
  <c r="AC43" i="2" a="1"/>
  <c r="AC43" i="2" s="1"/>
  <c r="AD43" i="2" s="1"/>
  <c r="AA43" i="2"/>
  <c r="AB43" i="2" s="1"/>
  <c r="X43" i="2"/>
  <c r="AK42" i="2"/>
  <c r="AE42" i="2"/>
  <c r="AF42" i="2" s="1"/>
  <c r="AE42" i="2" a="1"/>
  <c r="AC42" i="2" a="1"/>
  <c r="AC42" i="2" s="1"/>
  <c r="AD42" i="2" s="1"/>
  <c r="AA42" i="2"/>
  <c r="AB42" i="2" s="1"/>
  <c r="X42" i="2"/>
  <c r="AK41" i="2"/>
  <c r="AE41" i="2"/>
  <c r="AF41" i="2" s="1"/>
  <c r="AE41" i="2" a="1"/>
  <c r="AC41" i="2" a="1"/>
  <c r="AC41" i="2" s="1"/>
  <c r="AD41" i="2" s="1"/>
  <c r="AA41" i="2"/>
  <c r="AB41" i="2" s="1"/>
  <c r="X41" i="2"/>
  <c r="AK40" i="2"/>
  <c r="AE40" i="2"/>
  <c r="AF40" i="2" s="1"/>
  <c r="AE40" i="2" a="1"/>
  <c r="AC40" i="2" a="1"/>
  <c r="AC40" i="2" s="1"/>
  <c r="AD40" i="2" s="1"/>
  <c r="AA40" i="2"/>
  <c r="AB40" i="2" s="1"/>
  <c r="X40" i="2"/>
  <c r="AK39" i="2"/>
  <c r="AE39" i="2"/>
  <c r="AF39" i="2" s="1"/>
  <c r="AE39" i="2" a="1"/>
  <c r="AC39" i="2" a="1"/>
  <c r="AC39" i="2" s="1"/>
  <c r="AD39" i="2" s="1"/>
  <c r="AA39" i="2"/>
  <c r="AB39" i="2" s="1"/>
  <c r="X39" i="2"/>
  <c r="AK38" i="2"/>
  <c r="AE38" i="2"/>
  <c r="AF38" i="2" s="1"/>
  <c r="AE38" i="2" a="1"/>
  <c r="AC38" i="2" a="1"/>
  <c r="AC38" i="2" s="1"/>
  <c r="AD38" i="2" s="1"/>
  <c r="AA38" i="2"/>
  <c r="AB38" i="2" s="1"/>
  <c r="X38" i="2"/>
  <c r="AK37" i="2"/>
  <c r="AE37" i="2" a="1"/>
  <c r="AE37" i="2" s="1"/>
  <c r="AF37" i="2" s="1"/>
  <c r="AC37" i="2" a="1"/>
  <c r="AC37" i="2" s="1"/>
  <c r="AD37" i="2" s="1"/>
  <c r="AA37" i="2"/>
  <c r="AB37" i="2" s="1"/>
  <c r="AK36" i="2"/>
  <c r="AE36" i="2" a="1"/>
  <c r="AE36" i="2" s="1"/>
  <c r="AF36" i="2" s="1"/>
  <c r="AC36" i="2" a="1"/>
  <c r="AC36" i="2" s="1"/>
  <c r="AD36" i="2" s="1"/>
  <c r="AB36" i="2"/>
  <c r="AA36" i="2"/>
  <c r="X36" i="2"/>
  <c r="AK35" i="2"/>
  <c r="AE35" i="2" a="1"/>
  <c r="AE35" i="2" s="1"/>
  <c r="AF35" i="2" s="1"/>
  <c r="AC35" i="2"/>
  <c r="AD35" i="2" s="1"/>
  <c r="AC35" i="2" a="1"/>
  <c r="AB35" i="2"/>
  <c r="AA35" i="2"/>
  <c r="X35" i="2"/>
  <c r="AK34" i="2"/>
  <c r="AE34" i="2"/>
  <c r="AF34" i="2" s="1"/>
  <c r="AE34" i="2" a="1"/>
  <c r="AC34" i="2" a="1"/>
  <c r="AC34" i="2" s="1"/>
  <c r="AD34" i="2" s="1"/>
  <c r="AB34" i="2"/>
  <c r="AA34" i="2"/>
  <c r="X34" i="2"/>
  <c r="AK33" i="2"/>
  <c r="AE33" i="2" a="1"/>
  <c r="AE33" i="2" s="1"/>
  <c r="AF33" i="2" s="1"/>
  <c r="AC33" i="2"/>
  <c r="AD33" i="2" s="1"/>
  <c r="AC33" i="2" a="1"/>
  <c r="AA33" i="2"/>
  <c r="AB33" i="2" s="1"/>
  <c r="X33" i="2"/>
  <c r="AK32" i="2"/>
  <c r="AE32" i="2" a="1"/>
  <c r="AE32" i="2" s="1"/>
  <c r="AF32" i="2" s="1"/>
  <c r="AC32" i="2"/>
  <c r="AD32" i="2" s="1"/>
  <c r="AC32" i="2" a="1"/>
  <c r="AB32" i="2"/>
  <c r="AA32" i="2"/>
  <c r="X32" i="2"/>
  <c r="AK31" i="2"/>
  <c r="AE31" i="2" a="1"/>
  <c r="AE31" i="2" s="1"/>
  <c r="AF31" i="2" s="1"/>
  <c r="AD31" i="2"/>
  <c r="AC31" i="2"/>
  <c r="AC31" i="2" a="1"/>
  <c r="AA31" i="2"/>
  <c r="AB31" i="2" s="1"/>
  <c r="X31" i="2"/>
  <c r="AK30" i="2"/>
  <c r="AE30" i="2" a="1"/>
  <c r="AE30" i="2" s="1"/>
  <c r="AF30" i="2" s="1"/>
  <c r="AC30" i="2"/>
  <c r="AD30" i="2" s="1"/>
  <c r="AC30" i="2" a="1"/>
  <c r="AB30" i="2"/>
  <c r="AA30" i="2"/>
  <c r="X30" i="2"/>
  <c r="AK29" i="2"/>
  <c r="AE29" i="2" a="1"/>
  <c r="AE29" i="2" s="1"/>
  <c r="AF29" i="2" s="1"/>
  <c r="AC29" i="2"/>
  <c r="AD29" i="2" s="1"/>
  <c r="AC29" i="2" a="1"/>
  <c r="AB29" i="2"/>
  <c r="AA29" i="2"/>
  <c r="X29" i="2"/>
  <c r="AK28" i="2"/>
  <c r="AE28" i="2" a="1"/>
  <c r="AE28" i="2" s="1"/>
  <c r="AF28" i="2" s="1"/>
  <c r="AC28" i="2" a="1"/>
  <c r="AC28" i="2" s="1"/>
  <c r="AD28" i="2" s="1"/>
  <c r="AB28" i="2"/>
  <c r="AA28" i="2"/>
  <c r="X28" i="2"/>
  <c r="AK27" i="2"/>
  <c r="AE27" i="2" a="1"/>
  <c r="AE27" i="2" s="1"/>
  <c r="AF27" i="2" s="1"/>
  <c r="AC27" i="2"/>
  <c r="AD27" i="2" s="1"/>
  <c r="AC27" i="2" a="1"/>
  <c r="AB27" i="2"/>
  <c r="AA27" i="2"/>
  <c r="X27" i="2"/>
  <c r="AK26" i="2"/>
  <c r="AE26" i="2"/>
  <c r="AF26" i="2" s="1"/>
  <c r="AE26" i="2" a="1"/>
  <c r="AC26" i="2" a="1"/>
  <c r="AC26" i="2" s="1"/>
  <c r="AD26" i="2" s="1"/>
  <c r="AB26" i="2"/>
  <c r="AA26" i="2"/>
  <c r="X26" i="2"/>
  <c r="AK25" i="2"/>
  <c r="AE25" i="2" a="1"/>
  <c r="AE25" i="2" s="1"/>
  <c r="AF25" i="2" s="1"/>
  <c r="AC25" i="2"/>
  <c r="AD25" i="2" s="1"/>
  <c r="AC25" i="2" a="1"/>
  <c r="AA25" i="2"/>
  <c r="AB25" i="2" s="1"/>
  <c r="X25" i="2"/>
  <c r="AK24" i="2"/>
  <c r="AE24" i="2" a="1"/>
  <c r="AE24" i="2" s="1"/>
  <c r="AF24" i="2" s="1"/>
  <c r="AC24" i="2"/>
  <c r="AD24" i="2" s="1"/>
  <c r="AC24" i="2" a="1"/>
  <c r="AB24" i="2"/>
  <c r="AA24" i="2"/>
  <c r="X24" i="2"/>
  <c r="AK23" i="2"/>
  <c r="AE23" i="2" a="1"/>
  <c r="AE23" i="2" s="1"/>
  <c r="AF23" i="2" s="1"/>
  <c r="AD23" i="2"/>
  <c r="AC23" i="2"/>
  <c r="AC23" i="2" a="1"/>
  <c r="AA23" i="2"/>
  <c r="AB23" i="2" s="1"/>
  <c r="X23" i="2"/>
  <c r="AK22" i="2"/>
  <c r="AE22" i="2" a="1"/>
  <c r="AE22" i="2" s="1"/>
  <c r="AF22" i="2" s="1"/>
  <c r="AC22" i="2"/>
  <c r="AD22" i="2" s="1"/>
  <c r="AC22" i="2" a="1"/>
  <c r="AB22" i="2"/>
  <c r="AA22" i="2"/>
  <c r="X22" i="2"/>
  <c r="AK21" i="2"/>
  <c r="AE21" i="2" a="1"/>
  <c r="AE21" i="2" s="1"/>
  <c r="AF21" i="2" s="1"/>
  <c r="AC21" i="2"/>
  <c r="AD21" i="2" s="1"/>
  <c r="AC21" i="2" a="1"/>
  <c r="AB21" i="2"/>
  <c r="AA21" i="2"/>
  <c r="X21" i="2"/>
  <c r="AK20" i="2"/>
  <c r="AE20" i="2" a="1"/>
  <c r="AE20" i="2" s="1"/>
  <c r="AF20" i="2" s="1"/>
  <c r="AC20" i="2" a="1"/>
  <c r="AC20" i="2" s="1"/>
  <c r="AD20" i="2" s="1"/>
  <c r="AB20" i="2"/>
  <c r="AA20" i="2"/>
  <c r="X20" i="2"/>
  <c r="AK19" i="2"/>
  <c r="AE19" i="2" a="1"/>
  <c r="AE19" i="2" s="1"/>
  <c r="AF19" i="2" s="1"/>
  <c r="AC19" i="2"/>
  <c r="AD19" i="2" s="1"/>
  <c r="AC19" i="2" a="1"/>
  <c r="AB19" i="2"/>
  <c r="AA19" i="2"/>
  <c r="X19" i="2"/>
  <c r="AK18" i="2"/>
  <c r="AE18" i="2"/>
  <c r="AF18" i="2" s="1"/>
  <c r="AE18" i="2" a="1"/>
  <c r="AC18" i="2" a="1"/>
  <c r="AC18" i="2" s="1"/>
  <c r="AD18" i="2" s="1"/>
  <c r="AB18" i="2"/>
  <c r="AA18" i="2"/>
  <c r="X18" i="2"/>
  <c r="AK17" i="2"/>
  <c r="AE17" i="2" a="1"/>
  <c r="AE17" i="2" s="1"/>
  <c r="AF17" i="2" s="1"/>
  <c r="AC17" i="2"/>
  <c r="AD17" i="2" s="1"/>
  <c r="AC17" i="2" a="1"/>
  <c r="AA17" i="2"/>
  <c r="AB17" i="2" s="1"/>
  <c r="X17" i="2"/>
  <c r="AK16" i="2"/>
  <c r="AE16" i="2" a="1"/>
  <c r="AE16" i="2" s="1"/>
  <c r="AF16" i="2" s="1"/>
  <c r="AC16" i="2"/>
  <c r="AD16" i="2" s="1"/>
  <c r="AC16" i="2" a="1"/>
  <c r="AB16" i="2"/>
  <c r="AA16" i="2"/>
  <c r="X16" i="2"/>
  <c r="AK15" i="2"/>
  <c r="AE15" i="2" a="1"/>
  <c r="AE15" i="2" s="1"/>
  <c r="AF15" i="2" s="1"/>
  <c r="AD15" i="2"/>
  <c r="AC15" i="2"/>
  <c r="AC15" i="2" a="1"/>
  <c r="AA15" i="2"/>
  <c r="AB15" i="2" s="1"/>
  <c r="X15" i="2"/>
  <c r="AK14" i="2"/>
  <c r="AE14" i="2" a="1"/>
  <c r="AE14" i="2" s="1"/>
  <c r="AF14" i="2" s="1"/>
  <c r="AC14" i="2"/>
  <c r="AD14" i="2" s="1"/>
  <c r="AC14" i="2" a="1"/>
  <c r="AB14" i="2"/>
  <c r="AA14" i="2"/>
  <c r="X14" i="2"/>
  <c r="AK13" i="2"/>
  <c r="AE13" i="2" a="1"/>
  <c r="AE13" i="2" s="1"/>
  <c r="AF13" i="2" s="1"/>
  <c r="AC13" i="2"/>
  <c r="AD13" i="2" s="1"/>
  <c r="AC13" i="2" a="1"/>
  <c r="AB13" i="2"/>
  <c r="AA13" i="2"/>
  <c r="X13" i="2"/>
  <c r="AK12" i="2"/>
  <c r="AE12" i="2" a="1"/>
  <c r="AE12" i="2" s="1"/>
  <c r="AF12" i="2" s="1"/>
  <c r="AC12" i="2" a="1"/>
  <c r="AC12" i="2" s="1"/>
  <c r="AD12" i="2" s="1"/>
  <c r="AB12" i="2"/>
  <c r="AA12" i="2"/>
  <c r="X12" i="2"/>
  <c r="AK11" i="2"/>
  <c r="AE11" i="2" a="1"/>
  <c r="AE11" i="2" s="1"/>
  <c r="AF11" i="2" s="1"/>
  <c r="AC11" i="2"/>
  <c r="AD11" i="2" s="1"/>
  <c r="AC11" i="2" a="1"/>
  <c r="AB11" i="2"/>
  <c r="AA11" i="2"/>
  <c r="X11" i="2"/>
  <c r="AK10" i="2"/>
  <c r="AE10" i="2"/>
  <c r="AF10" i="2" s="1"/>
  <c r="AE10" i="2" a="1"/>
  <c r="AC10" i="2" a="1"/>
  <c r="AC10" i="2" s="1"/>
  <c r="AD10" i="2" s="1"/>
  <c r="AB10" i="2"/>
  <c r="AA10" i="2"/>
  <c r="X10" i="2"/>
  <c r="AK9" i="2"/>
  <c r="AE9" i="2" a="1"/>
  <c r="AE9" i="2" s="1"/>
  <c r="AF9" i="2" s="1"/>
  <c r="AC9" i="2"/>
  <c r="AD9" i="2" s="1"/>
  <c r="AC9" i="2" a="1"/>
  <c r="AA9" i="2"/>
  <c r="AB9" i="2" s="1"/>
  <c r="X9" i="2"/>
  <c r="AK8" i="2"/>
  <c r="AE8" i="2"/>
  <c r="AF8" i="2" s="1"/>
  <c r="AE8" i="2" a="1"/>
  <c r="AC8" i="2"/>
  <c r="AD8" i="2" s="1"/>
  <c r="AC8" i="2" a="1"/>
  <c r="AB8" i="2"/>
  <c r="AA8" i="2"/>
  <c r="X8" i="2"/>
  <c r="AK7" i="2"/>
  <c r="AE7" i="2" a="1"/>
  <c r="AE7" i="2" s="1"/>
  <c r="AF7" i="2" s="1"/>
  <c r="AD7" i="2"/>
  <c r="AC7" i="2"/>
  <c r="AC7" i="2" a="1"/>
  <c r="AA7" i="2"/>
  <c r="AB7" i="2" s="1"/>
  <c r="X7" i="2"/>
  <c r="AK6" i="2"/>
  <c r="AE6" i="2" a="1"/>
  <c r="AE6" i="2" s="1"/>
  <c r="AF6" i="2" s="1"/>
  <c r="AC6" i="2"/>
  <c r="AD6" i="2" s="1"/>
  <c r="AC6" i="2" a="1"/>
  <c r="AB6" i="2"/>
  <c r="AA6" i="2"/>
  <c r="X6" i="2"/>
  <c r="AK5" i="2"/>
  <c r="AE5" i="2" a="1"/>
  <c r="AE5" i="2" s="1"/>
  <c r="AF5" i="2" s="1"/>
  <c r="AD5" i="2"/>
  <c r="AC5" i="2"/>
  <c r="AC5" i="2" a="1"/>
  <c r="AB5" i="2"/>
  <c r="AA5" i="2"/>
  <c r="X5" i="2"/>
  <c r="AK4" i="2"/>
  <c r="AE4" i="2" a="1"/>
  <c r="AE4" i="2" s="1"/>
  <c r="AF4" i="2" s="1"/>
  <c r="AC4" i="2" a="1"/>
  <c r="AC4" i="2" s="1"/>
  <c r="AD4" i="2" s="1"/>
  <c r="AB4" i="2"/>
  <c r="AA4" i="2"/>
  <c r="X4" i="2"/>
  <c r="AK3" i="2"/>
  <c r="AE3" i="2" a="1"/>
  <c r="AE3" i="2" s="1"/>
  <c r="AF3" i="2" s="1"/>
  <c r="AC3" i="2" a="1"/>
  <c r="AC3" i="2" s="1"/>
  <c r="AD3" i="2" s="1"/>
  <c r="AB3" i="2"/>
  <c r="AA3" i="2"/>
  <c r="X3" i="2"/>
  <c r="AK2" i="2"/>
  <c r="AE2" i="2"/>
  <c r="AF2" i="2" s="1"/>
  <c r="AE2" i="2" a="1"/>
  <c r="AC2" i="2" a="1"/>
  <c r="AC2" i="2" s="1"/>
  <c r="AD2" i="2" s="1"/>
  <c r="AB2" i="2"/>
  <c r="AA2" i="2"/>
  <c r="X2" i="2"/>
  <c r="AK236" i="5"/>
  <c r="AE236" i="5" a="1"/>
  <c r="AE236" i="5" s="1"/>
  <c r="AF236" i="5" s="1"/>
  <c r="AC236" i="5"/>
  <c r="AD236" i="5" s="1"/>
  <c r="AC236" i="5" a="1"/>
  <c r="AA236" i="5"/>
  <c r="AB236" i="5" s="1"/>
  <c r="X236" i="5"/>
  <c r="AK235" i="5"/>
  <c r="AE235" i="5"/>
  <c r="AF235" i="5" s="1"/>
  <c r="AE235" i="5" a="1"/>
  <c r="AC235" i="5"/>
  <c r="AD235" i="5" s="1"/>
  <c r="AC235" i="5" a="1"/>
  <c r="AA235" i="5"/>
  <c r="AB235" i="5" s="1"/>
  <c r="X235" i="5"/>
  <c r="AK234" i="5"/>
  <c r="AF234" i="5"/>
  <c r="AE234" i="5"/>
  <c r="AE234" i="5" a="1"/>
  <c r="AD234" i="5"/>
  <c r="AC234" i="5"/>
  <c r="AC234" i="5" a="1"/>
  <c r="AA234" i="5"/>
  <c r="AB234" i="5" s="1"/>
  <c r="X234" i="5"/>
  <c r="AK233" i="5"/>
  <c r="AE233" i="5" a="1"/>
  <c r="AE233" i="5" s="1"/>
  <c r="AF233" i="5" s="1"/>
  <c r="AC233" i="5"/>
  <c r="AD233" i="5" s="1"/>
  <c r="AC233" i="5" a="1"/>
  <c r="AB233" i="5"/>
  <c r="AA233" i="5"/>
  <c r="X233" i="5"/>
  <c r="AK232" i="5"/>
  <c r="AE232" i="5" a="1"/>
  <c r="AE232" i="5" s="1"/>
  <c r="AF232" i="5" s="1"/>
  <c r="AD232" i="5"/>
  <c r="AC232" i="5"/>
  <c r="AC232" i="5" a="1"/>
  <c r="AB232" i="5"/>
  <c r="AA232" i="5"/>
  <c r="X232" i="5"/>
  <c r="AK231" i="5"/>
  <c r="AE231" i="5" a="1"/>
  <c r="AE231" i="5" s="1"/>
  <c r="AF231" i="5" s="1"/>
  <c r="AC231" i="5" a="1"/>
  <c r="AC231" i="5" s="1"/>
  <c r="AD231" i="5" s="1"/>
  <c r="AB231" i="5"/>
  <c r="AA231" i="5"/>
  <c r="X231" i="5"/>
  <c r="AK230" i="5"/>
  <c r="AE230" i="5" a="1"/>
  <c r="AE230" i="5" s="1"/>
  <c r="AF230" i="5" s="1"/>
  <c r="AC230" i="5" a="1"/>
  <c r="AC230" i="5" s="1"/>
  <c r="AD230" i="5" s="1"/>
  <c r="AB230" i="5"/>
  <c r="AA230" i="5"/>
  <c r="X230" i="5"/>
  <c r="AK229" i="5"/>
  <c r="AE229" i="5"/>
  <c r="AF229" i="5" s="1"/>
  <c r="AE229" i="5" a="1"/>
  <c r="AC229" i="5" a="1"/>
  <c r="AC229" i="5" s="1"/>
  <c r="AD229" i="5" s="1"/>
  <c r="AB229" i="5"/>
  <c r="AA229" i="5"/>
  <c r="X229" i="5"/>
  <c r="AK228" i="5"/>
  <c r="AE228" i="5" a="1"/>
  <c r="AE228" i="5" s="1"/>
  <c r="AF228" i="5" s="1"/>
  <c r="AC228" i="5"/>
  <c r="AD228" i="5" s="1"/>
  <c r="AC228" i="5" a="1"/>
  <c r="AA228" i="5"/>
  <c r="AB228" i="5" s="1"/>
  <c r="X228" i="5"/>
  <c r="AK227" i="5"/>
  <c r="AE227" i="5"/>
  <c r="AF227" i="5" s="1"/>
  <c r="AE227" i="5" a="1"/>
  <c r="AC227" i="5"/>
  <c r="AD227" i="5" s="1"/>
  <c r="AC227" i="5" a="1"/>
  <c r="AA227" i="5"/>
  <c r="AB227" i="5" s="1"/>
  <c r="X227" i="5"/>
  <c r="AK226" i="5"/>
  <c r="AF226" i="5"/>
  <c r="AE226" i="5"/>
  <c r="AE226" i="5" a="1"/>
  <c r="AD226" i="5"/>
  <c r="AC226" i="5"/>
  <c r="AC226" i="5" a="1"/>
  <c r="AA226" i="5"/>
  <c r="AB226" i="5" s="1"/>
  <c r="X226" i="5"/>
  <c r="AK225" i="5"/>
  <c r="AE225" i="5" a="1"/>
  <c r="AE225" i="5" s="1"/>
  <c r="AF225" i="5" s="1"/>
  <c r="AC225" i="5"/>
  <c r="AD225" i="5" s="1"/>
  <c r="AC225" i="5" a="1"/>
  <c r="AB225" i="5"/>
  <c r="AA225" i="5"/>
  <c r="X225" i="5"/>
  <c r="AK224" i="5"/>
  <c r="AF224" i="5"/>
  <c r="AE224" i="5"/>
  <c r="AE224" i="5" a="1"/>
  <c r="AD224" i="5"/>
  <c r="AC224" i="5"/>
  <c r="AC224" i="5" a="1"/>
  <c r="AB224" i="5"/>
  <c r="AA224" i="5"/>
  <c r="X224" i="5"/>
  <c r="AK223" i="5"/>
  <c r="AE223" i="5" a="1"/>
  <c r="AE223" i="5" s="1"/>
  <c r="AF223" i="5" s="1"/>
  <c r="AC223" i="5" a="1"/>
  <c r="AC223" i="5" s="1"/>
  <c r="AD223" i="5" s="1"/>
  <c r="AB223" i="5"/>
  <c r="AA223" i="5"/>
  <c r="X223" i="5"/>
  <c r="AK222" i="5"/>
  <c r="AE222" i="5" a="1"/>
  <c r="AE222" i="5" s="1"/>
  <c r="AF222" i="5" s="1"/>
  <c r="AC222" i="5" a="1"/>
  <c r="AC222" i="5" s="1"/>
  <c r="AD222" i="5" s="1"/>
  <c r="AB222" i="5"/>
  <c r="AA222" i="5"/>
  <c r="X222" i="5"/>
  <c r="AK221" i="5"/>
  <c r="AE221" i="5"/>
  <c r="AF221" i="5" s="1"/>
  <c r="AE221" i="5" a="1"/>
  <c r="AC221" i="5" a="1"/>
  <c r="AC221" i="5" s="1"/>
  <c r="AD221" i="5" s="1"/>
  <c r="AB221" i="5"/>
  <c r="AA221" i="5"/>
  <c r="X221" i="5"/>
  <c r="AK220" i="5"/>
  <c r="AE220" i="5" a="1"/>
  <c r="AE220" i="5" s="1"/>
  <c r="AF220" i="5" s="1"/>
  <c r="AC220" i="5"/>
  <c r="AD220" i="5" s="1"/>
  <c r="AC220" i="5" a="1"/>
  <c r="AA220" i="5"/>
  <c r="AB220" i="5" s="1"/>
  <c r="X220" i="5"/>
  <c r="AK219" i="5"/>
  <c r="AE219" i="5"/>
  <c r="AF219" i="5" s="1"/>
  <c r="AE219" i="5" a="1"/>
  <c r="AC219" i="5"/>
  <c r="AD219" i="5" s="1"/>
  <c r="AC219" i="5" a="1"/>
  <c r="AA219" i="5"/>
  <c r="AB219" i="5" s="1"/>
  <c r="X219" i="5"/>
  <c r="AK218" i="5"/>
  <c r="AF218" i="5"/>
  <c r="AE218" i="5"/>
  <c r="AE218" i="5" a="1"/>
  <c r="AD218" i="5"/>
  <c r="AC218" i="5"/>
  <c r="AC218" i="5" a="1"/>
  <c r="AA218" i="5"/>
  <c r="AB218" i="5" s="1"/>
  <c r="X218" i="5"/>
  <c r="AK217" i="5"/>
  <c r="AE217" i="5" a="1"/>
  <c r="AE217" i="5" s="1"/>
  <c r="AF217" i="5" s="1"/>
  <c r="AC217" i="5"/>
  <c r="AD217" i="5" s="1"/>
  <c r="AC217" i="5" a="1"/>
  <c r="AB217" i="5"/>
  <c r="AA217" i="5"/>
  <c r="X217" i="5"/>
  <c r="AK216" i="5"/>
  <c r="AF216" i="5"/>
  <c r="AE216" i="5"/>
  <c r="AE216" i="5" a="1"/>
  <c r="AD216" i="5"/>
  <c r="AC216" i="5"/>
  <c r="AC216" i="5" a="1"/>
  <c r="AB216" i="5"/>
  <c r="AA216" i="5"/>
  <c r="X216" i="5"/>
  <c r="AK215" i="5"/>
  <c r="AF215" i="5"/>
  <c r="AE215" i="5"/>
  <c r="AE215" i="5" a="1"/>
  <c r="AC215" i="5" a="1"/>
  <c r="AC215" i="5" s="1"/>
  <c r="AD215" i="5" s="1"/>
  <c r="AB215" i="5"/>
  <c r="AA215" i="5"/>
  <c r="X215" i="5"/>
  <c r="AK214" i="5"/>
  <c r="AE214" i="5" a="1"/>
  <c r="AE214" i="5" s="1"/>
  <c r="AF214" i="5" s="1"/>
  <c r="AC214" i="5" a="1"/>
  <c r="AC214" i="5" s="1"/>
  <c r="AD214" i="5" s="1"/>
  <c r="AB214" i="5"/>
  <c r="AA214" i="5"/>
  <c r="X214" i="5"/>
  <c r="AK213" i="5"/>
  <c r="AE213" i="5"/>
  <c r="AF213" i="5" s="1"/>
  <c r="AE213" i="5" a="1"/>
  <c r="AC213" i="5" a="1"/>
  <c r="AC213" i="5" s="1"/>
  <c r="AD213" i="5" s="1"/>
  <c r="AB213" i="5"/>
  <c r="AA213" i="5"/>
  <c r="X213" i="5"/>
  <c r="AK212" i="5"/>
  <c r="AE212" i="5" a="1"/>
  <c r="AE212" i="5" s="1"/>
  <c r="AF212" i="5" s="1"/>
  <c r="AC212" i="5" a="1"/>
  <c r="AC212" i="5" s="1"/>
  <c r="AD212" i="5" s="1"/>
  <c r="AA212" i="5"/>
  <c r="AB212" i="5" s="1"/>
  <c r="X212" i="5"/>
  <c r="AK211" i="5"/>
  <c r="AE211" i="5"/>
  <c r="AF211" i="5" s="1"/>
  <c r="AE211" i="5" a="1"/>
  <c r="AC211" i="5"/>
  <c r="AD211" i="5" s="1"/>
  <c r="AC211" i="5" a="1"/>
  <c r="AA211" i="5"/>
  <c r="AB211" i="5" s="1"/>
  <c r="X211" i="5"/>
  <c r="AK210" i="5"/>
  <c r="AE210" i="5"/>
  <c r="AF210" i="5" s="1"/>
  <c r="AE210" i="5" a="1"/>
  <c r="AD210" i="5"/>
  <c r="AC210" i="5"/>
  <c r="AC210" i="5" a="1"/>
  <c r="AA210" i="5"/>
  <c r="AB210" i="5" s="1"/>
  <c r="X210" i="5"/>
  <c r="AK209" i="5"/>
  <c r="AF209" i="5"/>
  <c r="AE209" i="5"/>
  <c r="AE209" i="5" a="1"/>
  <c r="AC209" i="5"/>
  <c r="AD209" i="5" s="1"/>
  <c r="AC209" i="5" a="1"/>
  <c r="AA209" i="5"/>
  <c r="AB209" i="5" s="1"/>
  <c r="X209" i="5"/>
  <c r="AK208" i="5"/>
  <c r="AF208" i="5"/>
  <c r="AE208" i="5"/>
  <c r="AE208" i="5" a="1"/>
  <c r="AD208" i="5"/>
  <c r="AC208" i="5"/>
  <c r="AC208" i="5" a="1"/>
  <c r="AB208" i="5"/>
  <c r="AA208" i="5"/>
  <c r="X208" i="5"/>
  <c r="AK207" i="5"/>
  <c r="AF207" i="5"/>
  <c r="AE207" i="5"/>
  <c r="AE207" i="5" a="1"/>
  <c r="AC207" i="5" a="1"/>
  <c r="AC207" i="5" s="1"/>
  <c r="AD207" i="5" s="1"/>
  <c r="AB207" i="5"/>
  <c r="AA207" i="5"/>
  <c r="X207" i="5"/>
  <c r="AK206" i="5"/>
  <c r="AE206" i="5" a="1"/>
  <c r="AE206" i="5" s="1"/>
  <c r="AF206" i="5" s="1"/>
  <c r="AC206" i="5" a="1"/>
  <c r="AC206" i="5" s="1"/>
  <c r="AD206" i="5" s="1"/>
  <c r="AB206" i="5"/>
  <c r="AA206" i="5"/>
  <c r="X206" i="5"/>
  <c r="AK205" i="5"/>
  <c r="AE205" i="5"/>
  <c r="AF205" i="5" s="1"/>
  <c r="AE205" i="5" a="1"/>
  <c r="AC205" i="5" a="1"/>
  <c r="AC205" i="5" s="1"/>
  <c r="AD205" i="5" s="1"/>
  <c r="AB205" i="5"/>
  <c r="AA205" i="5"/>
  <c r="X205" i="5"/>
  <c r="AK204" i="5"/>
  <c r="AE204" i="5"/>
  <c r="AF204" i="5" s="1"/>
  <c r="AE204" i="5" a="1"/>
  <c r="AC204" i="5" a="1"/>
  <c r="AC204" i="5" s="1"/>
  <c r="AD204" i="5" s="1"/>
  <c r="AA204" i="5"/>
  <c r="AB204" i="5" s="1"/>
  <c r="X204" i="5"/>
  <c r="AK203" i="5"/>
  <c r="AE203" i="5"/>
  <c r="AF203" i="5" s="1"/>
  <c r="AE203" i="5" a="1"/>
  <c r="AC203" i="5"/>
  <c r="AD203" i="5" s="1"/>
  <c r="AC203" i="5" a="1"/>
  <c r="AA203" i="5"/>
  <c r="AB203" i="5" s="1"/>
  <c r="X203" i="5"/>
  <c r="AK202" i="5"/>
  <c r="AE202" i="5"/>
  <c r="AF202" i="5" s="1"/>
  <c r="AE202" i="5" a="1"/>
  <c r="AC202" i="5" a="1"/>
  <c r="AC202" i="5" s="1"/>
  <c r="AD202" i="5" s="1"/>
  <c r="AA202" i="5"/>
  <c r="AB202" i="5" s="1"/>
  <c r="X202" i="5"/>
  <c r="AK201" i="5"/>
  <c r="AF201" i="5"/>
  <c r="AE201" i="5"/>
  <c r="AE201" i="5" a="1"/>
  <c r="AC201" i="5" a="1"/>
  <c r="AC201" i="5" s="1"/>
  <c r="AD201" i="5" s="1"/>
  <c r="AA201" i="5"/>
  <c r="AB201" i="5" s="1"/>
  <c r="X201" i="5"/>
  <c r="AK200" i="5"/>
  <c r="AE200" i="5"/>
  <c r="AF200" i="5" s="1"/>
  <c r="AE200" i="5" a="1"/>
  <c r="AD200" i="5"/>
  <c r="AC200" i="5"/>
  <c r="AC200" i="5" a="1"/>
  <c r="AB200" i="5"/>
  <c r="AA200" i="5"/>
  <c r="X200" i="5"/>
  <c r="AK199" i="5"/>
  <c r="AE199" i="5"/>
  <c r="AF199" i="5" s="1"/>
  <c r="AE199" i="5" a="1"/>
  <c r="AC199" i="5" a="1"/>
  <c r="AC199" i="5" s="1"/>
  <c r="AD199" i="5" s="1"/>
  <c r="AA199" i="5"/>
  <c r="AB199" i="5" s="1"/>
  <c r="X199" i="5"/>
  <c r="AK198" i="5"/>
  <c r="AE198" i="5" a="1"/>
  <c r="AE198" i="5" s="1"/>
  <c r="AF198" i="5" s="1"/>
  <c r="AC198" i="5" a="1"/>
  <c r="AC198" i="5" s="1"/>
  <c r="AD198" i="5" s="1"/>
  <c r="AA198" i="5"/>
  <c r="AB198" i="5" s="1"/>
  <c r="X198" i="5"/>
  <c r="AK197" i="5"/>
  <c r="AE197" i="5"/>
  <c r="AF197" i="5" s="1"/>
  <c r="AE197" i="5" a="1"/>
  <c r="AC197" i="5" a="1"/>
  <c r="AC197" i="5" s="1"/>
  <c r="AD197" i="5" s="1"/>
  <c r="AB197" i="5"/>
  <c r="AA197" i="5"/>
  <c r="X197" i="5"/>
  <c r="AK196" i="5"/>
  <c r="AE196" i="5"/>
  <c r="AF196" i="5" s="1"/>
  <c r="AE196" i="5" a="1"/>
  <c r="AC196" i="5" a="1"/>
  <c r="AC196" i="5" s="1"/>
  <c r="AD196" i="5" s="1"/>
  <c r="AA196" i="5"/>
  <c r="AB196" i="5" s="1"/>
  <c r="X196" i="5"/>
  <c r="AK195" i="5"/>
  <c r="AE195" i="5"/>
  <c r="AF195" i="5" s="1"/>
  <c r="AE195" i="5" a="1"/>
  <c r="AC195" i="5"/>
  <c r="AD195" i="5" s="1"/>
  <c r="AC195" i="5" a="1"/>
  <c r="AA195" i="5"/>
  <c r="AB195" i="5" s="1"/>
  <c r="X195" i="5"/>
  <c r="AK194" i="5"/>
  <c r="AE194" i="5"/>
  <c r="AF194" i="5" s="1"/>
  <c r="AE194" i="5" a="1"/>
  <c r="AC194" i="5" a="1"/>
  <c r="AC194" i="5" s="1"/>
  <c r="AD194" i="5" s="1"/>
  <c r="AA194" i="5"/>
  <c r="AB194" i="5" s="1"/>
  <c r="X194" i="5"/>
  <c r="AK193" i="5"/>
  <c r="AF193" i="5"/>
  <c r="AE193" i="5"/>
  <c r="AE193" i="5" a="1"/>
  <c r="AC193" i="5" a="1"/>
  <c r="AC193" i="5" s="1"/>
  <c r="AD193" i="5" s="1"/>
  <c r="AA193" i="5"/>
  <c r="AB193" i="5" s="1"/>
  <c r="X193" i="5"/>
  <c r="AK192" i="5"/>
  <c r="AE192" i="5"/>
  <c r="AF192" i="5" s="1"/>
  <c r="AE192" i="5" a="1"/>
  <c r="AD192" i="5"/>
  <c r="AC192" i="5"/>
  <c r="AC192" i="5" a="1"/>
  <c r="AB192" i="5"/>
  <c r="AA192" i="5"/>
  <c r="X192" i="5"/>
  <c r="AK191" i="5"/>
  <c r="AE191" i="5"/>
  <c r="AF191" i="5" s="1"/>
  <c r="AE191" i="5" a="1"/>
  <c r="AC191" i="5" a="1"/>
  <c r="AC191" i="5" s="1"/>
  <c r="AD191" i="5" s="1"/>
  <c r="AA191" i="5"/>
  <c r="AB191" i="5" s="1"/>
  <c r="X191" i="5"/>
  <c r="AK190" i="5"/>
  <c r="AE190" i="5" a="1"/>
  <c r="AE190" i="5" s="1"/>
  <c r="AF190" i="5" s="1"/>
  <c r="AC190" i="5" a="1"/>
  <c r="AC190" i="5" s="1"/>
  <c r="AD190" i="5" s="1"/>
  <c r="AA190" i="5"/>
  <c r="AB190" i="5" s="1"/>
  <c r="X190" i="5"/>
  <c r="AK189" i="5"/>
  <c r="AE189" i="5"/>
  <c r="AF189" i="5" s="1"/>
  <c r="AE189" i="5" a="1"/>
  <c r="AC189" i="5" a="1"/>
  <c r="AC189" i="5" s="1"/>
  <c r="AD189" i="5" s="1"/>
  <c r="AB189" i="5"/>
  <c r="AA189" i="5"/>
  <c r="X189" i="5"/>
  <c r="AK188" i="5"/>
  <c r="AE188" i="5"/>
  <c r="AF188" i="5" s="1"/>
  <c r="AE188" i="5" a="1"/>
  <c r="AC188" i="5" a="1"/>
  <c r="AC188" i="5" s="1"/>
  <c r="AD188" i="5" s="1"/>
  <c r="AA188" i="5"/>
  <c r="AB188" i="5" s="1"/>
  <c r="X188" i="5"/>
  <c r="AK187" i="5"/>
  <c r="AE187" i="5"/>
  <c r="AF187" i="5" s="1"/>
  <c r="AE187" i="5" a="1"/>
  <c r="AC187" i="5" a="1"/>
  <c r="AC187" i="5" s="1"/>
  <c r="AD187" i="5" s="1"/>
  <c r="AA187" i="5"/>
  <c r="AB187" i="5" s="1"/>
  <c r="X187" i="5"/>
  <c r="AK186" i="5"/>
  <c r="AE186" i="5"/>
  <c r="AF186" i="5" s="1"/>
  <c r="AE186" i="5" a="1"/>
  <c r="AC186" i="5" a="1"/>
  <c r="AC186" i="5" s="1"/>
  <c r="AD186" i="5" s="1"/>
  <c r="AA186" i="5"/>
  <c r="AB186" i="5" s="1"/>
  <c r="X186" i="5"/>
  <c r="AK185" i="5"/>
  <c r="AE185" i="5"/>
  <c r="AF185" i="5" s="1"/>
  <c r="AE185" i="5" a="1"/>
  <c r="AC185" i="5" a="1"/>
  <c r="AC185" i="5" s="1"/>
  <c r="AD185" i="5" s="1"/>
  <c r="AA185" i="5"/>
  <c r="AB185" i="5" s="1"/>
  <c r="X185" i="5"/>
  <c r="AK184" i="5"/>
  <c r="AE184" i="5"/>
  <c r="AF184" i="5" s="1"/>
  <c r="AE184" i="5" a="1"/>
  <c r="AD184" i="5"/>
  <c r="AC184" i="5"/>
  <c r="AC184" i="5" a="1"/>
  <c r="AA184" i="5"/>
  <c r="AB184" i="5" s="1"/>
  <c r="X184" i="5"/>
  <c r="AK183" i="5"/>
  <c r="AE183" i="5"/>
  <c r="AF183" i="5" s="1"/>
  <c r="AE183" i="5" a="1"/>
  <c r="AC183" i="5" a="1"/>
  <c r="AC183" i="5" s="1"/>
  <c r="AD183" i="5" s="1"/>
  <c r="AA183" i="5"/>
  <c r="AB183" i="5" s="1"/>
  <c r="X183" i="5"/>
  <c r="AK182" i="5"/>
  <c r="AE182" i="5" a="1"/>
  <c r="AE182" i="5" s="1"/>
  <c r="AF182" i="5" s="1"/>
  <c r="AC182" i="5" a="1"/>
  <c r="AC182" i="5" s="1"/>
  <c r="AD182" i="5" s="1"/>
  <c r="AA182" i="5"/>
  <c r="AB182" i="5" s="1"/>
  <c r="X182" i="5"/>
  <c r="AK181" i="5"/>
  <c r="AE181" i="5"/>
  <c r="AF181" i="5" s="1"/>
  <c r="AE181" i="5" a="1"/>
  <c r="AC181" i="5" a="1"/>
  <c r="AC181" i="5" s="1"/>
  <c r="AD181" i="5" s="1"/>
  <c r="AB181" i="5"/>
  <c r="AA181" i="5"/>
  <c r="X181" i="5"/>
  <c r="AK180" i="5"/>
  <c r="AE180" i="5"/>
  <c r="AF180" i="5" s="1"/>
  <c r="AE180" i="5" a="1"/>
  <c r="AC180" i="5" a="1"/>
  <c r="AC180" i="5" s="1"/>
  <c r="AD180" i="5" s="1"/>
  <c r="AA180" i="5"/>
  <c r="AB180" i="5" s="1"/>
  <c r="X180" i="5"/>
  <c r="AK179" i="5"/>
  <c r="AE179" i="5"/>
  <c r="AF179" i="5" s="1"/>
  <c r="AE179" i="5" a="1"/>
  <c r="AC179" i="5" a="1"/>
  <c r="AC179" i="5" s="1"/>
  <c r="AD179" i="5" s="1"/>
  <c r="AA179" i="5"/>
  <c r="AB179" i="5" s="1"/>
  <c r="X179" i="5"/>
  <c r="AK178" i="5"/>
  <c r="AE178" i="5"/>
  <c r="AF178" i="5" s="1"/>
  <c r="AE178" i="5" a="1"/>
  <c r="AC178" i="5" a="1"/>
  <c r="AC178" i="5" s="1"/>
  <c r="AD178" i="5" s="1"/>
  <c r="AA178" i="5"/>
  <c r="AB178" i="5" s="1"/>
  <c r="X178" i="5"/>
  <c r="AK177" i="5"/>
  <c r="AE177" i="5"/>
  <c r="AF177" i="5" s="1"/>
  <c r="AE177" i="5" a="1"/>
  <c r="AC177" i="5" a="1"/>
  <c r="AC177" i="5" s="1"/>
  <c r="AD177" i="5" s="1"/>
  <c r="AA177" i="5"/>
  <c r="AB177" i="5" s="1"/>
  <c r="X177" i="5"/>
  <c r="AK176" i="5"/>
  <c r="AE176" i="5"/>
  <c r="AF176" i="5" s="1"/>
  <c r="AE176" i="5" a="1"/>
  <c r="AD176" i="5"/>
  <c r="AC176" i="5"/>
  <c r="AC176" i="5" a="1"/>
  <c r="AA176" i="5"/>
  <c r="AB176" i="5" s="1"/>
  <c r="X176" i="5"/>
  <c r="AK175" i="5"/>
  <c r="AE175" i="5"/>
  <c r="AF175" i="5" s="1"/>
  <c r="AE175" i="5" a="1"/>
  <c r="AC175" i="5" a="1"/>
  <c r="AC175" i="5" s="1"/>
  <c r="AD175" i="5" s="1"/>
  <c r="AA175" i="5"/>
  <c r="AB175" i="5" s="1"/>
  <c r="X175" i="5"/>
  <c r="AK174" i="5"/>
  <c r="AE174" i="5" a="1"/>
  <c r="AE174" i="5" s="1"/>
  <c r="AF174" i="5" s="1"/>
  <c r="AC174" i="5" a="1"/>
  <c r="AC174" i="5" s="1"/>
  <c r="AD174" i="5" s="1"/>
  <c r="AA174" i="5"/>
  <c r="AB174" i="5" s="1"/>
  <c r="X174" i="5"/>
  <c r="AK173" i="5"/>
  <c r="AE173" i="5"/>
  <c r="AF173" i="5" s="1"/>
  <c r="AE173" i="5" a="1"/>
  <c r="AC173" i="5" a="1"/>
  <c r="AC173" i="5" s="1"/>
  <c r="AD173" i="5" s="1"/>
  <c r="AB173" i="5"/>
  <c r="AA173" i="5"/>
  <c r="X173" i="5"/>
  <c r="AK172" i="5"/>
  <c r="AE172" i="5"/>
  <c r="AF172" i="5" s="1"/>
  <c r="AE172" i="5" a="1"/>
  <c r="AC172" i="5" a="1"/>
  <c r="AC172" i="5" s="1"/>
  <c r="AD172" i="5" s="1"/>
  <c r="AA172" i="5"/>
  <c r="AB172" i="5" s="1"/>
  <c r="X172" i="5"/>
  <c r="AK171" i="5"/>
  <c r="AE171" i="5"/>
  <c r="AF171" i="5" s="1"/>
  <c r="AE171" i="5" a="1"/>
  <c r="AC171" i="5" a="1"/>
  <c r="AC171" i="5" s="1"/>
  <c r="AD171" i="5" s="1"/>
  <c r="AA171" i="5"/>
  <c r="AB171" i="5" s="1"/>
  <c r="X171" i="5"/>
  <c r="AK170" i="5"/>
  <c r="AE170" i="5"/>
  <c r="AF170" i="5" s="1"/>
  <c r="AE170" i="5" a="1"/>
  <c r="AC170" i="5" a="1"/>
  <c r="AC170" i="5" s="1"/>
  <c r="AD170" i="5" s="1"/>
  <c r="AA170" i="5"/>
  <c r="AB170" i="5" s="1"/>
  <c r="X170" i="5"/>
  <c r="AK169" i="5"/>
  <c r="AE169" i="5"/>
  <c r="AF169" i="5" s="1"/>
  <c r="AE169" i="5" a="1"/>
  <c r="AC169" i="5" a="1"/>
  <c r="AC169" i="5" s="1"/>
  <c r="AD169" i="5" s="1"/>
  <c r="AA169" i="5"/>
  <c r="AB169" i="5" s="1"/>
  <c r="X169" i="5"/>
  <c r="AK168" i="5"/>
  <c r="AE168" i="5"/>
  <c r="AF168" i="5" s="1"/>
  <c r="AE168" i="5" a="1"/>
  <c r="AC168" i="5" a="1"/>
  <c r="AC168" i="5" s="1"/>
  <c r="AD168" i="5" s="1"/>
  <c r="AA168" i="5"/>
  <c r="AB168" i="5" s="1"/>
  <c r="X168" i="5"/>
  <c r="AK167" i="5"/>
  <c r="AE167" i="5"/>
  <c r="AF167" i="5" s="1"/>
  <c r="AE167" i="5" a="1"/>
  <c r="AC167" i="5" a="1"/>
  <c r="AC167" i="5" s="1"/>
  <c r="AD167" i="5" s="1"/>
  <c r="AA167" i="5"/>
  <c r="AB167" i="5" s="1"/>
  <c r="X167" i="5"/>
  <c r="AK166" i="5"/>
  <c r="AE166" i="5" a="1"/>
  <c r="AE166" i="5" s="1"/>
  <c r="AF166" i="5" s="1"/>
  <c r="AC166" i="5" a="1"/>
  <c r="AC166" i="5" s="1"/>
  <c r="AD166" i="5" s="1"/>
  <c r="AA166" i="5"/>
  <c r="AB166" i="5" s="1"/>
  <c r="X166" i="5"/>
  <c r="AK165" i="5"/>
  <c r="AE165" i="5"/>
  <c r="AF165" i="5" s="1"/>
  <c r="AE165" i="5" a="1"/>
  <c r="AC165" i="5" a="1"/>
  <c r="AC165" i="5" s="1"/>
  <c r="AD165" i="5" s="1"/>
  <c r="AA165" i="5"/>
  <c r="AB165" i="5" s="1"/>
  <c r="X165" i="5"/>
  <c r="AK164" i="5"/>
  <c r="AE164" i="5"/>
  <c r="AF164" i="5" s="1"/>
  <c r="AE164" i="5" a="1"/>
  <c r="AC164" i="5" a="1"/>
  <c r="AC164" i="5" s="1"/>
  <c r="AD164" i="5" s="1"/>
  <c r="AA164" i="5"/>
  <c r="AB164" i="5" s="1"/>
  <c r="X164" i="5"/>
  <c r="AK163" i="5"/>
  <c r="AE163" i="5"/>
  <c r="AF163" i="5" s="1"/>
  <c r="AE163" i="5" a="1"/>
  <c r="AC163" i="5" a="1"/>
  <c r="AC163" i="5" s="1"/>
  <c r="AD163" i="5" s="1"/>
  <c r="AA163" i="5"/>
  <c r="AB163" i="5" s="1"/>
  <c r="X163" i="5"/>
  <c r="AK162" i="5"/>
  <c r="AE162" i="5"/>
  <c r="AF162" i="5" s="1"/>
  <c r="AE162" i="5" a="1"/>
  <c r="AC162" i="5" a="1"/>
  <c r="AC162" i="5" s="1"/>
  <c r="AD162" i="5" s="1"/>
  <c r="AA162" i="5"/>
  <c r="AB162" i="5" s="1"/>
  <c r="X162" i="5"/>
  <c r="AK161" i="5"/>
  <c r="AE161" i="5"/>
  <c r="AF161" i="5" s="1"/>
  <c r="AE161" i="5" a="1"/>
  <c r="AC161" i="5" a="1"/>
  <c r="AC161" i="5" s="1"/>
  <c r="AD161" i="5" s="1"/>
  <c r="AA161" i="5"/>
  <c r="AB161" i="5" s="1"/>
  <c r="X161" i="5"/>
  <c r="AK160" i="5"/>
  <c r="AE160" i="5"/>
  <c r="AF160" i="5" s="1"/>
  <c r="AE160" i="5" a="1"/>
  <c r="AC160" i="5" a="1"/>
  <c r="AC160" i="5" s="1"/>
  <c r="AD160" i="5" s="1"/>
  <c r="AA160" i="5"/>
  <c r="AB160" i="5" s="1"/>
  <c r="AK159" i="5"/>
  <c r="AE159" i="5" a="1"/>
  <c r="AE159" i="5" s="1"/>
  <c r="AF159" i="5" s="1"/>
  <c r="AC159" i="5"/>
  <c r="AD159" i="5" s="1"/>
  <c r="AC159" i="5" a="1"/>
  <c r="AB159" i="5"/>
  <c r="AA159" i="5"/>
  <c r="X159" i="5"/>
  <c r="AK158" i="5"/>
  <c r="AE158" i="5" a="1"/>
  <c r="AE158" i="5" s="1"/>
  <c r="AF158" i="5" s="1"/>
  <c r="AC158" i="5"/>
  <c r="AD158" i="5" s="1"/>
  <c r="AC158" i="5" a="1"/>
  <c r="AB158" i="5"/>
  <c r="AA158" i="5"/>
  <c r="X158" i="5"/>
  <c r="AK157" i="5"/>
  <c r="AE157" i="5" a="1"/>
  <c r="AE157" i="5" s="1"/>
  <c r="AF157" i="5" s="1"/>
  <c r="AC157" i="5"/>
  <c r="AD157" i="5" s="1"/>
  <c r="AC157" i="5" a="1"/>
  <c r="AB157" i="5"/>
  <c r="AA157" i="5"/>
  <c r="X157" i="5"/>
  <c r="AK156" i="5"/>
  <c r="AE156" i="5" a="1"/>
  <c r="AE156" i="5" s="1"/>
  <c r="AF156" i="5" s="1"/>
  <c r="AC156" i="5"/>
  <c r="AD156" i="5" s="1"/>
  <c r="AC156" i="5" a="1"/>
  <c r="AB156" i="5"/>
  <c r="AA156" i="5"/>
  <c r="X156" i="5"/>
  <c r="AK155" i="5"/>
  <c r="AE155" i="5" a="1"/>
  <c r="AE155" i="5" s="1"/>
  <c r="AF155" i="5" s="1"/>
  <c r="AC155" i="5"/>
  <c r="AD155" i="5" s="1"/>
  <c r="AC155" i="5" a="1"/>
  <c r="AB155" i="5"/>
  <c r="AA155" i="5"/>
  <c r="X155" i="5"/>
  <c r="AK154" i="5"/>
  <c r="AE154" i="5" a="1"/>
  <c r="AE154" i="5" s="1"/>
  <c r="AF154" i="5" s="1"/>
  <c r="AC154" i="5"/>
  <c r="AD154" i="5" s="1"/>
  <c r="AC154" i="5" a="1"/>
  <c r="AB154" i="5"/>
  <c r="AA154" i="5"/>
  <c r="X154" i="5"/>
  <c r="AK153" i="5"/>
  <c r="AE153" i="5" a="1"/>
  <c r="AE153" i="5" s="1"/>
  <c r="AF153" i="5" s="1"/>
  <c r="AC153" i="5"/>
  <c r="AD153" i="5" s="1"/>
  <c r="AC153" i="5" a="1"/>
  <c r="AB153" i="5"/>
  <c r="AA153" i="5"/>
  <c r="X153" i="5"/>
  <c r="AK152" i="5"/>
  <c r="AE152" i="5" a="1"/>
  <c r="AE152" i="5" s="1"/>
  <c r="AF152" i="5" s="1"/>
  <c r="AC152" i="5"/>
  <c r="AD152" i="5" s="1"/>
  <c r="AC152" i="5" a="1"/>
  <c r="AB152" i="5"/>
  <c r="AA152" i="5"/>
  <c r="X152" i="5"/>
  <c r="AK151" i="5"/>
  <c r="AE151" i="5" a="1"/>
  <c r="AE151" i="5" s="1"/>
  <c r="AF151" i="5" s="1"/>
  <c r="AC151" i="5"/>
  <c r="AD151" i="5" s="1"/>
  <c r="AC151" i="5" a="1"/>
  <c r="AB151" i="5"/>
  <c r="AA151" i="5"/>
  <c r="X151" i="5"/>
  <c r="AK150" i="5"/>
  <c r="AE150" i="5" a="1"/>
  <c r="AE150" i="5" s="1"/>
  <c r="AF150" i="5" s="1"/>
  <c r="AC150" i="5"/>
  <c r="AD150" i="5" s="1"/>
  <c r="AC150" i="5" a="1"/>
  <c r="AB150" i="5"/>
  <c r="AA150" i="5"/>
  <c r="X150" i="5"/>
  <c r="AK149" i="5"/>
  <c r="AE149" i="5" a="1"/>
  <c r="AE149" i="5" s="1"/>
  <c r="AF149" i="5" s="1"/>
  <c r="AC149" i="5"/>
  <c r="AD149" i="5" s="1"/>
  <c r="AC149" i="5" a="1"/>
  <c r="AB149" i="5"/>
  <c r="AA149" i="5"/>
  <c r="X149" i="5"/>
  <c r="AK148" i="5"/>
  <c r="AE148" i="5" a="1"/>
  <c r="AE148" i="5" s="1"/>
  <c r="AF148" i="5" s="1"/>
  <c r="AC148" i="5"/>
  <c r="AD148" i="5" s="1"/>
  <c r="AC148" i="5" a="1"/>
  <c r="AB148" i="5"/>
  <c r="AA148" i="5"/>
  <c r="X148" i="5"/>
  <c r="AK147" i="5"/>
  <c r="AE147" i="5" a="1"/>
  <c r="AE147" i="5" s="1"/>
  <c r="AF147" i="5" s="1"/>
  <c r="AC147" i="5" a="1"/>
  <c r="AC147" i="5" s="1"/>
  <c r="AD147" i="5" s="1"/>
  <c r="AB147" i="5"/>
  <c r="AA147" i="5"/>
  <c r="X147" i="5"/>
  <c r="AK146" i="5"/>
  <c r="AE146" i="5" a="1"/>
  <c r="AE146" i="5" s="1"/>
  <c r="AF146" i="5" s="1"/>
  <c r="AC146" i="5"/>
  <c r="AD146" i="5" s="1"/>
  <c r="AC146" i="5" a="1"/>
  <c r="AB146" i="5"/>
  <c r="AA146" i="5"/>
  <c r="X146" i="5"/>
  <c r="AK145" i="5"/>
  <c r="AE145" i="5" a="1"/>
  <c r="AE145" i="5" s="1"/>
  <c r="AF145" i="5" s="1"/>
  <c r="AC145" i="5"/>
  <c r="AD145" i="5" s="1"/>
  <c r="AC145" i="5" a="1"/>
  <c r="AB145" i="5"/>
  <c r="AA145" i="5"/>
  <c r="X145" i="5"/>
  <c r="AK144" i="5"/>
  <c r="AE144" i="5" a="1"/>
  <c r="AE144" i="5" s="1"/>
  <c r="AF144" i="5" s="1"/>
  <c r="AC144" i="5"/>
  <c r="AD144" i="5" s="1"/>
  <c r="AC144" i="5" a="1"/>
  <c r="AA144" i="5"/>
  <c r="AB144" i="5" s="1"/>
  <c r="X144" i="5"/>
  <c r="AK143" i="5"/>
  <c r="AE143" i="5" a="1"/>
  <c r="AE143" i="5" s="1"/>
  <c r="AF143" i="5" s="1"/>
  <c r="AC143" i="5"/>
  <c r="AD143" i="5" s="1"/>
  <c r="AC143" i="5" a="1"/>
  <c r="AB143" i="5"/>
  <c r="AA143" i="5"/>
  <c r="X143" i="5"/>
  <c r="AK142" i="5"/>
  <c r="AE142" i="5" a="1"/>
  <c r="AE142" i="5" s="1"/>
  <c r="AF142" i="5" s="1"/>
  <c r="AC142" i="5"/>
  <c r="AD142" i="5" s="1"/>
  <c r="AC142" i="5" a="1"/>
  <c r="AB142" i="5"/>
  <c r="AA142" i="5"/>
  <c r="X142" i="5"/>
  <c r="AK141" i="5"/>
  <c r="AE141" i="5" a="1"/>
  <c r="AE141" i="5" s="1"/>
  <c r="AF141" i="5" s="1"/>
  <c r="AC141" i="5"/>
  <c r="AD141" i="5" s="1"/>
  <c r="AC141" i="5" a="1"/>
  <c r="AB141" i="5"/>
  <c r="AA141" i="5"/>
  <c r="X141" i="5"/>
  <c r="AK140" i="5"/>
  <c r="AE140" i="5" a="1"/>
  <c r="AE140" i="5" s="1"/>
  <c r="AF140" i="5" s="1"/>
  <c r="AC140" i="5"/>
  <c r="AD140" i="5" s="1"/>
  <c r="AC140" i="5" a="1"/>
  <c r="AB140" i="5"/>
  <c r="AA140" i="5"/>
  <c r="X140" i="5"/>
  <c r="AK139" i="5"/>
  <c r="AE139" i="5" a="1"/>
  <c r="AE139" i="5" s="1"/>
  <c r="AF139" i="5" s="1"/>
  <c r="AC139" i="5" a="1"/>
  <c r="AC139" i="5" s="1"/>
  <c r="AD139" i="5" s="1"/>
  <c r="AB139" i="5"/>
  <c r="AA139" i="5"/>
  <c r="X139" i="5"/>
  <c r="AK138" i="5"/>
  <c r="AE138" i="5" a="1"/>
  <c r="AE138" i="5" s="1"/>
  <c r="AF138" i="5" s="1"/>
  <c r="AC138" i="5"/>
  <c r="AD138" i="5" s="1"/>
  <c r="AC138" i="5" a="1"/>
  <c r="AB138" i="5"/>
  <c r="AA138" i="5"/>
  <c r="X138" i="5"/>
  <c r="AK137" i="5"/>
  <c r="AE137" i="5" a="1"/>
  <c r="AE137" i="5" s="1"/>
  <c r="AF137" i="5" s="1"/>
  <c r="AC137" i="5"/>
  <c r="AD137" i="5" s="1"/>
  <c r="AC137" i="5" a="1"/>
  <c r="AB137" i="5"/>
  <c r="AA137" i="5"/>
  <c r="X137" i="5"/>
  <c r="AK136" i="5"/>
  <c r="AE136" i="5" a="1"/>
  <c r="AE136" i="5" s="1"/>
  <c r="AF136" i="5" s="1"/>
  <c r="AC136" i="5"/>
  <c r="AD136" i="5" s="1"/>
  <c r="AC136" i="5" a="1"/>
  <c r="AA136" i="5"/>
  <c r="AB136" i="5" s="1"/>
  <c r="X136" i="5"/>
  <c r="AK135" i="5"/>
  <c r="AE135" i="5" a="1"/>
  <c r="AE135" i="5" s="1"/>
  <c r="AF135" i="5" s="1"/>
  <c r="AC135" i="5"/>
  <c r="AD135" i="5" s="1"/>
  <c r="AC135" i="5" a="1"/>
  <c r="AB135" i="5"/>
  <c r="AA135" i="5"/>
  <c r="X135" i="5"/>
  <c r="AK134" i="5"/>
  <c r="AF134" i="5"/>
  <c r="AE134" i="5"/>
  <c r="AE134" i="5" a="1"/>
  <c r="AC134" i="5"/>
  <c r="AD134" i="5" s="1"/>
  <c r="AC134" i="5" a="1"/>
  <c r="AB134" i="5"/>
  <c r="AA134" i="5"/>
  <c r="X134" i="5"/>
  <c r="AK133" i="5"/>
  <c r="AE133" i="5" a="1"/>
  <c r="AE133" i="5" s="1"/>
  <c r="AF133" i="5" s="1"/>
  <c r="AC133" i="5"/>
  <c r="AD133" i="5" s="1"/>
  <c r="AC133" i="5" a="1"/>
  <c r="AB133" i="5"/>
  <c r="AA133" i="5"/>
  <c r="X133" i="5"/>
  <c r="AK132" i="5"/>
  <c r="AE132" i="5" a="1"/>
  <c r="AE132" i="5" s="1"/>
  <c r="AF132" i="5" s="1"/>
  <c r="AC132" i="5"/>
  <c r="AD132" i="5" s="1"/>
  <c r="AC132" i="5" a="1"/>
  <c r="AB132" i="5"/>
  <c r="AA132" i="5"/>
  <c r="X132" i="5"/>
  <c r="AK131" i="5"/>
  <c r="AE131" i="5" a="1"/>
  <c r="AE131" i="5" s="1"/>
  <c r="AF131" i="5" s="1"/>
  <c r="AC131" i="5" a="1"/>
  <c r="AC131" i="5" s="1"/>
  <c r="AD131" i="5" s="1"/>
  <c r="AB131" i="5"/>
  <c r="AA131" i="5"/>
  <c r="X131" i="5"/>
  <c r="AK130" i="5"/>
  <c r="AE130" i="5" a="1"/>
  <c r="AE130" i="5" s="1"/>
  <c r="AF130" i="5" s="1"/>
  <c r="AC130" i="5"/>
  <c r="AD130" i="5" s="1"/>
  <c r="AC130" i="5" a="1"/>
  <c r="AB130" i="5"/>
  <c r="AA130" i="5"/>
  <c r="X130" i="5"/>
  <c r="AK129" i="5"/>
  <c r="AE129" i="5"/>
  <c r="AF129" i="5" s="1"/>
  <c r="AE129" i="5" a="1"/>
  <c r="AC129" i="5"/>
  <c r="AD129" i="5" s="1"/>
  <c r="AC129" i="5" a="1"/>
  <c r="AB129" i="5"/>
  <c r="AA129" i="5"/>
  <c r="X129" i="5"/>
  <c r="AK128" i="5"/>
  <c r="AE128" i="5" a="1"/>
  <c r="AE128" i="5" s="1"/>
  <c r="AF128" i="5" s="1"/>
  <c r="AC128" i="5"/>
  <c r="AD128" i="5" s="1"/>
  <c r="AC128" i="5" a="1"/>
  <c r="AA128" i="5"/>
  <c r="AB128" i="5" s="1"/>
  <c r="X128" i="5"/>
  <c r="AK127" i="5"/>
  <c r="AE127" i="5" a="1"/>
  <c r="AE127" i="5" s="1"/>
  <c r="AF127" i="5" s="1"/>
  <c r="AC127" i="5"/>
  <c r="AD127" i="5" s="1"/>
  <c r="AC127" i="5" a="1"/>
  <c r="AB127" i="5"/>
  <c r="AA127" i="5"/>
  <c r="X127" i="5"/>
  <c r="AK126" i="5"/>
  <c r="AF126" i="5"/>
  <c r="AE126" i="5"/>
  <c r="AE126" i="5" a="1"/>
  <c r="AC126" i="5"/>
  <c r="AD126" i="5" s="1"/>
  <c r="AC126" i="5" a="1"/>
  <c r="AB126" i="5"/>
  <c r="AA126" i="5"/>
  <c r="X126" i="5"/>
  <c r="AK125" i="5"/>
  <c r="AE125" i="5" a="1"/>
  <c r="AE125" i="5" s="1"/>
  <c r="AF125" i="5" s="1"/>
  <c r="AC125" i="5"/>
  <c r="AD125" i="5" s="1"/>
  <c r="AC125" i="5" a="1"/>
  <c r="AB125" i="5"/>
  <c r="AA125" i="5"/>
  <c r="X125" i="5"/>
  <c r="AK124" i="5"/>
  <c r="AE124" i="5" a="1"/>
  <c r="AE124" i="5" s="1"/>
  <c r="AF124" i="5" s="1"/>
  <c r="AC124" i="5"/>
  <c r="AD124" i="5" s="1"/>
  <c r="AC124" i="5" a="1"/>
  <c r="AB124" i="5"/>
  <c r="AA124" i="5"/>
  <c r="X124" i="5"/>
  <c r="AK123" i="5"/>
  <c r="AE123" i="5" a="1"/>
  <c r="AE123" i="5" s="1"/>
  <c r="AF123" i="5" s="1"/>
  <c r="AC123" i="5" a="1"/>
  <c r="AC123" i="5" s="1"/>
  <c r="AD123" i="5" s="1"/>
  <c r="AB123" i="5"/>
  <c r="AA123" i="5"/>
  <c r="X123" i="5"/>
  <c r="AK122" i="5"/>
  <c r="AE122" i="5" a="1"/>
  <c r="AE122" i="5" s="1"/>
  <c r="AF122" i="5" s="1"/>
  <c r="AC122" i="5"/>
  <c r="AD122" i="5" s="1"/>
  <c r="AC122" i="5" a="1"/>
  <c r="AB122" i="5"/>
  <c r="AA122" i="5"/>
  <c r="X122" i="5"/>
  <c r="AK121" i="5"/>
  <c r="AE121" i="5"/>
  <c r="AF121" i="5" s="1"/>
  <c r="AE121" i="5" a="1"/>
  <c r="AC121" i="5"/>
  <c r="AD121" i="5" s="1"/>
  <c r="AC121" i="5" a="1"/>
  <c r="AB121" i="5"/>
  <c r="AA121" i="5"/>
  <c r="X121" i="5"/>
  <c r="AK120" i="5"/>
  <c r="AE120" i="5" a="1"/>
  <c r="AE120" i="5" s="1"/>
  <c r="AF120" i="5" s="1"/>
  <c r="AC120" i="5"/>
  <c r="AD120" i="5" s="1"/>
  <c r="AC120" i="5" a="1"/>
  <c r="AA120" i="5"/>
  <c r="AB120" i="5" s="1"/>
  <c r="X120" i="5"/>
  <c r="AK119" i="5"/>
  <c r="AE119" i="5" a="1"/>
  <c r="AE119" i="5" s="1"/>
  <c r="AF119" i="5" s="1"/>
  <c r="AC119" i="5"/>
  <c r="AD119" i="5" s="1"/>
  <c r="AC119" i="5" a="1"/>
  <c r="AB119" i="5"/>
  <c r="AA119" i="5"/>
  <c r="X119" i="5"/>
  <c r="AK118" i="5"/>
  <c r="AF118" i="5"/>
  <c r="AE118" i="5"/>
  <c r="AE118" i="5" a="1"/>
  <c r="AC118" i="5" a="1"/>
  <c r="AC118" i="5" s="1"/>
  <c r="AD118" i="5" s="1"/>
  <c r="AB118" i="5"/>
  <c r="AA118" i="5"/>
  <c r="X118" i="5"/>
  <c r="AK117" i="5"/>
  <c r="AE117" i="5" a="1"/>
  <c r="AE117" i="5" s="1"/>
  <c r="AF117" i="5" s="1"/>
  <c r="AC117" i="5"/>
  <c r="AD117" i="5" s="1"/>
  <c r="AC117" i="5" a="1"/>
  <c r="AB117" i="5"/>
  <c r="AA117" i="5"/>
  <c r="X117" i="5"/>
  <c r="AK116" i="5"/>
  <c r="AE116" i="5" a="1"/>
  <c r="AE116" i="5" s="1"/>
  <c r="AF116" i="5" s="1"/>
  <c r="AC116" i="5"/>
  <c r="AD116" i="5" s="1"/>
  <c r="AC116" i="5" a="1"/>
  <c r="AB116" i="5"/>
  <c r="AA116" i="5"/>
  <c r="X116" i="5"/>
  <c r="AK115" i="5"/>
  <c r="AE115" i="5" a="1"/>
  <c r="AE115" i="5" s="1"/>
  <c r="AF115" i="5" s="1"/>
  <c r="AC115" i="5" a="1"/>
  <c r="AC115" i="5" s="1"/>
  <c r="AD115" i="5" s="1"/>
  <c r="AA115" i="5"/>
  <c r="AB115" i="5" s="1"/>
  <c r="X115" i="5"/>
  <c r="AK114" i="5"/>
  <c r="AE114" i="5" a="1"/>
  <c r="AE114" i="5" s="1"/>
  <c r="AF114" i="5" s="1"/>
  <c r="AC114" i="5"/>
  <c r="AD114" i="5" s="1"/>
  <c r="AC114" i="5" a="1"/>
  <c r="AB114" i="5"/>
  <c r="AA114" i="5"/>
  <c r="X114" i="5"/>
  <c r="AK113" i="5"/>
  <c r="AE113" i="5"/>
  <c r="AF113" i="5" s="1"/>
  <c r="AE113" i="5" a="1"/>
  <c r="AC113" i="5" a="1"/>
  <c r="AC113" i="5" s="1"/>
  <c r="AD113" i="5" s="1"/>
  <c r="AB113" i="5"/>
  <c r="AA113" i="5"/>
  <c r="X113" i="5"/>
  <c r="AK112" i="5"/>
  <c r="AF112" i="5"/>
  <c r="AE112" i="5"/>
  <c r="AE112" i="5" a="1"/>
  <c r="AC112" i="5"/>
  <c r="AD112" i="5" s="1"/>
  <c r="AC112" i="5" a="1"/>
  <c r="AA112" i="5"/>
  <c r="AB112" i="5" s="1"/>
  <c r="X112" i="5"/>
  <c r="AK111" i="5"/>
  <c r="AE111" i="5" a="1"/>
  <c r="AE111" i="5" s="1"/>
  <c r="AF111" i="5" s="1"/>
  <c r="AC111" i="5"/>
  <c r="AD111" i="5" s="1"/>
  <c r="AC111" i="5" a="1"/>
  <c r="AB111" i="5"/>
  <c r="AA111" i="5"/>
  <c r="X111" i="5"/>
  <c r="AK110" i="5"/>
  <c r="AF110" i="5"/>
  <c r="AE110" i="5"/>
  <c r="AE110" i="5" a="1"/>
  <c r="AC110" i="5" a="1"/>
  <c r="AC110" i="5" s="1"/>
  <c r="AD110" i="5" s="1"/>
  <c r="AA110" i="5"/>
  <c r="AB110" i="5" s="1"/>
  <c r="X110" i="5"/>
  <c r="AK109" i="5"/>
  <c r="AE109" i="5" a="1"/>
  <c r="AE109" i="5" s="1"/>
  <c r="AF109" i="5" s="1"/>
  <c r="AD109" i="5"/>
  <c r="AC109" i="5"/>
  <c r="AC109" i="5" a="1"/>
  <c r="AB109" i="5"/>
  <c r="AA109" i="5"/>
  <c r="X109" i="5"/>
  <c r="AK108" i="5"/>
  <c r="AE108" i="5" a="1"/>
  <c r="AE108" i="5" s="1"/>
  <c r="AF108" i="5" s="1"/>
  <c r="AC108" i="5"/>
  <c r="AD108" i="5" s="1"/>
  <c r="AC108" i="5" a="1"/>
  <c r="AB108" i="5"/>
  <c r="AA108" i="5"/>
  <c r="X108" i="5"/>
  <c r="AK107" i="5"/>
  <c r="AE107" i="5" a="1"/>
  <c r="AE107" i="5" s="1"/>
  <c r="AF107" i="5" s="1"/>
  <c r="AC107" i="5" a="1"/>
  <c r="AC107" i="5" s="1"/>
  <c r="AD107" i="5" s="1"/>
  <c r="AA107" i="5"/>
  <c r="AB107" i="5" s="1"/>
  <c r="X107" i="5"/>
  <c r="AK106" i="5"/>
  <c r="AF106" i="5"/>
  <c r="AE106" i="5"/>
  <c r="AE106" i="5" a="1"/>
  <c r="AC106" i="5"/>
  <c r="AD106" i="5" s="1"/>
  <c r="AC106" i="5" a="1"/>
  <c r="AB106" i="5"/>
  <c r="AA106" i="5"/>
  <c r="X106" i="5"/>
  <c r="AK105" i="5"/>
  <c r="AE105" i="5"/>
  <c r="AF105" i="5" s="1"/>
  <c r="AE105" i="5" a="1"/>
  <c r="AC105" i="5" a="1"/>
  <c r="AC105" i="5" s="1"/>
  <c r="AD105" i="5" s="1"/>
  <c r="AB105" i="5"/>
  <c r="AA105" i="5"/>
  <c r="X105" i="5"/>
  <c r="AK104" i="5"/>
  <c r="AF104" i="5"/>
  <c r="AE104" i="5"/>
  <c r="AE104" i="5" a="1"/>
  <c r="AC104" i="5"/>
  <c r="AD104" i="5" s="1"/>
  <c r="AC104" i="5" a="1"/>
  <c r="AA104" i="5"/>
  <c r="AB104" i="5" s="1"/>
  <c r="X104" i="5"/>
  <c r="AK103" i="5"/>
  <c r="AE103" i="5" a="1"/>
  <c r="AE103" i="5" s="1"/>
  <c r="AF103" i="5" s="1"/>
  <c r="AD103" i="5"/>
  <c r="AC103" i="5"/>
  <c r="AC103" i="5" a="1"/>
  <c r="AB103" i="5"/>
  <c r="AA103" i="5"/>
  <c r="X103" i="5"/>
  <c r="AK102" i="5"/>
  <c r="AF102" i="5"/>
  <c r="AE102" i="5"/>
  <c r="AE102" i="5" a="1"/>
  <c r="AC102" i="5" a="1"/>
  <c r="AC102" i="5" s="1"/>
  <c r="AD102" i="5" s="1"/>
  <c r="AA102" i="5"/>
  <c r="AB102" i="5" s="1"/>
  <c r="X102" i="5"/>
  <c r="AK101" i="5"/>
  <c r="AE101" i="5" a="1"/>
  <c r="AE101" i="5" s="1"/>
  <c r="AF101" i="5" s="1"/>
  <c r="AC101" i="5" a="1"/>
  <c r="AC101" i="5" s="1"/>
  <c r="AD101" i="5" s="1"/>
  <c r="AB101" i="5"/>
  <c r="AA101" i="5"/>
  <c r="X101" i="5"/>
  <c r="AK100" i="5"/>
  <c r="AE100" i="5" a="1"/>
  <c r="AE100" i="5" s="1"/>
  <c r="AF100" i="5" s="1"/>
  <c r="AC100" i="5"/>
  <c r="AD100" i="5" s="1"/>
  <c r="AC100" i="5" a="1"/>
  <c r="AB100" i="5"/>
  <c r="AA100" i="5"/>
  <c r="X100" i="5"/>
  <c r="AK99" i="5"/>
  <c r="AE99" i="5" a="1"/>
  <c r="AE99" i="5" s="1"/>
  <c r="AF99" i="5" s="1"/>
  <c r="AC99" i="5" a="1"/>
  <c r="AC99" i="5" s="1"/>
  <c r="AD99" i="5" s="1"/>
  <c r="AA99" i="5"/>
  <c r="AB99" i="5" s="1"/>
  <c r="X99" i="5"/>
  <c r="AK98" i="5"/>
  <c r="AF98" i="5"/>
  <c r="AE98" i="5"/>
  <c r="AE98" i="5" a="1"/>
  <c r="AC98" i="5"/>
  <c r="AD98" i="5" s="1"/>
  <c r="AC98" i="5" a="1"/>
  <c r="AA98" i="5"/>
  <c r="AB98" i="5" s="1"/>
  <c r="X98" i="5"/>
  <c r="AK97" i="5"/>
  <c r="AE97" i="5"/>
  <c r="AF97" i="5" s="1"/>
  <c r="AE97" i="5" a="1"/>
  <c r="AC97" i="5" a="1"/>
  <c r="AC97" i="5" s="1"/>
  <c r="AD97" i="5" s="1"/>
  <c r="AB97" i="5"/>
  <c r="AA97" i="5"/>
  <c r="X97" i="5"/>
  <c r="AK96" i="5"/>
  <c r="AF96" i="5"/>
  <c r="AE96" i="5"/>
  <c r="AE96" i="5" a="1"/>
  <c r="AC96" i="5"/>
  <c r="AD96" i="5" s="1"/>
  <c r="AC96" i="5" a="1"/>
  <c r="AA96" i="5"/>
  <c r="AB96" i="5" s="1"/>
  <c r="X96" i="5"/>
  <c r="AK95" i="5"/>
  <c r="AE95" i="5"/>
  <c r="AF95" i="5" s="1"/>
  <c r="AE95" i="5" a="1"/>
  <c r="AC95" i="5" a="1"/>
  <c r="AC95" i="5" s="1"/>
  <c r="AD95" i="5" s="1"/>
  <c r="AB95" i="5"/>
  <c r="AA95" i="5"/>
  <c r="X95" i="5"/>
  <c r="AK94" i="5"/>
  <c r="AF94" i="5"/>
  <c r="AE94" i="5"/>
  <c r="AE94" i="5" a="1"/>
  <c r="AC94" i="5" a="1"/>
  <c r="AC94" i="5" s="1"/>
  <c r="AD94" i="5" s="1"/>
  <c r="AA94" i="5"/>
  <c r="AB94" i="5" s="1"/>
  <c r="X94" i="5"/>
  <c r="AK93" i="5"/>
  <c r="AE93" i="5" a="1"/>
  <c r="AE93" i="5" s="1"/>
  <c r="AF93" i="5" s="1"/>
  <c r="AC93" i="5" a="1"/>
  <c r="AC93" i="5" s="1"/>
  <c r="AD93" i="5" s="1"/>
  <c r="AB93" i="5"/>
  <c r="AA93" i="5"/>
  <c r="X93" i="5"/>
  <c r="AK92" i="5"/>
  <c r="AE92" i="5" a="1"/>
  <c r="AE92" i="5" s="1"/>
  <c r="AF92" i="5" s="1"/>
  <c r="AD92" i="5"/>
  <c r="AC92" i="5"/>
  <c r="AC92" i="5" a="1"/>
  <c r="AA92" i="5"/>
  <c r="AB92" i="5" s="1"/>
  <c r="X92" i="5"/>
  <c r="AK91" i="5"/>
  <c r="AE91" i="5" a="1"/>
  <c r="AE91" i="5" s="1"/>
  <c r="AF91" i="5" s="1"/>
  <c r="AC91" i="5" a="1"/>
  <c r="AC91" i="5" s="1"/>
  <c r="AD91" i="5" s="1"/>
  <c r="AA91" i="5"/>
  <c r="AB91" i="5" s="1"/>
  <c r="X91" i="5"/>
  <c r="AK90" i="5"/>
  <c r="AF90" i="5"/>
  <c r="AE90" i="5"/>
  <c r="AE90" i="5" a="1"/>
  <c r="AC90" i="5"/>
  <c r="AD90" i="5" s="1"/>
  <c r="AC90" i="5" a="1"/>
  <c r="AA90" i="5"/>
  <c r="AB90" i="5" s="1"/>
  <c r="X90" i="5"/>
  <c r="AK89" i="5"/>
  <c r="AE89" i="5"/>
  <c r="AF89" i="5" s="1"/>
  <c r="AE89" i="5" a="1"/>
  <c r="AC89" i="5" a="1"/>
  <c r="AC89" i="5" s="1"/>
  <c r="AD89" i="5" s="1"/>
  <c r="AB89" i="5"/>
  <c r="AA89" i="5"/>
  <c r="X89" i="5"/>
  <c r="AK88" i="5"/>
  <c r="AF88" i="5"/>
  <c r="AE88" i="5"/>
  <c r="AE88" i="5" a="1"/>
  <c r="AC88" i="5"/>
  <c r="AD88" i="5" s="1"/>
  <c r="AC88" i="5" a="1"/>
  <c r="AA88" i="5"/>
  <c r="AB88" i="5" s="1"/>
  <c r="X88" i="5"/>
  <c r="AK87" i="5"/>
  <c r="AE87" i="5"/>
  <c r="AF87" i="5" s="1"/>
  <c r="AE87" i="5" a="1"/>
  <c r="AC87" i="5" a="1"/>
  <c r="AC87" i="5" s="1"/>
  <c r="AD87" i="5" s="1"/>
  <c r="AB87" i="5"/>
  <c r="AA87" i="5"/>
  <c r="X87" i="5"/>
  <c r="AK86" i="5"/>
  <c r="AF86" i="5"/>
  <c r="AE86" i="5"/>
  <c r="AE86" i="5" a="1"/>
  <c r="AC86" i="5" a="1"/>
  <c r="AC86" i="5" s="1"/>
  <c r="AD86" i="5" s="1"/>
  <c r="AA86" i="5"/>
  <c r="AB86" i="5" s="1"/>
  <c r="X86" i="5"/>
  <c r="AK85" i="5"/>
  <c r="AE85" i="5" a="1"/>
  <c r="AE85" i="5" s="1"/>
  <c r="AF85" i="5" s="1"/>
  <c r="AC85" i="5" a="1"/>
  <c r="AC85" i="5" s="1"/>
  <c r="AD85" i="5" s="1"/>
  <c r="AB85" i="5"/>
  <c r="AA85" i="5"/>
  <c r="X85" i="5"/>
  <c r="AK84" i="5"/>
  <c r="AE84" i="5"/>
  <c r="AF84" i="5" s="1"/>
  <c r="AE84" i="5" a="1"/>
  <c r="AC84" i="5" a="1"/>
  <c r="AC84" i="5" s="1"/>
  <c r="AD84" i="5" s="1"/>
  <c r="AA84" i="5"/>
  <c r="AB84" i="5" s="1"/>
  <c r="X84" i="5"/>
  <c r="AK83" i="5"/>
  <c r="AE83" i="5" a="1"/>
  <c r="AE83" i="5" s="1"/>
  <c r="AF83" i="5" s="1"/>
  <c r="AC83" i="5" a="1"/>
  <c r="AC83" i="5" s="1"/>
  <c r="AD83" i="5" s="1"/>
  <c r="AA83" i="5"/>
  <c r="AB83" i="5" s="1"/>
  <c r="X83" i="5"/>
  <c r="AK82" i="5"/>
  <c r="AE82" i="5"/>
  <c r="AF82" i="5" s="1"/>
  <c r="AE82" i="5" a="1"/>
  <c r="AC82" i="5"/>
  <c r="AD82" i="5" s="1"/>
  <c r="AC82" i="5" a="1"/>
  <c r="AA82" i="5"/>
  <c r="AB82" i="5" s="1"/>
  <c r="X82" i="5"/>
  <c r="AK81" i="5"/>
  <c r="AE81" i="5"/>
  <c r="AF81" i="5" s="1"/>
  <c r="AE81" i="5" a="1"/>
  <c r="AC81" i="5" a="1"/>
  <c r="AC81" i="5" s="1"/>
  <c r="AD81" i="5" s="1"/>
  <c r="AA81" i="5"/>
  <c r="AB81" i="5" s="1"/>
  <c r="X81" i="5"/>
  <c r="AK80" i="5"/>
  <c r="AF80" i="5"/>
  <c r="AE80" i="5"/>
  <c r="AE80" i="5" a="1"/>
  <c r="AC80" i="5"/>
  <c r="AD80" i="5" s="1"/>
  <c r="AC80" i="5" a="1"/>
  <c r="AA80" i="5"/>
  <c r="AB80" i="5" s="1"/>
  <c r="X80" i="5"/>
  <c r="AK79" i="5"/>
  <c r="AE79" i="5"/>
  <c r="AF79" i="5" s="1"/>
  <c r="AE79" i="5" a="1"/>
  <c r="AC79" i="5" a="1"/>
  <c r="AC79" i="5" s="1"/>
  <c r="AD79" i="5" s="1"/>
  <c r="AB79" i="5"/>
  <c r="AA79" i="5"/>
  <c r="X79" i="5"/>
  <c r="AK78" i="5"/>
  <c r="AF78" i="5"/>
  <c r="AE78" i="5"/>
  <c r="AE78" i="5" a="1"/>
  <c r="AD78" i="5"/>
  <c r="AC78" i="5" a="1"/>
  <c r="AC78" i="5" s="1"/>
  <c r="AA78" i="5"/>
  <c r="AB78" i="5" s="1"/>
  <c r="X78" i="5"/>
  <c r="AK77" i="5"/>
  <c r="AE77" i="5" a="1"/>
  <c r="AE77" i="5" s="1"/>
  <c r="AF77" i="5" s="1"/>
  <c r="AC77" i="5" a="1"/>
  <c r="AC77" i="5" s="1"/>
  <c r="AD77" i="5" s="1"/>
  <c r="AA77" i="5"/>
  <c r="AB77" i="5" s="1"/>
  <c r="X77" i="5"/>
  <c r="AK76" i="5"/>
  <c r="AE76" i="5"/>
  <c r="AF76" i="5" s="1"/>
  <c r="AE76" i="5" a="1"/>
  <c r="AD76" i="5"/>
  <c r="AC76" i="5" a="1"/>
  <c r="AC76" i="5" s="1"/>
  <c r="AA76" i="5"/>
  <c r="AB76" i="5" s="1"/>
  <c r="X76" i="5"/>
  <c r="AK75" i="5"/>
  <c r="AE75" i="5" a="1"/>
  <c r="AE75" i="5" s="1"/>
  <c r="AF75" i="5" s="1"/>
  <c r="AC75" i="5" a="1"/>
  <c r="AC75" i="5" s="1"/>
  <c r="AD75" i="5" s="1"/>
  <c r="AA75" i="5"/>
  <c r="AB75" i="5" s="1"/>
  <c r="X75" i="5"/>
  <c r="AK74" i="5"/>
  <c r="AE74" i="5"/>
  <c r="AF74" i="5" s="1"/>
  <c r="AE74" i="5" a="1"/>
  <c r="AC74" i="5"/>
  <c r="AD74" i="5" s="1"/>
  <c r="AC74" i="5" a="1"/>
  <c r="AA74" i="5"/>
  <c r="AB74" i="5" s="1"/>
  <c r="X74" i="5"/>
  <c r="AK73" i="5"/>
  <c r="AE73" i="5"/>
  <c r="AF73" i="5" s="1"/>
  <c r="AE73" i="5" a="1"/>
  <c r="AC73" i="5" a="1"/>
  <c r="AC73" i="5" s="1"/>
  <c r="AD73" i="5" s="1"/>
  <c r="AA73" i="5"/>
  <c r="AB73" i="5" s="1"/>
  <c r="X73" i="5"/>
  <c r="AK72" i="5"/>
  <c r="AF72" i="5"/>
  <c r="AE72" i="5"/>
  <c r="AE72" i="5" a="1"/>
  <c r="AC72" i="5" a="1"/>
  <c r="AC72" i="5" s="1"/>
  <c r="AD72" i="5" s="1"/>
  <c r="AA72" i="5"/>
  <c r="AB72" i="5" s="1"/>
  <c r="X72" i="5"/>
  <c r="AK71" i="5"/>
  <c r="AE71" i="5"/>
  <c r="AF71" i="5" s="1"/>
  <c r="AE71" i="5" a="1"/>
  <c r="AD71" i="5"/>
  <c r="AC71" i="5" a="1"/>
  <c r="AC71" i="5" s="1"/>
  <c r="AB71" i="5"/>
  <c r="AA71" i="5"/>
  <c r="X71" i="5"/>
  <c r="AK70" i="5"/>
  <c r="AF70" i="5"/>
  <c r="AE70" i="5"/>
  <c r="AE70" i="5" a="1"/>
  <c r="AC70" i="5" a="1"/>
  <c r="AC70" i="5" s="1"/>
  <c r="AD70" i="5" s="1"/>
  <c r="AA70" i="5"/>
  <c r="AB70" i="5" s="1"/>
  <c r="X70" i="5"/>
  <c r="AK69" i="5"/>
  <c r="AE69" i="5" a="1"/>
  <c r="AE69" i="5" s="1"/>
  <c r="AF69" i="5" s="1"/>
  <c r="AC69" i="5" a="1"/>
  <c r="AC69" i="5" s="1"/>
  <c r="AD69" i="5" s="1"/>
  <c r="AB69" i="5"/>
  <c r="AA69" i="5"/>
  <c r="X69" i="5"/>
  <c r="AK68" i="5"/>
  <c r="AE68" i="5"/>
  <c r="AF68" i="5" s="1"/>
  <c r="AE68" i="5" a="1"/>
  <c r="AC68" i="5" a="1"/>
  <c r="AC68" i="5" s="1"/>
  <c r="AD68" i="5" s="1"/>
  <c r="AA68" i="5"/>
  <c r="AB68" i="5" s="1"/>
  <c r="X68" i="5"/>
  <c r="AK67" i="5"/>
  <c r="AE67" i="5" a="1"/>
  <c r="AE67" i="5" s="1"/>
  <c r="AF67" i="5" s="1"/>
  <c r="AC67" i="5" a="1"/>
  <c r="AC67" i="5" s="1"/>
  <c r="AD67" i="5" s="1"/>
  <c r="AA67" i="5"/>
  <c r="AB67" i="5" s="1"/>
  <c r="X67" i="5"/>
  <c r="AK66" i="5"/>
  <c r="AF66" i="5"/>
  <c r="AE66" i="5"/>
  <c r="AE66" i="5" a="1"/>
  <c r="AC66" i="5"/>
  <c r="AD66" i="5" s="1"/>
  <c r="AC66" i="5" a="1"/>
  <c r="AA66" i="5"/>
  <c r="AB66" i="5" s="1"/>
  <c r="X66" i="5"/>
  <c r="AK65" i="5"/>
  <c r="AE65" i="5"/>
  <c r="AF65" i="5" s="1"/>
  <c r="AE65" i="5" a="1"/>
  <c r="AC65" i="5" a="1"/>
  <c r="AC65" i="5" s="1"/>
  <c r="AD65" i="5" s="1"/>
  <c r="AA65" i="5"/>
  <c r="AB65" i="5" s="1"/>
  <c r="X65" i="5"/>
  <c r="AK64" i="5"/>
  <c r="AE64" i="5"/>
  <c r="AF64" i="5" s="1"/>
  <c r="AE64" i="5" a="1"/>
  <c r="AC64" i="5" a="1"/>
  <c r="AC64" i="5" s="1"/>
  <c r="AD64" i="5" s="1"/>
  <c r="AA64" i="5"/>
  <c r="AB64" i="5" s="1"/>
  <c r="X64" i="5"/>
  <c r="AK63" i="5"/>
  <c r="AE63" i="5"/>
  <c r="AF63" i="5" s="1"/>
  <c r="AE63" i="5" a="1"/>
  <c r="AD63" i="5"/>
  <c r="AC63" i="5" a="1"/>
  <c r="AC63" i="5" s="1"/>
  <c r="AB63" i="5"/>
  <c r="AA63" i="5"/>
  <c r="X63" i="5"/>
  <c r="AK62" i="5"/>
  <c r="AF62" i="5"/>
  <c r="AE62" i="5"/>
  <c r="AE62" i="5" a="1"/>
  <c r="AC62" i="5" a="1"/>
  <c r="AC62" i="5" s="1"/>
  <c r="AD62" i="5" s="1"/>
  <c r="AA62" i="5"/>
  <c r="AB62" i="5" s="1"/>
  <c r="X62" i="5"/>
  <c r="AK61" i="5"/>
  <c r="AE61" i="5" a="1"/>
  <c r="AE61" i="5" s="1"/>
  <c r="AF61" i="5" s="1"/>
  <c r="AC61" i="5" a="1"/>
  <c r="AC61" i="5" s="1"/>
  <c r="AD61" i="5" s="1"/>
  <c r="AA61" i="5"/>
  <c r="AB61" i="5" s="1"/>
  <c r="X61" i="5"/>
  <c r="AK60" i="5"/>
  <c r="AE60" i="5"/>
  <c r="AF60" i="5" s="1"/>
  <c r="AE60" i="5" a="1"/>
  <c r="AC60" i="5"/>
  <c r="AD60" i="5" s="1"/>
  <c r="AC60" i="5" a="1"/>
  <c r="AA60" i="5"/>
  <c r="AB60" i="5" s="1"/>
  <c r="X60" i="5"/>
  <c r="AK59" i="5"/>
  <c r="AE59" i="5" a="1"/>
  <c r="AE59" i="5" s="1"/>
  <c r="AF59" i="5" s="1"/>
  <c r="AD59" i="5"/>
  <c r="AC59" i="5" a="1"/>
  <c r="AC59" i="5" s="1"/>
  <c r="AA59" i="5"/>
  <c r="AB59" i="5" s="1"/>
  <c r="X59" i="5"/>
  <c r="AK58" i="5"/>
  <c r="AE58" i="5"/>
  <c r="AF58" i="5" s="1"/>
  <c r="AE58" i="5" a="1"/>
  <c r="AC58" i="5" a="1"/>
  <c r="AC58" i="5" s="1"/>
  <c r="AD58" i="5" s="1"/>
  <c r="AA58" i="5"/>
  <c r="AB58" i="5" s="1"/>
  <c r="X58" i="5"/>
  <c r="AK57" i="5"/>
  <c r="AE57" i="5"/>
  <c r="AF57" i="5" s="1"/>
  <c r="AE57" i="5" a="1"/>
  <c r="AC57" i="5" a="1"/>
  <c r="AC57" i="5" s="1"/>
  <c r="AD57" i="5" s="1"/>
  <c r="AA57" i="5"/>
  <c r="AB57" i="5" s="1"/>
  <c r="X57" i="5"/>
  <c r="AK56" i="5"/>
  <c r="AF56" i="5"/>
  <c r="AE56" i="5"/>
  <c r="AE56" i="5" a="1"/>
  <c r="AC56" i="5"/>
  <c r="AD56" i="5" s="1"/>
  <c r="AC56" i="5" a="1"/>
  <c r="AA56" i="5"/>
  <c r="AB56" i="5" s="1"/>
  <c r="X56" i="5"/>
  <c r="AK55" i="5"/>
  <c r="AE55" i="5"/>
  <c r="AF55" i="5" s="1"/>
  <c r="AE55" i="5" a="1"/>
  <c r="AD55" i="5"/>
  <c r="AC55" i="5" a="1"/>
  <c r="AC55" i="5" s="1"/>
  <c r="AB55" i="5"/>
  <c r="AA55" i="5"/>
  <c r="X55" i="5"/>
  <c r="AK54" i="5"/>
  <c r="AE54" i="5"/>
  <c r="AF54" i="5" s="1"/>
  <c r="AE54" i="5" a="1"/>
  <c r="AC54" i="5" a="1"/>
  <c r="AC54" i="5" s="1"/>
  <c r="AD54" i="5" s="1"/>
  <c r="AA54" i="5"/>
  <c r="AB54" i="5" s="1"/>
  <c r="X54" i="5"/>
  <c r="AK53" i="5"/>
  <c r="AE53" i="5" a="1"/>
  <c r="AE53" i="5" s="1"/>
  <c r="AF53" i="5" s="1"/>
  <c r="AC53" i="5" a="1"/>
  <c r="AC53" i="5" s="1"/>
  <c r="AD53" i="5" s="1"/>
  <c r="AA53" i="5"/>
  <c r="AB53" i="5" s="1"/>
  <c r="X53" i="5"/>
  <c r="AK52" i="5"/>
  <c r="AE52" i="5" a="1"/>
  <c r="AE52" i="5" s="1"/>
  <c r="AF52" i="5" s="1"/>
  <c r="AC52" i="5"/>
  <c r="AD52" i="5" s="1"/>
  <c r="AC52" i="5" a="1"/>
  <c r="AA52" i="5"/>
  <c r="AB52" i="5" s="1"/>
  <c r="X52" i="5"/>
  <c r="AK51" i="5"/>
  <c r="AE51" i="5" a="1"/>
  <c r="AE51" i="5" s="1"/>
  <c r="AF51" i="5" s="1"/>
  <c r="AC51" i="5" a="1"/>
  <c r="AC51" i="5" s="1"/>
  <c r="AD51" i="5" s="1"/>
  <c r="AA51" i="5"/>
  <c r="AB51" i="5" s="1"/>
  <c r="X51" i="5"/>
  <c r="AK50" i="5"/>
  <c r="AE50" i="5"/>
  <c r="AF50" i="5" s="1"/>
  <c r="AE50" i="5" a="1"/>
  <c r="AC50" i="5"/>
  <c r="AD50" i="5" s="1"/>
  <c r="AC50" i="5" a="1"/>
  <c r="AA50" i="5"/>
  <c r="AB50" i="5" s="1"/>
  <c r="X50" i="5"/>
  <c r="AK49" i="5"/>
  <c r="AE49" i="5"/>
  <c r="AF49" i="5" s="1"/>
  <c r="AE49" i="5" a="1"/>
  <c r="AC49" i="5"/>
  <c r="AD49" i="5" s="1"/>
  <c r="AC49" i="5" a="1"/>
  <c r="AB49" i="5"/>
  <c r="AA49" i="5"/>
  <c r="X49" i="5"/>
  <c r="AK48" i="5"/>
  <c r="AF48" i="5"/>
  <c r="AE48" i="5"/>
  <c r="AE48" i="5" a="1"/>
  <c r="AC48" i="5" a="1"/>
  <c r="AC48" i="5" s="1"/>
  <c r="AD48" i="5" s="1"/>
  <c r="AA48" i="5"/>
  <c r="AB48" i="5" s="1"/>
  <c r="X48" i="5"/>
  <c r="AK47" i="5"/>
  <c r="AE47" i="5"/>
  <c r="AF47" i="5" s="1"/>
  <c r="AE47" i="5" a="1"/>
  <c r="AC47" i="5" a="1"/>
  <c r="AC47" i="5" s="1"/>
  <c r="AD47" i="5" s="1"/>
  <c r="AA47" i="5"/>
  <c r="AB47" i="5" s="1"/>
  <c r="X47" i="5"/>
  <c r="AK46" i="5"/>
  <c r="AF46" i="5"/>
  <c r="AE46" i="5"/>
  <c r="AE46" i="5" a="1"/>
  <c r="AC46" i="5" a="1"/>
  <c r="AC46" i="5" s="1"/>
  <c r="AD46" i="5" s="1"/>
  <c r="AA46" i="5"/>
  <c r="AB46" i="5" s="1"/>
  <c r="X46" i="5"/>
  <c r="AK45" i="5"/>
  <c r="AE45" i="5"/>
  <c r="AF45" i="5" s="1"/>
  <c r="AE45" i="5" a="1"/>
  <c r="AD45" i="5"/>
  <c r="AC45" i="5" a="1"/>
  <c r="AC45" i="5" s="1"/>
  <c r="AA45" i="5"/>
  <c r="AB45" i="5" s="1"/>
  <c r="X45" i="5"/>
  <c r="AK44" i="5"/>
  <c r="AE44" i="5"/>
  <c r="AF44" i="5" s="1"/>
  <c r="AE44" i="5" a="1"/>
  <c r="AC44" i="5"/>
  <c r="AD44" i="5" s="1"/>
  <c r="AC44" i="5" a="1"/>
  <c r="AA44" i="5"/>
  <c r="AB44" i="5" s="1"/>
  <c r="X44" i="5"/>
  <c r="AK43" i="5"/>
  <c r="AE43" i="5" a="1"/>
  <c r="AE43" i="5" s="1"/>
  <c r="AF43" i="5" s="1"/>
  <c r="AC43" i="5" a="1"/>
  <c r="AC43" i="5" s="1"/>
  <c r="AD43" i="5" s="1"/>
  <c r="AA43" i="5"/>
  <c r="AB43" i="5" s="1"/>
  <c r="X43" i="5"/>
  <c r="AK42" i="5"/>
  <c r="AF42" i="5"/>
  <c r="AE42" i="5"/>
  <c r="AE42" i="5" a="1"/>
  <c r="AC42" i="5"/>
  <c r="AD42" i="5" s="1"/>
  <c r="AC42" i="5" a="1"/>
  <c r="AA42" i="5"/>
  <c r="AB42" i="5" s="1"/>
  <c r="X42" i="5"/>
  <c r="AK41" i="5"/>
  <c r="AE41" i="5"/>
  <c r="AF41" i="5" s="1"/>
  <c r="AE41" i="5" a="1"/>
  <c r="AC41" i="5"/>
  <c r="AD41" i="5" s="1"/>
  <c r="AC41" i="5" a="1"/>
  <c r="AB41" i="5"/>
  <c r="AA41" i="5"/>
  <c r="X41" i="5"/>
  <c r="AK40" i="5"/>
  <c r="AE40" i="5"/>
  <c r="AF40" i="5" s="1"/>
  <c r="AE40" i="5" a="1"/>
  <c r="AD40" i="5"/>
  <c r="AC40" i="5"/>
  <c r="AC40" i="5" a="1"/>
  <c r="AA40" i="5"/>
  <c r="AB40" i="5" s="1"/>
  <c r="X40" i="5"/>
  <c r="AK39" i="5"/>
  <c r="AE39" i="5" a="1"/>
  <c r="AE39" i="5" s="1"/>
  <c r="AF39" i="5" s="1"/>
  <c r="AC39" i="5" a="1"/>
  <c r="AC39" i="5" s="1"/>
  <c r="AD39" i="5" s="1"/>
  <c r="AB39" i="5"/>
  <c r="AA39" i="5"/>
  <c r="X39" i="5"/>
  <c r="AK38" i="5"/>
  <c r="AF38" i="5"/>
  <c r="AE38" i="5"/>
  <c r="AE38" i="5" a="1"/>
  <c r="AC38" i="5" a="1"/>
  <c r="AC38" i="5" s="1"/>
  <c r="AD38" i="5" s="1"/>
  <c r="AA38" i="5"/>
  <c r="AB38" i="5" s="1"/>
  <c r="X38" i="5"/>
  <c r="AK37" i="5"/>
  <c r="AE37" i="5"/>
  <c r="AF37" i="5" s="1"/>
  <c r="AE37" i="5" a="1"/>
  <c r="AC37" i="5" a="1"/>
  <c r="AC37" i="5" s="1"/>
  <c r="AD37" i="5" s="1"/>
  <c r="AB37" i="5"/>
  <c r="AA37" i="5"/>
  <c r="X37" i="5"/>
  <c r="AK36" i="5"/>
  <c r="AE36" i="5" a="1"/>
  <c r="AE36" i="5" s="1"/>
  <c r="AF36" i="5" s="1"/>
  <c r="AC36" i="5" a="1"/>
  <c r="AC36" i="5" s="1"/>
  <c r="AD36" i="5" s="1"/>
  <c r="AB36" i="5"/>
  <c r="AA36" i="5"/>
  <c r="X36" i="5"/>
  <c r="AK35" i="5"/>
  <c r="AE35" i="5" a="1"/>
  <c r="AE35" i="5" s="1"/>
  <c r="AF35" i="5" s="1"/>
  <c r="AC35" i="5" a="1"/>
  <c r="AC35" i="5" s="1"/>
  <c r="AD35" i="5" s="1"/>
  <c r="AB35" i="5"/>
  <c r="AA35" i="5"/>
  <c r="X35" i="5"/>
  <c r="AK34" i="5"/>
  <c r="AE34" i="5" a="1"/>
  <c r="AE34" i="5" s="1"/>
  <c r="AF34" i="5" s="1"/>
  <c r="AC34" i="5"/>
  <c r="AD34" i="5" s="1"/>
  <c r="AC34" i="5" a="1"/>
  <c r="AA34" i="5"/>
  <c r="AB34" i="5" s="1"/>
  <c r="X34" i="5"/>
  <c r="AK33" i="5"/>
  <c r="AE33" i="5" a="1"/>
  <c r="AE33" i="5" s="1"/>
  <c r="AF33" i="5" s="1"/>
  <c r="AC33" i="5" a="1"/>
  <c r="AC33" i="5" s="1"/>
  <c r="AD33" i="5" s="1"/>
  <c r="AB33" i="5"/>
  <c r="AA33" i="5"/>
  <c r="X33" i="5"/>
  <c r="AK32" i="5"/>
  <c r="AE32" i="5"/>
  <c r="AF32" i="5" s="1"/>
  <c r="AE32" i="5" a="1"/>
  <c r="AC32" i="5"/>
  <c r="AD32" i="5" s="1"/>
  <c r="AC32" i="5" a="1"/>
  <c r="AA32" i="5"/>
  <c r="AB32" i="5" s="1"/>
  <c r="X32" i="5"/>
  <c r="AK31" i="5"/>
  <c r="AE31" i="5" a="1"/>
  <c r="AE31" i="5" s="1"/>
  <c r="AF31" i="5" s="1"/>
  <c r="AC31" i="5" a="1"/>
  <c r="AC31" i="5" s="1"/>
  <c r="AD31" i="5" s="1"/>
  <c r="AA31" i="5"/>
  <c r="AB31" i="5" s="1"/>
  <c r="X31" i="5"/>
  <c r="AK30" i="5"/>
  <c r="AE30" i="5"/>
  <c r="AF30" i="5" s="1"/>
  <c r="AE30" i="5" a="1"/>
  <c r="AC30" i="5" a="1"/>
  <c r="AC30" i="5" s="1"/>
  <c r="AD30" i="5" s="1"/>
  <c r="AB30" i="5"/>
  <c r="AA30" i="5"/>
  <c r="X30" i="5"/>
  <c r="AK29" i="5"/>
  <c r="AE29" i="5"/>
  <c r="AF29" i="5" s="1"/>
  <c r="AE29" i="5" a="1"/>
  <c r="AC29" i="5" a="1"/>
  <c r="AC29" i="5" s="1"/>
  <c r="AD29" i="5" s="1"/>
  <c r="AB29" i="5"/>
  <c r="AA29" i="5"/>
  <c r="X29" i="5"/>
  <c r="AK28" i="5"/>
  <c r="AE28" i="5" a="1"/>
  <c r="AE28" i="5" s="1"/>
  <c r="AF28" i="5" s="1"/>
  <c r="AC28" i="5" a="1"/>
  <c r="AC28" i="5" s="1"/>
  <c r="AD28" i="5" s="1"/>
  <c r="AB28" i="5"/>
  <c r="AA28" i="5"/>
  <c r="X28" i="5"/>
  <c r="AK27" i="5"/>
  <c r="AE27" i="5" a="1"/>
  <c r="AE27" i="5" s="1"/>
  <c r="AF27" i="5" s="1"/>
  <c r="AC27" i="5" a="1"/>
  <c r="AC27" i="5" s="1"/>
  <c r="AD27" i="5" s="1"/>
  <c r="AB27" i="5"/>
  <c r="AA27" i="5"/>
  <c r="X27" i="5"/>
  <c r="AK26" i="5"/>
  <c r="AE26" i="5" a="1"/>
  <c r="AE26" i="5" s="1"/>
  <c r="AF26" i="5" s="1"/>
  <c r="AC26" i="5" a="1"/>
  <c r="AC26" i="5" s="1"/>
  <c r="AD26" i="5" s="1"/>
  <c r="AA26" i="5"/>
  <c r="AB26" i="5" s="1"/>
  <c r="X26" i="5"/>
  <c r="AK25" i="5"/>
  <c r="AE25" i="5" a="1"/>
  <c r="AE25" i="5" s="1"/>
  <c r="AF25" i="5" s="1"/>
  <c r="AC25" i="5" a="1"/>
  <c r="AC25" i="5" s="1"/>
  <c r="AD25" i="5" s="1"/>
  <c r="AB25" i="5"/>
  <c r="AA25" i="5"/>
  <c r="X25" i="5"/>
  <c r="AK24" i="5"/>
  <c r="AF24" i="5"/>
  <c r="AE24" i="5"/>
  <c r="AE24" i="5" a="1"/>
  <c r="AC24" i="5" a="1"/>
  <c r="AC24" i="5" s="1"/>
  <c r="AD24" i="5" s="1"/>
  <c r="AB24" i="5"/>
  <c r="AA24" i="5"/>
  <c r="X24" i="5"/>
  <c r="AK23" i="5"/>
  <c r="AE23" i="5" a="1"/>
  <c r="AE23" i="5" s="1"/>
  <c r="AF23" i="5" s="1"/>
  <c r="AC23" i="5" a="1"/>
  <c r="AC23" i="5" s="1"/>
  <c r="AD23" i="5" s="1"/>
  <c r="AB23" i="5"/>
  <c r="AA23" i="5"/>
  <c r="X23" i="5"/>
  <c r="AK22" i="5"/>
  <c r="AE22" i="5"/>
  <c r="AF22" i="5" s="1"/>
  <c r="AE22" i="5" a="1"/>
  <c r="AC22" i="5"/>
  <c r="AD22" i="5" s="1"/>
  <c r="AC22" i="5" a="1"/>
  <c r="AA22" i="5"/>
  <c r="AB22" i="5" s="1"/>
  <c r="X22" i="5"/>
  <c r="AK21" i="5"/>
  <c r="AE21" i="5"/>
  <c r="AF21" i="5" s="1"/>
  <c r="AE21" i="5" a="1"/>
  <c r="AC21" i="5"/>
  <c r="AD21" i="5" s="1"/>
  <c r="AC21" i="5" a="1"/>
  <c r="AA21" i="5"/>
  <c r="AB21" i="5" s="1"/>
  <c r="X21" i="5"/>
  <c r="AK20" i="5"/>
  <c r="AF20" i="5"/>
  <c r="AE20" i="5"/>
  <c r="AE20" i="5" a="1"/>
  <c r="AC20" i="5"/>
  <c r="AD20" i="5" s="1"/>
  <c r="AC20" i="5" a="1"/>
  <c r="AA20" i="5"/>
  <c r="AB20" i="5" s="1"/>
  <c r="X20" i="5"/>
  <c r="AK19" i="5"/>
  <c r="AF19" i="5"/>
  <c r="AE19" i="5"/>
  <c r="AE19" i="5" a="1"/>
  <c r="AD19" i="5"/>
  <c r="AC19" i="5"/>
  <c r="AC19" i="5" a="1"/>
  <c r="AB19" i="5"/>
  <c r="AA19" i="5"/>
  <c r="X19" i="5"/>
  <c r="AK18" i="5"/>
  <c r="AF18" i="5"/>
  <c r="AE18" i="5"/>
  <c r="AE18" i="5" a="1"/>
  <c r="AD18" i="5"/>
  <c r="AC18" i="5"/>
  <c r="AC18" i="5" a="1"/>
  <c r="AB18" i="5"/>
  <c r="AA18" i="5"/>
  <c r="X18" i="5"/>
  <c r="AK17" i="5"/>
  <c r="AE17" i="5" a="1"/>
  <c r="AE17" i="5" s="1"/>
  <c r="AF17" i="5" s="1"/>
  <c r="AC17" i="5" a="1"/>
  <c r="AC17" i="5" s="1"/>
  <c r="AD17" i="5" s="1"/>
  <c r="AB17" i="5"/>
  <c r="AA17" i="5"/>
  <c r="X17" i="5"/>
  <c r="AK16" i="5"/>
  <c r="AE16" i="5" a="1"/>
  <c r="AE16" i="5" s="1"/>
  <c r="AF16" i="5" s="1"/>
  <c r="AC16" i="5" a="1"/>
  <c r="AC16" i="5" s="1"/>
  <c r="AD16" i="5" s="1"/>
  <c r="AB16" i="5"/>
  <c r="AA16" i="5"/>
  <c r="X16" i="5"/>
  <c r="AK15" i="5"/>
  <c r="AE15" i="5" a="1"/>
  <c r="AE15" i="5" s="1"/>
  <c r="AF15" i="5" s="1"/>
  <c r="AC15" i="5" a="1"/>
  <c r="AC15" i="5" s="1"/>
  <c r="AD15" i="5" s="1"/>
  <c r="AB15" i="5"/>
  <c r="AA15" i="5"/>
  <c r="X15" i="5"/>
  <c r="AK14" i="5"/>
  <c r="AE14" i="5"/>
  <c r="AF14" i="5" s="1"/>
  <c r="AE14" i="5" a="1"/>
  <c r="AC14" i="5"/>
  <c r="AD14" i="5" s="1"/>
  <c r="AC14" i="5" a="1"/>
  <c r="AA14" i="5"/>
  <c r="AB14" i="5" s="1"/>
  <c r="X14" i="5"/>
  <c r="AK13" i="5"/>
  <c r="AE13" i="5"/>
  <c r="AF13" i="5" s="1"/>
  <c r="AE13" i="5" a="1"/>
  <c r="AC13" i="5"/>
  <c r="AD13" i="5" s="1"/>
  <c r="AC13" i="5" a="1"/>
  <c r="AA13" i="5"/>
  <c r="AB13" i="5" s="1"/>
  <c r="X13" i="5"/>
  <c r="AK12" i="5"/>
  <c r="AF12" i="5"/>
  <c r="AE12" i="5"/>
  <c r="AE12" i="5" a="1"/>
  <c r="AC12" i="5"/>
  <c r="AD12" i="5" s="1"/>
  <c r="AC12" i="5" a="1"/>
  <c r="AA12" i="5"/>
  <c r="AB12" i="5" s="1"/>
  <c r="X12" i="5"/>
  <c r="AK11" i="5"/>
  <c r="AF11" i="5"/>
  <c r="AE11" i="5"/>
  <c r="AE11" i="5" a="1"/>
  <c r="AD11" i="5"/>
  <c r="AC11" i="5"/>
  <c r="AC11" i="5" a="1"/>
  <c r="AB11" i="5"/>
  <c r="AA11" i="5"/>
  <c r="X11" i="5"/>
  <c r="AK10" i="5"/>
  <c r="AF10" i="5"/>
  <c r="AE10" i="5"/>
  <c r="AE10" i="5" a="1"/>
  <c r="AD10" i="5"/>
  <c r="AC10" i="5"/>
  <c r="AC10" i="5" a="1"/>
  <c r="AB10" i="5"/>
  <c r="AA10" i="5"/>
  <c r="X10" i="5"/>
  <c r="AK9" i="5"/>
  <c r="AE9" i="5" a="1"/>
  <c r="AE9" i="5" s="1"/>
  <c r="AF9" i="5" s="1"/>
  <c r="AC9" i="5" a="1"/>
  <c r="AC9" i="5" s="1"/>
  <c r="AD9" i="5" s="1"/>
  <c r="AB9" i="5"/>
  <c r="AA9" i="5"/>
  <c r="X9" i="5"/>
  <c r="AK8" i="5"/>
  <c r="AE8" i="5" a="1"/>
  <c r="AE8" i="5" s="1"/>
  <c r="AF8" i="5" s="1"/>
  <c r="AC8" i="5" a="1"/>
  <c r="AC8" i="5" s="1"/>
  <c r="AD8" i="5" s="1"/>
  <c r="AA8" i="5"/>
  <c r="AB8" i="5" s="1"/>
  <c r="X8" i="5"/>
  <c r="AK7" i="5"/>
  <c r="AE7" i="5" a="1"/>
  <c r="AE7" i="5" s="1"/>
  <c r="AF7" i="5" s="1"/>
  <c r="AC7" i="5" a="1"/>
  <c r="AC7" i="5" s="1"/>
  <c r="AD7" i="5" s="1"/>
  <c r="AB7" i="5"/>
  <c r="AA7" i="5"/>
  <c r="X7" i="5"/>
  <c r="AK6" i="5"/>
  <c r="AE6" i="5"/>
  <c r="AF6" i="5" s="1"/>
  <c r="AE6" i="5" a="1"/>
  <c r="AC6" i="5"/>
  <c r="AD6" i="5" s="1"/>
  <c r="AC6" i="5" a="1"/>
  <c r="AA6" i="5"/>
  <c r="AB6" i="5" s="1"/>
  <c r="X6" i="5"/>
  <c r="AK5" i="5"/>
  <c r="AE5" i="5"/>
  <c r="AF5" i="5" s="1"/>
  <c r="AE5" i="5" a="1"/>
  <c r="AC5" i="5"/>
  <c r="AD5" i="5" s="1"/>
  <c r="AC5" i="5" a="1"/>
  <c r="AA5" i="5"/>
  <c r="AB5" i="5" s="1"/>
  <c r="X5" i="5"/>
  <c r="AK4" i="5"/>
  <c r="AF4" i="5"/>
  <c r="AE4" i="5"/>
  <c r="AE4" i="5" a="1"/>
  <c r="AC4" i="5"/>
  <c r="AD4" i="5" s="1"/>
  <c r="AC4" i="5" a="1"/>
  <c r="AA4" i="5"/>
  <c r="AB4" i="5" s="1"/>
  <c r="X4" i="5"/>
  <c r="AK3" i="5"/>
  <c r="AF3" i="5"/>
  <c r="AE3" i="5"/>
  <c r="AE3" i="5" a="1"/>
  <c r="AC3" i="5" a="1"/>
  <c r="AC3" i="5" s="1"/>
  <c r="AD3" i="5" s="1"/>
  <c r="AB3" i="5"/>
  <c r="AA3" i="5"/>
  <c r="X3" i="5"/>
  <c r="AK2" i="5"/>
  <c r="AF2" i="5"/>
  <c r="AE2" i="5"/>
  <c r="AE2" i="5" a="1"/>
  <c r="AD2" i="5"/>
  <c r="AC2" i="5"/>
  <c r="AC2" i="5" a="1"/>
  <c r="AB2" i="5"/>
  <c r="AA2" i="5"/>
  <c r="X2" i="5"/>
  <c r="AE455" i="4"/>
  <c r="Y455" i="4" a="1"/>
  <c r="Y455" i="4" s="1"/>
  <c r="Z455" i="4" s="1"/>
  <c r="W455" i="4" a="1"/>
  <c r="W455" i="4" s="1"/>
  <c r="X455" i="4" s="1"/>
  <c r="U455" i="4"/>
  <c r="V455" i="4" s="1"/>
  <c r="R455" i="4"/>
  <c r="AE454" i="4"/>
  <c r="Y454" i="4" a="1"/>
  <c r="Y454" i="4" s="1"/>
  <c r="Z454" i="4" s="1"/>
  <c r="W454" i="4" a="1"/>
  <c r="W454" i="4" s="1"/>
  <c r="X454" i="4" s="1"/>
  <c r="U454" i="4"/>
  <c r="V454" i="4" s="1"/>
  <c r="R454" i="4"/>
  <c r="AE453" i="4"/>
  <c r="Y453" i="4" a="1"/>
  <c r="Y453" i="4" s="1"/>
  <c r="Z453" i="4" s="1"/>
  <c r="W453" i="4" a="1"/>
  <c r="W453" i="4" s="1"/>
  <c r="X453" i="4" s="1"/>
  <c r="U453" i="4"/>
  <c r="V453" i="4" s="1"/>
  <c r="R453" i="4"/>
  <c r="AE452" i="4"/>
  <c r="Y452" i="4" a="1"/>
  <c r="Y452" i="4" s="1"/>
  <c r="Z452" i="4" s="1"/>
  <c r="W452" i="4" a="1"/>
  <c r="W452" i="4" s="1"/>
  <c r="X452" i="4" s="1"/>
  <c r="U452" i="4"/>
  <c r="V452" i="4" s="1"/>
  <c r="R452" i="4"/>
  <c r="AE451" i="4"/>
  <c r="Y451" i="4" a="1"/>
  <c r="Y451" i="4" s="1"/>
  <c r="Z451" i="4" s="1"/>
  <c r="W451" i="4" a="1"/>
  <c r="W451" i="4" s="1"/>
  <c r="X451" i="4" s="1"/>
  <c r="U451" i="4"/>
  <c r="V451" i="4" s="1"/>
  <c r="R451" i="4"/>
  <c r="AE450" i="4"/>
  <c r="Y450" i="4" a="1"/>
  <c r="Y450" i="4" s="1"/>
  <c r="Z450" i="4" s="1"/>
  <c r="W450" i="4" a="1"/>
  <c r="W450" i="4" s="1"/>
  <c r="X450" i="4" s="1"/>
  <c r="U450" i="4"/>
  <c r="V450" i="4" s="1"/>
  <c r="R450" i="4"/>
  <c r="AE449" i="4"/>
  <c r="Y449" i="4" a="1"/>
  <c r="Y449" i="4" s="1"/>
  <c r="Z449" i="4" s="1"/>
  <c r="W449" i="4" a="1"/>
  <c r="W449" i="4" s="1"/>
  <c r="X449" i="4" s="1"/>
  <c r="U449" i="4"/>
  <c r="V449" i="4" s="1"/>
  <c r="R449" i="4"/>
  <c r="AE448" i="4"/>
  <c r="Y448" i="4" a="1"/>
  <c r="Y448" i="4" s="1"/>
  <c r="Z448" i="4" s="1"/>
  <c r="W448" i="4" a="1"/>
  <c r="W448" i="4" s="1"/>
  <c r="X448" i="4" s="1"/>
  <c r="U448" i="4"/>
  <c r="V448" i="4" s="1"/>
  <c r="R448" i="4"/>
  <c r="AE447" i="4"/>
  <c r="Y447" i="4" a="1"/>
  <c r="Y447" i="4" s="1"/>
  <c r="Z447" i="4" s="1"/>
  <c r="W447" i="4" a="1"/>
  <c r="W447" i="4" s="1"/>
  <c r="X447" i="4" s="1"/>
  <c r="U447" i="4"/>
  <c r="V447" i="4" s="1"/>
  <c r="R447" i="4"/>
  <c r="AE446" i="4"/>
  <c r="Y446" i="4" a="1"/>
  <c r="Y446" i="4" s="1"/>
  <c r="Z446" i="4" s="1"/>
  <c r="W446" i="4" a="1"/>
  <c r="W446" i="4" s="1"/>
  <c r="X446" i="4" s="1"/>
  <c r="U446" i="4"/>
  <c r="V446" i="4" s="1"/>
  <c r="R446" i="4"/>
  <c r="AE445" i="4"/>
  <c r="Y445" i="4" a="1"/>
  <c r="Y445" i="4" s="1"/>
  <c r="Z445" i="4" s="1"/>
  <c r="W445" i="4" a="1"/>
  <c r="W445" i="4" s="1"/>
  <c r="X445" i="4" s="1"/>
  <c r="U445" i="4"/>
  <c r="V445" i="4" s="1"/>
  <c r="R445" i="4"/>
  <c r="AE444" i="4"/>
  <c r="Y444" i="4" a="1"/>
  <c r="Y444" i="4" s="1"/>
  <c r="Z444" i="4" s="1"/>
  <c r="W444" i="4" a="1"/>
  <c r="W444" i="4" s="1"/>
  <c r="X444" i="4" s="1"/>
  <c r="U444" i="4"/>
  <c r="V444" i="4" s="1"/>
  <c r="R444" i="4"/>
  <c r="AE443" i="4"/>
  <c r="Y443" i="4" a="1"/>
  <c r="Y443" i="4" s="1"/>
  <c r="Z443" i="4" s="1"/>
  <c r="W443" i="4" a="1"/>
  <c r="W443" i="4" s="1"/>
  <c r="X443" i="4" s="1"/>
  <c r="U443" i="4"/>
  <c r="V443" i="4" s="1"/>
  <c r="R443" i="4"/>
  <c r="AE442" i="4"/>
  <c r="Y442" i="4" a="1"/>
  <c r="Y442" i="4" s="1"/>
  <c r="Z442" i="4" s="1"/>
  <c r="W442" i="4" a="1"/>
  <c r="W442" i="4" s="1"/>
  <c r="X442" i="4" s="1"/>
  <c r="U442" i="4"/>
  <c r="V442" i="4" s="1"/>
  <c r="R442" i="4"/>
  <c r="AE441" i="4"/>
  <c r="Y441" i="4" a="1"/>
  <c r="Y441" i="4" s="1"/>
  <c r="Z441" i="4" s="1"/>
  <c r="W441" i="4" a="1"/>
  <c r="W441" i="4" s="1"/>
  <c r="X441" i="4" s="1"/>
  <c r="U441" i="4"/>
  <c r="V441" i="4" s="1"/>
  <c r="R441" i="4"/>
  <c r="AE440" i="4"/>
  <c r="Y440" i="4" a="1"/>
  <c r="Y440" i="4" s="1"/>
  <c r="Z440" i="4" s="1"/>
  <c r="W440" i="4" a="1"/>
  <c r="W440" i="4" s="1"/>
  <c r="X440" i="4" s="1"/>
  <c r="U440" i="4"/>
  <c r="V440" i="4" s="1"/>
  <c r="R440" i="4"/>
  <c r="AE439" i="4"/>
  <c r="Y439" i="4" a="1"/>
  <c r="Y439" i="4" s="1"/>
  <c r="Z439" i="4" s="1"/>
  <c r="W439" i="4" a="1"/>
  <c r="W439" i="4" s="1"/>
  <c r="X439" i="4" s="1"/>
  <c r="U439" i="4"/>
  <c r="V439" i="4" s="1"/>
  <c r="R439" i="4"/>
  <c r="AE438" i="4"/>
  <c r="Y438" i="4" a="1"/>
  <c r="Y438" i="4" s="1"/>
  <c r="Z438" i="4" s="1"/>
  <c r="W438" i="4" a="1"/>
  <c r="W438" i="4" s="1"/>
  <c r="X438" i="4" s="1"/>
  <c r="U438" i="4"/>
  <c r="V438" i="4" s="1"/>
  <c r="R438" i="4"/>
  <c r="AE437" i="4"/>
  <c r="Y437" i="4" a="1"/>
  <c r="Y437" i="4" s="1"/>
  <c r="Z437" i="4" s="1"/>
  <c r="W437" i="4" a="1"/>
  <c r="W437" i="4" s="1"/>
  <c r="X437" i="4" s="1"/>
  <c r="U437" i="4"/>
  <c r="V437" i="4" s="1"/>
  <c r="R437" i="4"/>
  <c r="AE436" i="4"/>
  <c r="Y436" i="4" a="1"/>
  <c r="Y436" i="4" s="1"/>
  <c r="Z436" i="4" s="1"/>
  <c r="W436" i="4" a="1"/>
  <c r="W436" i="4" s="1"/>
  <c r="X436" i="4" s="1"/>
  <c r="U436" i="4"/>
  <c r="V436" i="4" s="1"/>
  <c r="R436" i="4"/>
  <c r="AE435" i="4"/>
  <c r="Y435" i="4" a="1"/>
  <c r="Y435" i="4" s="1"/>
  <c r="Z435" i="4" s="1"/>
  <c r="W435" i="4" a="1"/>
  <c r="W435" i="4" s="1"/>
  <c r="X435" i="4" s="1"/>
  <c r="U435" i="4"/>
  <c r="V435" i="4" s="1"/>
  <c r="R435" i="4"/>
  <c r="AE434" i="4"/>
  <c r="Y434" i="4" a="1"/>
  <c r="Y434" i="4" s="1"/>
  <c r="Z434" i="4" s="1"/>
  <c r="W434" i="4" a="1"/>
  <c r="W434" i="4" s="1"/>
  <c r="X434" i="4" s="1"/>
  <c r="U434" i="4"/>
  <c r="V434" i="4" s="1"/>
  <c r="R434" i="4"/>
  <c r="AE433" i="4"/>
  <c r="Y433" i="4" a="1"/>
  <c r="Y433" i="4" s="1"/>
  <c r="Z433" i="4" s="1"/>
  <c r="W433" i="4" a="1"/>
  <c r="W433" i="4" s="1"/>
  <c r="X433" i="4" s="1"/>
  <c r="U433" i="4"/>
  <c r="V433" i="4" s="1"/>
  <c r="R433" i="4"/>
  <c r="AE432" i="4"/>
  <c r="Y432" i="4" a="1"/>
  <c r="Y432" i="4" s="1"/>
  <c r="Z432" i="4" s="1"/>
  <c r="W432" i="4" a="1"/>
  <c r="W432" i="4" s="1"/>
  <c r="X432" i="4" s="1"/>
  <c r="U432" i="4"/>
  <c r="V432" i="4" s="1"/>
  <c r="R432" i="4"/>
  <c r="AE431" i="4"/>
  <c r="Y431" i="4" a="1"/>
  <c r="Y431" i="4" s="1"/>
  <c r="Z431" i="4" s="1"/>
  <c r="W431" i="4" a="1"/>
  <c r="W431" i="4" s="1"/>
  <c r="X431" i="4" s="1"/>
  <c r="U431" i="4"/>
  <c r="V431" i="4" s="1"/>
  <c r="R431" i="4"/>
  <c r="AE430" i="4"/>
  <c r="Y430" i="4" a="1"/>
  <c r="Y430" i="4" s="1"/>
  <c r="Z430" i="4" s="1"/>
  <c r="W430" i="4" a="1"/>
  <c r="W430" i="4" s="1"/>
  <c r="X430" i="4" s="1"/>
  <c r="U430" i="4"/>
  <c r="V430" i="4" s="1"/>
  <c r="R430" i="4"/>
  <c r="AE429" i="4"/>
  <c r="Y429" i="4" a="1"/>
  <c r="Y429" i="4" s="1"/>
  <c r="Z429" i="4" s="1"/>
  <c r="W429" i="4" a="1"/>
  <c r="W429" i="4" s="1"/>
  <c r="X429" i="4" s="1"/>
  <c r="U429" i="4"/>
  <c r="V429" i="4" s="1"/>
  <c r="R429" i="4"/>
  <c r="AE428" i="4"/>
  <c r="Y428" i="4" a="1"/>
  <c r="Y428" i="4" s="1"/>
  <c r="Z428" i="4" s="1"/>
  <c r="W428" i="4" a="1"/>
  <c r="W428" i="4" s="1"/>
  <c r="X428" i="4" s="1"/>
  <c r="U428" i="4"/>
  <c r="V428" i="4" s="1"/>
  <c r="R428" i="4"/>
  <c r="AE427" i="4"/>
  <c r="Y427" i="4" a="1"/>
  <c r="Y427" i="4" s="1"/>
  <c r="Z427" i="4" s="1"/>
  <c r="W427" i="4" a="1"/>
  <c r="W427" i="4" s="1"/>
  <c r="X427" i="4" s="1"/>
  <c r="U427" i="4"/>
  <c r="V427" i="4" s="1"/>
  <c r="R427" i="4"/>
  <c r="AE426" i="4"/>
  <c r="Y426" i="4" a="1"/>
  <c r="Y426" i="4" s="1"/>
  <c r="Z426" i="4" s="1"/>
  <c r="W426" i="4" a="1"/>
  <c r="W426" i="4" s="1"/>
  <c r="X426" i="4" s="1"/>
  <c r="U426" i="4"/>
  <c r="V426" i="4" s="1"/>
  <c r="R426" i="4"/>
  <c r="AE425" i="4"/>
  <c r="Y425" i="4" a="1"/>
  <c r="Y425" i="4" s="1"/>
  <c r="Z425" i="4" s="1"/>
  <c r="W425" i="4" a="1"/>
  <c r="W425" i="4" s="1"/>
  <c r="X425" i="4" s="1"/>
  <c r="U425" i="4"/>
  <c r="V425" i="4" s="1"/>
  <c r="R425" i="4"/>
  <c r="AE424" i="4"/>
  <c r="Y424" i="4" a="1"/>
  <c r="Y424" i="4" s="1"/>
  <c r="Z424" i="4" s="1"/>
  <c r="W424" i="4" a="1"/>
  <c r="W424" i="4" s="1"/>
  <c r="X424" i="4" s="1"/>
  <c r="U424" i="4"/>
  <c r="V424" i="4" s="1"/>
  <c r="R424" i="4"/>
  <c r="AE423" i="4"/>
  <c r="Y423" i="4" a="1"/>
  <c r="Y423" i="4" s="1"/>
  <c r="Z423" i="4" s="1"/>
  <c r="W423" i="4" a="1"/>
  <c r="W423" i="4" s="1"/>
  <c r="X423" i="4" s="1"/>
  <c r="U423" i="4"/>
  <c r="V423" i="4" s="1"/>
  <c r="R423" i="4"/>
  <c r="AE422" i="4"/>
  <c r="Y422" i="4" a="1"/>
  <c r="Y422" i="4" s="1"/>
  <c r="Z422" i="4" s="1"/>
  <c r="W422" i="4" a="1"/>
  <c r="W422" i="4" s="1"/>
  <c r="X422" i="4" s="1"/>
  <c r="U422" i="4"/>
  <c r="V422" i="4" s="1"/>
  <c r="R422" i="4"/>
  <c r="AE421" i="4"/>
  <c r="Y421" i="4" a="1"/>
  <c r="Y421" i="4" s="1"/>
  <c r="Z421" i="4" s="1"/>
  <c r="W421" i="4" a="1"/>
  <c r="W421" i="4" s="1"/>
  <c r="X421" i="4" s="1"/>
  <c r="U421" i="4"/>
  <c r="V421" i="4" s="1"/>
  <c r="R421" i="4"/>
  <c r="AE420" i="4"/>
  <c r="Y420" i="4" a="1"/>
  <c r="Y420" i="4" s="1"/>
  <c r="Z420" i="4" s="1"/>
  <c r="W420" i="4" a="1"/>
  <c r="W420" i="4" s="1"/>
  <c r="X420" i="4" s="1"/>
  <c r="U420" i="4"/>
  <c r="V420" i="4" s="1"/>
  <c r="R420" i="4"/>
  <c r="AE419" i="4"/>
  <c r="Y419" i="4" a="1"/>
  <c r="Y419" i="4" s="1"/>
  <c r="Z419" i="4" s="1"/>
  <c r="W419" i="4" a="1"/>
  <c r="W419" i="4" s="1"/>
  <c r="X419" i="4" s="1"/>
  <c r="U419" i="4"/>
  <c r="V419" i="4" s="1"/>
  <c r="R419" i="4"/>
  <c r="AE418" i="4"/>
  <c r="Y418" i="4" a="1"/>
  <c r="Y418" i="4" s="1"/>
  <c r="Z418" i="4" s="1"/>
  <c r="W418" i="4" a="1"/>
  <c r="W418" i="4" s="1"/>
  <c r="X418" i="4" s="1"/>
  <c r="U418" i="4"/>
  <c r="V418" i="4" s="1"/>
  <c r="R418" i="4"/>
  <c r="AE417" i="4"/>
  <c r="Y417" i="4" a="1"/>
  <c r="Y417" i="4" s="1"/>
  <c r="Z417" i="4" s="1"/>
  <c r="W417" i="4" a="1"/>
  <c r="W417" i="4" s="1"/>
  <c r="X417" i="4" s="1"/>
  <c r="U417" i="4"/>
  <c r="V417" i="4" s="1"/>
  <c r="R417" i="4"/>
  <c r="AE416" i="4"/>
  <c r="Y416" i="4" a="1"/>
  <c r="Y416" i="4" s="1"/>
  <c r="Z416" i="4" s="1"/>
  <c r="W416" i="4" a="1"/>
  <c r="W416" i="4" s="1"/>
  <c r="X416" i="4" s="1"/>
  <c r="U416" i="4"/>
  <c r="V416" i="4" s="1"/>
  <c r="R416" i="4"/>
  <c r="AE415" i="4"/>
  <c r="Y415" i="4" a="1"/>
  <c r="Y415" i="4" s="1"/>
  <c r="Z415" i="4" s="1"/>
  <c r="W415" i="4" a="1"/>
  <c r="W415" i="4" s="1"/>
  <c r="X415" i="4" s="1"/>
  <c r="U415" i="4"/>
  <c r="V415" i="4" s="1"/>
  <c r="R415" i="4"/>
  <c r="AE414" i="4"/>
  <c r="Y414" i="4" a="1"/>
  <c r="Y414" i="4" s="1"/>
  <c r="Z414" i="4" s="1"/>
  <c r="W414" i="4" a="1"/>
  <c r="W414" i="4" s="1"/>
  <c r="X414" i="4" s="1"/>
  <c r="U414" i="4"/>
  <c r="V414" i="4" s="1"/>
  <c r="R414" i="4"/>
  <c r="AE413" i="4"/>
  <c r="Y413" i="4" a="1"/>
  <c r="Y413" i="4" s="1"/>
  <c r="Z413" i="4" s="1"/>
  <c r="W413" i="4" a="1"/>
  <c r="W413" i="4" s="1"/>
  <c r="X413" i="4" s="1"/>
  <c r="U413" i="4"/>
  <c r="V413" i="4" s="1"/>
  <c r="R413" i="4"/>
  <c r="AE412" i="4"/>
  <c r="Y412" i="4" a="1"/>
  <c r="Y412" i="4" s="1"/>
  <c r="Z412" i="4" s="1"/>
  <c r="W412" i="4" a="1"/>
  <c r="W412" i="4" s="1"/>
  <c r="X412" i="4" s="1"/>
  <c r="U412" i="4"/>
  <c r="V412" i="4" s="1"/>
  <c r="R412" i="4"/>
  <c r="AE411" i="4"/>
  <c r="Y411" i="4" a="1"/>
  <c r="Y411" i="4" s="1"/>
  <c r="Z411" i="4" s="1"/>
  <c r="W411" i="4" a="1"/>
  <c r="W411" i="4" s="1"/>
  <c r="X411" i="4" s="1"/>
  <c r="U411" i="4"/>
  <c r="V411" i="4" s="1"/>
  <c r="R411" i="4"/>
  <c r="AE410" i="4"/>
  <c r="Y410" i="4" a="1"/>
  <c r="Y410" i="4" s="1"/>
  <c r="Z410" i="4" s="1"/>
  <c r="W410" i="4" a="1"/>
  <c r="W410" i="4" s="1"/>
  <c r="X410" i="4" s="1"/>
  <c r="U410" i="4"/>
  <c r="V410" i="4" s="1"/>
  <c r="R410" i="4"/>
  <c r="AE409" i="4"/>
  <c r="Y409" i="4" a="1"/>
  <c r="Y409" i="4" s="1"/>
  <c r="Z409" i="4" s="1"/>
  <c r="W409" i="4" a="1"/>
  <c r="W409" i="4" s="1"/>
  <c r="X409" i="4" s="1"/>
  <c r="U409" i="4"/>
  <c r="V409" i="4" s="1"/>
  <c r="R409" i="4"/>
  <c r="AE408" i="4"/>
  <c r="Y408" i="4" a="1"/>
  <c r="Y408" i="4" s="1"/>
  <c r="Z408" i="4" s="1"/>
  <c r="W408" i="4" a="1"/>
  <c r="W408" i="4" s="1"/>
  <c r="X408" i="4" s="1"/>
  <c r="U408" i="4"/>
  <c r="V408" i="4" s="1"/>
  <c r="R408" i="4"/>
  <c r="AE407" i="4"/>
  <c r="Y407" i="4" a="1"/>
  <c r="Y407" i="4" s="1"/>
  <c r="Z407" i="4" s="1"/>
  <c r="W407" i="4" a="1"/>
  <c r="W407" i="4" s="1"/>
  <c r="X407" i="4" s="1"/>
  <c r="U407" i="4"/>
  <c r="V407" i="4" s="1"/>
  <c r="R407" i="4"/>
  <c r="AE406" i="4"/>
  <c r="Y406" i="4" a="1"/>
  <c r="Y406" i="4" s="1"/>
  <c r="Z406" i="4" s="1"/>
  <c r="W406" i="4" a="1"/>
  <c r="W406" i="4" s="1"/>
  <c r="X406" i="4" s="1"/>
  <c r="U406" i="4"/>
  <c r="V406" i="4" s="1"/>
  <c r="R406" i="4"/>
  <c r="AE405" i="4"/>
  <c r="Y405" i="4" a="1"/>
  <c r="Y405" i="4" s="1"/>
  <c r="Z405" i="4" s="1"/>
  <c r="W405" i="4" a="1"/>
  <c r="W405" i="4" s="1"/>
  <c r="X405" i="4" s="1"/>
  <c r="U405" i="4"/>
  <c r="V405" i="4" s="1"/>
  <c r="R405" i="4"/>
  <c r="AE404" i="4"/>
  <c r="Y404" i="4" a="1"/>
  <c r="Y404" i="4" s="1"/>
  <c r="Z404" i="4" s="1"/>
  <c r="W404" i="4" a="1"/>
  <c r="W404" i="4" s="1"/>
  <c r="X404" i="4" s="1"/>
  <c r="U404" i="4"/>
  <c r="V404" i="4" s="1"/>
  <c r="R404" i="4"/>
  <c r="AE403" i="4"/>
  <c r="Y403" i="4" a="1"/>
  <c r="Y403" i="4" s="1"/>
  <c r="Z403" i="4" s="1"/>
  <c r="W403" i="4" a="1"/>
  <c r="W403" i="4" s="1"/>
  <c r="X403" i="4" s="1"/>
  <c r="U403" i="4"/>
  <c r="V403" i="4" s="1"/>
  <c r="R403" i="4"/>
  <c r="AE402" i="4"/>
  <c r="Y402" i="4" a="1"/>
  <c r="Y402" i="4" s="1"/>
  <c r="Z402" i="4" s="1"/>
  <c r="W402" i="4" a="1"/>
  <c r="W402" i="4" s="1"/>
  <c r="X402" i="4" s="1"/>
  <c r="U402" i="4"/>
  <c r="V402" i="4" s="1"/>
  <c r="R402" i="4"/>
  <c r="AE401" i="4"/>
  <c r="Y401" i="4" a="1"/>
  <c r="Y401" i="4" s="1"/>
  <c r="Z401" i="4" s="1"/>
  <c r="W401" i="4" a="1"/>
  <c r="W401" i="4" s="1"/>
  <c r="X401" i="4" s="1"/>
  <c r="U401" i="4"/>
  <c r="V401" i="4" s="1"/>
  <c r="R401" i="4"/>
  <c r="AE400" i="4"/>
  <c r="Y400" i="4" a="1"/>
  <c r="Y400" i="4" s="1"/>
  <c r="Z400" i="4" s="1"/>
  <c r="W400" i="4" a="1"/>
  <c r="W400" i="4" s="1"/>
  <c r="X400" i="4" s="1"/>
  <c r="U400" i="4"/>
  <c r="V400" i="4" s="1"/>
  <c r="R400" i="4"/>
  <c r="AE399" i="4"/>
  <c r="Y399" i="4" a="1"/>
  <c r="Y399" i="4" s="1"/>
  <c r="Z399" i="4" s="1"/>
  <c r="W399" i="4" a="1"/>
  <c r="W399" i="4" s="1"/>
  <c r="X399" i="4" s="1"/>
  <c r="U399" i="4"/>
  <c r="V399" i="4" s="1"/>
  <c r="R399" i="4"/>
  <c r="AE398" i="4"/>
  <c r="Y398" i="4" a="1"/>
  <c r="Y398" i="4" s="1"/>
  <c r="Z398" i="4" s="1"/>
  <c r="W398" i="4" a="1"/>
  <c r="W398" i="4" s="1"/>
  <c r="X398" i="4" s="1"/>
  <c r="U398" i="4"/>
  <c r="V398" i="4" s="1"/>
  <c r="R398" i="4"/>
  <c r="AE397" i="4"/>
  <c r="Y397" i="4" a="1"/>
  <c r="Y397" i="4" s="1"/>
  <c r="Z397" i="4" s="1"/>
  <c r="W397" i="4" a="1"/>
  <c r="W397" i="4" s="1"/>
  <c r="X397" i="4" s="1"/>
  <c r="U397" i="4"/>
  <c r="V397" i="4" s="1"/>
  <c r="R397" i="4"/>
  <c r="AE396" i="4"/>
  <c r="Y396" i="4" a="1"/>
  <c r="Y396" i="4" s="1"/>
  <c r="Z396" i="4" s="1"/>
  <c r="W396" i="4" a="1"/>
  <c r="W396" i="4" s="1"/>
  <c r="X396" i="4" s="1"/>
  <c r="U396" i="4"/>
  <c r="V396" i="4" s="1"/>
  <c r="R396" i="4"/>
  <c r="AE395" i="4"/>
  <c r="Y395" i="4" a="1"/>
  <c r="Y395" i="4" s="1"/>
  <c r="Z395" i="4" s="1"/>
  <c r="W395" i="4" a="1"/>
  <c r="W395" i="4" s="1"/>
  <c r="X395" i="4" s="1"/>
  <c r="U395" i="4"/>
  <c r="V395" i="4" s="1"/>
  <c r="R395" i="4"/>
  <c r="AE394" i="4"/>
  <c r="Y394" i="4" a="1"/>
  <c r="Y394" i="4" s="1"/>
  <c r="Z394" i="4" s="1"/>
  <c r="W394" i="4" a="1"/>
  <c r="W394" i="4" s="1"/>
  <c r="X394" i="4" s="1"/>
  <c r="U394" i="4"/>
  <c r="V394" i="4" s="1"/>
  <c r="R394" i="4"/>
  <c r="AE393" i="4"/>
  <c r="Y393" i="4" a="1"/>
  <c r="Y393" i="4" s="1"/>
  <c r="Z393" i="4" s="1"/>
  <c r="W393" i="4" a="1"/>
  <c r="W393" i="4" s="1"/>
  <c r="X393" i="4" s="1"/>
  <c r="U393" i="4"/>
  <c r="V393" i="4" s="1"/>
  <c r="R393" i="4"/>
  <c r="AE392" i="4"/>
  <c r="Y392" i="4" a="1"/>
  <c r="Y392" i="4" s="1"/>
  <c r="Z392" i="4" s="1"/>
  <c r="W392" i="4" a="1"/>
  <c r="W392" i="4" s="1"/>
  <c r="X392" i="4" s="1"/>
  <c r="U392" i="4"/>
  <c r="V392" i="4" s="1"/>
  <c r="R392" i="4"/>
  <c r="AE391" i="4"/>
  <c r="Y391" i="4" a="1"/>
  <c r="Y391" i="4" s="1"/>
  <c r="Z391" i="4" s="1"/>
  <c r="W391" i="4" a="1"/>
  <c r="W391" i="4" s="1"/>
  <c r="X391" i="4" s="1"/>
  <c r="U391" i="4"/>
  <c r="V391" i="4" s="1"/>
  <c r="R391" i="4"/>
  <c r="AE390" i="4"/>
  <c r="Y390" i="4" a="1"/>
  <c r="Y390" i="4" s="1"/>
  <c r="Z390" i="4" s="1"/>
  <c r="W390" i="4" a="1"/>
  <c r="W390" i="4" s="1"/>
  <c r="X390" i="4" s="1"/>
  <c r="U390" i="4"/>
  <c r="V390" i="4" s="1"/>
  <c r="R390" i="4"/>
  <c r="AE389" i="4"/>
  <c r="Y389" i="4" a="1"/>
  <c r="Y389" i="4" s="1"/>
  <c r="Z389" i="4" s="1"/>
  <c r="W389" i="4" a="1"/>
  <c r="W389" i="4" s="1"/>
  <c r="X389" i="4" s="1"/>
  <c r="U389" i="4"/>
  <c r="V389" i="4" s="1"/>
  <c r="R389" i="4"/>
  <c r="AE388" i="4"/>
  <c r="Y388" i="4" a="1"/>
  <c r="Y388" i="4" s="1"/>
  <c r="Z388" i="4" s="1"/>
  <c r="W388" i="4" a="1"/>
  <c r="W388" i="4" s="1"/>
  <c r="X388" i="4" s="1"/>
  <c r="U388" i="4"/>
  <c r="V388" i="4" s="1"/>
  <c r="R388" i="4"/>
  <c r="AE387" i="4"/>
  <c r="Y387" i="4" a="1"/>
  <c r="Y387" i="4" s="1"/>
  <c r="Z387" i="4" s="1"/>
  <c r="W387" i="4" a="1"/>
  <c r="W387" i="4" s="1"/>
  <c r="X387" i="4" s="1"/>
  <c r="U387" i="4"/>
  <c r="V387" i="4" s="1"/>
  <c r="R387" i="4"/>
  <c r="AE386" i="4"/>
  <c r="Y386" i="4" a="1"/>
  <c r="Y386" i="4" s="1"/>
  <c r="Z386" i="4" s="1"/>
  <c r="W386" i="4" a="1"/>
  <c r="W386" i="4" s="1"/>
  <c r="X386" i="4" s="1"/>
  <c r="U386" i="4"/>
  <c r="V386" i="4" s="1"/>
  <c r="R386" i="4"/>
  <c r="AE385" i="4"/>
  <c r="Y385" i="4" a="1"/>
  <c r="Y385" i="4" s="1"/>
  <c r="Z385" i="4" s="1"/>
  <c r="W385" i="4" a="1"/>
  <c r="W385" i="4" s="1"/>
  <c r="X385" i="4" s="1"/>
  <c r="U385" i="4"/>
  <c r="V385" i="4" s="1"/>
  <c r="R385" i="4"/>
  <c r="AE384" i="4"/>
  <c r="Y384" i="4" a="1"/>
  <c r="Y384" i="4" s="1"/>
  <c r="Z384" i="4" s="1"/>
  <c r="W384" i="4" a="1"/>
  <c r="W384" i="4" s="1"/>
  <c r="X384" i="4" s="1"/>
  <c r="U384" i="4"/>
  <c r="V384" i="4" s="1"/>
  <c r="R384" i="4"/>
  <c r="AE383" i="4"/>
  <c r="Y383" i="4" a="1"/>
  <c r="Y383" i="4" s="1"/>
  <c r="Z383" i="4" s="1"/>
  <c r="W383" i="4" a="1"/>
  <c r="W383" i="4" s="1"/>
  <c r="X383" i="4" s="1"/>
  <c r="U383" i="4"/>
  <c r="V383" i="4" s="1"/>
  <c r="R383" i="4"/>
  <c r="AE382" i="4"/>
  <c r="Y382" i="4" a="1"/>
  <c r="Y382" i="4" s="1"/>
  <c r="Z382" i="4" s="1"/>
  <c r="W382" i="4" a="1"/>
  <c r="W382" i="4" s="1"/>
  <c r="X382" i="4" s="1"/>
  <c r="U382" i="4"/>
  <c r="V382" i="4" s="1"/>
  <c r="R382" i="4"/>
  <c r="AE381" i="4"/>
  <c r="Y381" i="4" a="1"/>
  <c r="Y381" i="4" s="1"/>
  <c r="Z381" i="4" s="1"/>
  <c r="W381" i="4" a="1"/>
  <c r="W381" i="4" s="1"/>
  <c r="X381" i="4" s="1"/>
  <c r="U381" i="4"/>
  <c r="V381" i="4" s="1"/>
  <c r="R381" i="4"/>
  <c r="AE380" i="4"/>
  <c r="Y380" i="4" a="1"/>
  <c r="Y380" i="4" s="1"/>
  <c r="Z380" i="4" s="1"/>
  <c r="W380" i="4" a="1"/>
  <c r="W380" i="4" s="1"/>
  <c r="X380" i="4" s="1"/>
  <c r="U380" i="4"/>
  <c r="V380" i="4" s="1"/>
  <c r="R380" i="4"/>
  <c r="AE379" i="4"/>
  <c r="Y379" i="4" a="1"/>
  <c r="Y379" i="4" s="1"/>
  <c r="Z379" i="4" s="1"/>
  <c r="W379" i="4" a="1"/>
  <c r="W379" i="4" s="1"/>
  <c r="X379" i="4" s="1"/>
  <c r="U379" i="4"/>
  <c r="V379" i="4" s="1"/>
  <c r="R379" i="4"/>
  <c r="AE378" i="4"/>
  <c r="Y378" i="4" a="1"/>
  <c r="Y378" i="4" s="1"/>
  <c r="Z378" i="4" s="1"/>
  <c r="W378" i="4" a="1"/>
  <c r="W378" i="4" s="1"/>
  <c r="X378" i="4" s="1"/>
  <c r="U378" i="4"/>
  <c r="V378" i="4" s="1"/>
  <c r="R378" i="4"/>
  <c r="AE377" i="4"/>
  <c r="Y377" i="4" a="1"/>
  <c r="Y377" i="4" s="1"/>
  <c r="Z377" i="4" s="1"/>
  <c r="W377" i="4" a="1"/>
  <c r="W377" i="4" s="1"/>
  <c r="X377" i="4" s="1"/>
  <c r="U377" i="4"/>
  <c r="V377" i="4" s="1"/>
  <c r="R377" i="4"/>
  <c r="AE376" i="4"/>
  <c r="Y376" i="4" a="1"/>
  <c r="Y376" i="4" s="1"/>
  <c r="Z376" i="4" s="1"/>
  <c r="W376" i="4" a="1"/>
  <c r="W376" i="4" s="1"/>
  <c r="X376" i="4" s="1"/>
  <c r="U376" i="4"/>
  <c r="V376" i="4" s="1"/>
  <c r="R376" i="4"/>
  <c r="AE375" i="4"/>
  <c r="Y375" i="4" a="1"/>
  <c r="Y375" i="4" s="1"/>
  <c r="Z375" i="4" s="1"/>
  <c r="W375" i="4" a="1"/>
  <c r="W375" i="4" s="1"/>
  <c r="X375" i="4" s="1"/>
  <c r="U375" i="4"/>
  <c r="V375" i="4" s="1"/>
  <c r="R375" i="4"/>
  <c r="AE374" i="4"/>
  <c r="Y374" i="4" a="1"/>
  <c r="Y374" i="4" s="1"/>
  <c r="Z374" i="4" s="1"/>
  <c r="W374" i="4" a="1"/>
  <c r="W374" i="4" s="1"/>
  <c r="X374" i="4" s="1"/>
  <c r="U374" i="4"/>
  <c r="V374" i="4" s="1"/>
  <c r="R374" i="4"/>
  <c r="AE373" i="4"/>
  <c r="Y373" i="4" a="1"/>
  <c r="Y373" i="4" s="1"/>
  <c r="Z373" i="4" s="1"/>
  <c r="W373" i="4" a="1"/>
  <c r="W373" i="4" s="1"/>
  <c r="X373" i="4" s="1"/>
  <c r="U373" i="4"/>
  <c r="V373" i="4" s="1"/>
  <c r="R373" i="4"/>
  <c r="AE372" i="4"/>
  <c r="Y372" i="4" a="1"/>
  <c r="Y372" i="4" s="1"/>
  <c r="Z372" i="4" s="1"/>
  <c r="W372" i="4" a="1"/>
  <c r="W372" i="4" s="1"/>
  <c r="X372" i="4" s="1"/>
  <c r="U372" i="4"/>
  <c r="V372" i="4" s="1"/>
  <c r="R372" i="4"/>
  <c r="AE371" i="4"/>
  <c r="Y371" i="4" a="1"/>
  <c r="Y371" i="4" s="1"/>
  <c r="Z371" i="4" s="1"/>
  <c r="W371" i="4" a="1"/>
  <c r="W371" i="4" s="1"/>
  <c r="X371" i="4" s="1"/>
  <c r="U371" i="4"/>
  <c r="V371" i="4" s="1"/>
  <c r="R371" i="4"/>
  <c r="AE370" i="4"/>
  <c r="Y370" i="4" a="1"/>
  <c r="Y370" i="4" s="1"/>
  <c r="Z370" i="4" s="1"/>
  <c r="W370" i="4" a="1"/>
  <c r="W370" i="4" s="1"/>
  <c r="X370" i="4" s="1"/>
  <c r="U370" i="4"/>
  <c r="V370" i="4" s="1"/>
  <c r="R370" i="4"/>
  <c r="AE369" i="4"/>
  <c r="Y369" i="4" a="1"/>
  <c r="Y369" i="4" s="1"/>
  <c r="Z369" i="4" s="1"/>
  <c r="W369" i="4" a="1"/>
  <c r="W369" i="4" s="1"/>
  <c r="X369" i="4" s="1"/>
  <c r="U369" i="4"/>
  <c r="V369" i="4" s="1"/>
  <c r="R369" i="4"/>
  <c r="AE368" i="4"/>
  <c r="Y368" i="4" a="1"/>
  <c r="Y368" i="4" s="1"/>
  <c r="Z368" i="4" s="1"/>
  <c r="W368" i="4" a="1"/>
  <c r="W368" i="4" s="1"/>
  <c r="X368" i="4" s="1"/>
  <c r="U368" i="4"/>
  <c r="V368" i="4" s="1"/>
  <c r="R368" i="4"/>
  <c r="AE367" i="4"/>
  <c r="Y367" i="4" a="1"/>
  <c r="Y367" i="4" s="1"/>
  <c r="Z367" i="4" s="1"/>
  <c r="W367" i="4" a="1"/>
  <c r="W367" i="4" s="1"/>
  <c r="X367" i="4" s="1"/>
  <c r="U367" i="4"/>
  <c r="V367" i="4" s="1"/>
  <c r="R367" i="4"/>
  <c r="AE366" i="4"/>
  <c r="Y366" i="4" a="1"/>
  <c r="Y366" i="4" s="1"/>
  <c r="Z366" i="4" s="1"/>
  <c r="W366" i="4" a="1"/>
  <c r="W366" i="4" s="1"/>
  <c r="X366" i="4" s="1"/>
  <c r="U366" i="4"/>
  <c r="V366" i="4" s="1"/>
  <c r="R366" i="4"/>
  <c r="AE365" i="4"/>
  <c r="Y365" i="4" a="1"/>
  <c r="Y365" i="4" s="1"/>
  <c r="Z365" i="4" s="1"/>
  <c r="W365" i="4" a="1"/>
  <c r="W365" i="4" s="1"/>
  <c r="X365" i="4" s="1"/>
  <c r="U365" i="4"/>
  <c r="V365" i="4" s="1"/>
  <c r="R365" i="4"/>
  <c r="AE364" i="4"/>
  <c r="Y364" i="4" a="1"/>
  <c r="Y364" i="4" s="1"/>
  <c r="Z364" i="4" s="1"/>
  <c r="W364" i="4" a="1"/>
  <c r="W364" i="4" s="1"/>
  <c r="X364" i="4" s="1"/>
  <c r="U364" i="4"/>
  <c r="V364" i="4" s="1"/>
  <c r="R364" i="4"/>
  <c r="AE363" i="4"/>
  <c r="Y363" i="4" a="1"/>
  <c r="Y363" i="4" s="1"/>
  <c r="Z363" i="4" s="1"/>
  <c r="W363" i="4" a="1"/>
  <c r="W363" i="4" s="1"/>
  <c r="X363" i="4" s="1"/>
  <c r="U363" i="4"/>
  <c r="V363" i="4" s="1"/>
  <c r="R363" i="4"/>
  <c r="AE362" i="4"/>
  <c r="Y362" i="4" a="1"/>
  <c r="Y362" i="4" s="1"/>
  <c r="Z362" i="4" s="1"/>
  <c r="W362" i="4" a="1"/>
  <c r="W362" i="4" s="1"/>
  <c r="X362" i="4" s="1"/>
  <c r="U362" i="4"/>
  <c r="V362" i="4" s="1"/>
  <c r="R362" i="4"/>
  <c r="AE361" i="4"/>
  <c r="Y361" i="4" a="1"/>
  <c r="Y361" i="4" s="1"/>
  <c r="Z361" i="4" s="1"/>
  <c r="W361" i="4" a="1"/>
  <c r="W361" i="4" s="1"/>
  <c r="X361" i="4" s="1"/>
  <c r="U361" i="4"/>
  <c r="V361" i="4" s="1"/>
  <c r="R361" i="4"/>
  <c r="AE360" i="4"/>
  <c r="Y360" i="4" a="1"/>
  <c r="Y360" i="4" s="1"/>
  <c r="Z360" i="4" s="1"/>
  <c r="W360" i="4" a="1"/>
  <c r="W360" i="4" s="1"/>
  <c r="X360" i="4" s="1"/>
  <c r="U360" i="4"/>
  <c r="V360" i="4" s="1"/>
  <c r="R360" i="4"/>
  <c r="AE359" i="4"/>
  <c r="Y359" i="4" a="1"/>
  <c r="Y359" i="4" s="1"/>
  <c r="Z359" i="4" s="1"/>
  <c r="W359" i="4" a="1"/>
  <c r="W359" i="4" s="1"/>
  <c r="X359" i="4" s="1"/>
  <c r="U359" i="4"/>
  <c r="V359" i="4" s="1"/>
  <c r="R359" i="4"/>
  <c r="AE358" i="4"/>
  <c r="Y358" i="4" a="1"/>
  <c r="Y358" i="4" s="1"/>
  <c r="Z358" i="4" s="1"/>
  <c r="W358" i="4" a="1"/>
  <c r="W358" i="4" s="1"/>
  <c r="X358" i="4" s="1"/>
  <c r="U358" i="4"/>
  <c r="V358" i="4" s="1"/>
  <c r="R358" i="4"/>
  <c r="AE357" i="4"/>
  <c r="Y357" i="4" a="1"/>
  <c r="Y357" i="4" s="1"/>
  <c r="Z357" i="4" s="1"/>
  <c r="W357" i="4" a="1"/>
  <c r="W357" i="4" s="1"/>
  <c r="X357" i="4" s="1"/>
  <c r="U357" i="4"/>
  <c r="V357" i="4" s="1"/>
  <c r="R357" i="4"/>
  <c r="AE356" i="4"/>
  <c r="Y356" i="4" a="1"/>
  <c r="Y356" i="4" s="1"/>
  <c r="Z356" i="4" s="1"/>
  <c r="W356" i="4" a="1"/>
  <c r="W356" i="4" s="1"/>
  <c r="X356" i="4" s="1"/>
  <c r="U356" i="4"/>
  <c r="V356" i="4" s="1"/>
  <c r="R356" i="4"/>
  <c r="AE355" i="4"/>
  <c r="Y355" i="4" a="1"/>
  <c r="Y355" i="4" s="1"/>
  <c r="Z355" i="4" s="1"/>
  <c r="W355" i="4" a="1"/>
  <c r="W355" i="4" s="1"/>
  <c r="X355" i="4" s="1"/>
  <c r="U355" i="4"/>
  <c r="V355" i="4" s="1"/>
  <c r="R355" i="4"/>
  <c r="AE354" i="4"/>
  <c r="Y354" i="4" a="1"/>
  <c r="Y354" i="4" s="1"/>
  <c r="Z354" i="4" s="1"/>
  <c r="W354" i="4" a="1"/>
  <c r="W354" i="4" s="1"/>
  <c r="X354" i="4" s="1"/>
  <c r="U354" i="4"/>
  <c r="V354" i="4" s="1"/>
  <c r="R354" i="4"/>
  <c r="AE353" i="4"/>
  <c r="Y353" i="4" a="1"/>
  <c r="Y353" i="4" s="1"/>
  <c r="Z353" i="4" s="1"/>
  <c r="W353" i="4" a="1"/>
  <c r="W353" i="4" s="1"/>
  <c r="X353" i="4" s="1"/>
  <c r="U353" i="4"/>
  <c r="V353" i="4" s="1"/>
  <c r="R353" i="4"/>
  <c r="AE352" i="4"/>
  <c r="Y352" i="4" a="1"/>
  <c r="Y352" i="4" s="1"/>
  <c r="Z352" i="4" s="1"/>
  <c r="W352" i="4" a="1"/>
  <c r="W352" i="4" s="1"/>
  <c r="X352" i="4" s="1"/>
  <c r="U352" i="4"/>
  <c r="V352" i="4" s="1"/>
  <c r="R352" i="4"/>
  <c r="AE351" i="4"/>
  <c r="Y351" i="4" a="1"/>
  <c r="Y351" i="4" s="1"/>
  <c r="Z351" i="4" s="1"/>
  <c r="W351" i="4" a="1"/>
  <c r="W351" i="4" s="1"/>
  <c r="X351" i="4" s="1"/>
  <c r="U351" i="4"/>
  <c r="V351" i="4" s="1"/>
  <c r="R351" i="4"/>
  <c r="AE350" i="4"/>
  <c r="Y350" i="4" a="1"/>
  <c r="Y350" i="4" s="1"/>
  <c r="Z350" i="4" s="1"/>
  <c r="W350" i="4" a="1"/>
  <c r="W350" i="4" s="1"/>
  <c r="X350" i="4" s="1"/>
  <c r="U350" i="4"/>
  <c r="V350" i="4" s="1"/>
  <c r="R350" i="4"/>
  <c r="AE349" i="4"/>
  <c r="Y349" i="4" a="1"/>
  <c r="Y349" i="4" s="1"/>
  <c r="Z349" i="4" s="1"/>
  <c r="W349" i="4" a="1"/>
  <c r="W349" i="4" s="1"/>
  <c r="X349" i="4" s="1"/>
  <c r="U349" i="4"/>
  <c r="V349" i="4" s="1"/>
  <c r="R349" i="4"/>
  <c r="AE348" i="4"/>
  <c r="Y348" i="4" a="1"/>
  <c r="Y348" i="4" s="1"/>
  <c r="Z348" i="4" s="1"/>
  <c r="W348" i="4" a="1"/>
  <c r="W348" i="4" s="1"/>
  <c r="X348" i="4" s="1"/>
  <c r="U348" i="4"/>
  <c r="V348" i="4" s="1"/>
  <c r="R348" i="4"/>
  <c r="AE347" i="4"/>
  <c r="Y347" i="4" a="1"/>
  <c r="Y347" i="4" s="1"/>
  <c r="Z347" i="4" s="1"/>
  <c r="W347" i="4" a="1"/>
  <c r="W347" i="4" s="1"/>
  <c r="X347" i="4" s="1"/>
  <c r="U347" i="4"/>
  <c r="V347" i="4" s="1"/>
  <c r="R347" i="4"/>
  <c r="AE346" i="4"/>
  <c r="Y346" i="4" a="1"/>
  <c r="Y346" i="4" s="1"/>
  <c r="Z346" i="4" s="1"/>
  <c r="W346" i="4" a="1"/>
  <c r="W346" i="4" s="1"/>
  <c r="X346" i="4" s="1"/>
  <c r="U346" i="4"/>
  <c r="V346" i="4" s="1"/>
  <c r="R346" i="4"/>
  <c r="AE345" i="4"/>
  <c r="Y345" i="4" a="1"/>
  <c r="Y345" i="4" s="1"/>
  <c r="Z345" i="4" s="1"/>
  <c r="W345" i="4" a="1"/>
  <c r="W345" i="4" s="1"/>
  <c r="X345" i="4" s="1"/>
  <c r="U345" i="4"/>
  <c r="V345" i="4" s="1"/>
  <c r="R345" i="4"/>
  <c r="AE344" i="4"/>
  <c r="Y344" i="4" a="1"/>
  <c r="Y344" i="4" s="1"/>
  <c r="Z344" i="4" s="1"/>
  <c r="W344" i="4" a="1"/>
  <c r="W344" i="4" s="1"/>
  <c r="X344" i="4" s="1"/>
  <c r="U344" i="4"/>
  <c r="V344" i="4" s="1"/>
  <c r="R344" i="4"/>
  <c r="AE343" i="4"/>
  <c r="Y343" i="4" a="1"/>
  <c r="Y343" i="4" s="1"/>
  <c r="Z343" i="4" s="1"/>
  <c r="W343" i="4" a="1"/>
  <c r="W343" i="4" s="1"/>
  <c r="X343" i="4" s="1"/>
  <c r="U343" i="4"/>
  <c r="V343" i="4" s="1"/>
  <c r="R343" i="4"/>
  <c r="AE342" i="4"/>
  <c r="Y342" i="4" a="1"/>
  <c r="Y342" i="4" s="1"/>
  <c r="Z342" i="4" s="1"/>
  <c r="W342" i="4" a="1"/>
  <c r="W342" i="4" s="1"/>
  <c r="X342" i="4" s="1"/>
  <c r="U342" i="4"/>
  <c r="V342" i="4" s="1"/>
  <c r="R342" i="4"/>
  <c r="AE341" i="4"/>
  <c r="Y341" i="4" a="1"/>
  <c r="Y341" i="4" s="1"/>
  <c r="Z341" i="4" s="1"/>
  <c r="W341" i="4" a="1"/>
  <c r="W341" i="4" s="1"/>
  <c r="X341" i="4" s="1"/>
  <c r="U341" i="4"/>
  <c r="V341" i="4" s="1"/>
  <c r="R341" i="4"/>
  <c r="AE340" i="4"/>
  <c r="Y340" i="4" a="1"/>
  <c r="Y340" i="4" s="1"/>
  <c r="Z340" i="4" s="1"/>
  <c r="W340" i="4" a="1"/>
  <c r="W340" i="4" s="1"/>
  <c r="X340" i="4" s="1"/>
  <c r="U340" i="4"/>
  <c r="V340" i="4" s="1"/>
  <c r="R340" i="4"/>
  <c r="AE339" i="4"/>
  <c r="Y339" i="4" a="1"/>
  <c r="Y339" i="4" s="1"/>
  <c r="Z339" i="4" s="1"/>
  <c r="W339" i="4" a="1"/>
  <c r="W339" i="4" s="1"/>
  <c r="X339" i="4" s="1"/>
  <c r="U339" i="4"/>
  <c r="V339" i="4" s="1"/>
  <c r="R339" i="4"/>
  <c r="AE338" i="4"/>
  <c r="Y338" i="4" a="1"/>
  <c r="Y338" i="4" s="1"/>
  <c r="Z338" i="4" s="1"/>
  <c r="W338" i="4" a="1"/>
  <c r="W338" i="4" s="1"/>
  <c r="X338" i="4" s="1"/>
  <c r="U338" i="4"/>
  <c r="V338" i="4" s="1"/>
  <c r="R338" i="4"/>
  <c r="AE337" i="4"/>
  <c r="Y337" i="4" a="1"/>
  <c r="Y337" i="4" s="1"/>
  <c r="Z337" i="4" s="1"/>
  <c r="W337" i="4" a="1"/>
  <c r="W337" i="4" s="1"/>
  <c r="X337" i="4" s="1"/>
  <c r="U337" i="4"/>
  <c r="V337" i="4" s="1"/>
  <c r="R337" i="4"/>
  <c r="AE336" i="4"/>
  <c r="Y336" i="4" a="1"/>
  <c r="Y336" i="4" s="1"/>
  <c r="Z336" i="4" s="1"/>
  <c r="W336" i="4" a="1"/>
  <c r="W336" i="4" s="1"/>
  <c r="X336" i="4" s="1"/>
  <c r="U336" i="4"/>
  <c r="V336" i="4" s="1"/>
  <c r="R336" i="4"/>
  <c r="AE335" i="4"/>
  <c r="Y335" i="4" a="1"/>
  <c r="Y335" i="4" s="1"/>
  <c r="Z335" i="4" s="1"/>
  <c r="W335" i="4" a="1"/>
  <c r="W335" i="4" s="1"/>
  <c r="X335" i="4" s="1"/>
  <c r="U335" i="4"/>
  <c r="V335" i="4" s="1"/>
  <c r="R335" i="4"/>
  <c r="AE334" i="4"/>
  <c r="Y334" i="4" a="1"/>
  <c r="Y334" i="4" s="1"/>
  <c r="Z334" i="4" s="1"/>
  <c r="W334" i="4" a="1"/>
  <c r="W334" i="4" s="1"/>
  <c r="X334" i="4" s="1"/>
  <c r="U334" i="4"/>
  <c r="V334" i="4" s="1"/>
  <c r="R334" i="4"/>
  <c r="AE333" i="4"/>
  <c r="Y333" i="4" a="1"/>
  <c r="Y333" i="4" s="1"/>
  <c r="Z333" i="4" s="1"/>
  <c r="W333" i="4" a="1"/>
  <c r="W333" i="4" s="1"/>
  <c r="X333" i="4" s="1"/>
  <c r="U333" i="4"/>
  <c r="V333" i="4" s="1"/>
  <c r="R333" i="4"/>
  <c r="AE332" i="4"/>
  <c r="Y332" i="4" a="1"/>
  <c r="Y332" i="4" s="1"/>
  <c r="Z332" i="4" s="1"/>
  <c r="W332" i="4" a="1"/>
  <c r="W332" i="4" s="1"/>
  <c r="X332" i="4" s="1"/>
  <c r="U332" i="4"/>
  <c r="V332" i="4" s="1"/>
  <c r="R332" i="4"/>
  <c r="AE331" i="4"/>
  <c r="Y331" i="4" a="1"/>
  <c r="Y331" i="4" s="1"/>
  <c r="Z331" i="4" s="1"/>
  <c r="W331" i="4" a="1"/>
  <c r="W331" i="4" s="1"/>
  <c r="X331" i="4" s="1"/>
  <c r="U331" i="4"/>
  <c r="V331" i="4" s="1"/>
  <c r="R331" i="4"/>
  <c r="AE330" i="4"/>
  <c r="Y330" i="4" a="1"/>
  <c r="Y330" i="4" s="1"/>
  <c r="Z330" i="4" s="1"/>
  <c r="W330" i="4" a="1"/>
  <c r="W330" i="4" s="1"/>
  <c r="X330" i="4" s="1"/>
  <c r="U330" i="4"/>
  <c r="V330" i="4" s="1"/>
  <c r="R330" i="4"/>
  <c r="AE329" i="4"/>
  <c r="Y329" i="4" a="1"/>
  <c r="Y329" i="4" s="1"/>
  <c r="Z329" i="4" s="1"/>
  <c r="W329" i="4" a="1"/>
  <c r="W329" i="4" s="1"/>
  <c r="X329" i="4" s="1"/>
  <c r="U329" i="4"/>
  <c r="V329" i="4" s="1"/>
  <c r="R329" i="4"/>
  <c r="AE328" i="4"/>
  <c r="Y328" i="4" a="1"/>
  <c r="Y328" i="4" s="1"/>
  <c r="Z328" i="4" s="1"/>
  <c r="W328" i="4" a="1"/>
  <c r="W328" i="4" s="1"/>
  <c r="X328" i="4" s="1"/>
  <c r="U328" i="4"/>
  <c r="V328" i="4" s="1"/>
  <c r="R328" i="4"/>
  <c r="AE327" i="4"/>
  <c r="Y327" i="4" a="1"/>
  <c r="Y327" i="4" s="1"/>
  <c r="Z327" i="4" s="1"/>
  <c r="W327" i="4" a="1"/>
  <c r="W327" i="4" s="1"/>
  <c r="X327" i="4" s="1"/>
  <c r="U327" i="4"/>
  <c r="V327" i="4" s="1"/>
  <c r="R327" i="4"/>
  <c r="AE326" i="4"/>
  <c r="Y326" i="4" a="1"/>
  <c r="Y326" i="4" s="1"/>
  <c r="Z326" i="4" s="1"/>
  <c r="W326" i="4" a="1"/>
  <c r="W326" i="4" s="1"/>
  <c r="X326" i="4" s="1"/>
  <c r="U326" i="4"/>
  <c r="V326" i="4" s="1"/>
  <c r="R326" i="4"/>
  <c r="AE325" i="4"/>
  <c r="Y325" i="4" a="1"/>
  <c r="Y325" i="4" s="1"/>
  <c r="Z325" i="4" s="1"/>
  <c r="W325" i="4" a="1"/>
  <c r="W325" i="4" s="1"/>
  <c r="X325" i="4" s="1"/>
  <c r="U325" i="4"/>
  <c r="V325" i="4" s="1"/>
  <c r="R325" i="4"/>
  <c r="AE324" i="4"/>
  <c r="Y324" i="4" a="1"/>
  <c r="Y324" i="4" s="1"/>
  <c r="Z324" i="4" s="1"/>
  <c r="W324" i="4" a="1"/>
  <c r="W324" i="4" s="1"/>
  <c r="X324" i="4" s="1"/>
  <c r="U324" i="4"/>
  <c r="V324" i="4" s="1"/>
  <c r="R324" i="4"/>
  <c r="AE323" i="4"/>
  <c r="Y323" i="4" a="1"/>
  <c r="Y323" i="4" s="1"/>
  <c r="Z323" i="4" s="1"/>
  <c r="W323" i="4" a="1"/>
  <c r="W323" i="4" s="1"/>
  <c r="X323" i="4" s="1"/>
  <c r="U323" i="4"/>
  <c r="V323" i="4" s="1"/>
  <c r="R323" i="4"/>
  <c r="AE322" i="4"/>
  <c r="Y322" i="4" a="1"/>
  <c r="Y322" i="4" s="1"/>
  <c r="Z322" i="4" s="1"/>
  <c r="W322" i="4" a="1"/>
  <c r="W322" i="4" s="1"/>
  <c r="X322" i="4" s="1"/>
  <c r="U322" i="4"/>
  <c r="V322" i="4" s="1"/>
  <c r="R322" i="4"/>
  <c r="AE321" i="4"/>
  <c r="Y321" i="4" a="1"/>
  <c r="Y321" i="4" s="1"/>
  <c r="Z321" i="4" s="1"/>
  <c r="W321" i="4" a="1"/>
  <c r="W321" i="4" s="1"/>
  <c r="X321" i="4" s="1"/>
  <c r="U321" i="4"/>
  <c r="V321" i="4" s="1"/>
  <c r="R321" i="4"/>
  <c r="AE320" i="4"/>
  <c r="Y320" i="4" a="1"/>
  <c r="Y320" i="4" s="1"/>
  <c r="Z320" i="4" s="1"/>
  <c r="W320" i="4" a="1"/>
  <c r="W320" i="4" s="1"/>
  <c r="X320" i="4" s="1"/>
  <c r="U320" i="4"/>
  <c r="V320" i="4" s="1"/>
  <c r="R320" i="4"/>
  <c r="AE319" i="4"/>
  <c r="Y319" i="4" a="1"/>
  <c r="Y319" i="4" s="1"/>
  <c r="Z319" i="4" s="1"/>
  <c r="W319" i="4" a="1"/>
  <c r="W319" i="4" s="1"/>
  <c r="X319" i="4" s="1"/>
  <c r="U319" i="4"/>
  <c r="V319" i="4" s="1"/>
  <c r="R319" i="4"/>
  <c r="AE318" i="4"/>
  <c r="Y318" i="4" a="1"/>
  <c r="Y318" i="4" s="1"/>
  <c r="Z318" i="4" s="1"/>
  <c r="W318" i="4" a="1"/>
  <c r="W318" i="4" s="1"/>
  <c r="X318" i="4" s="1"/>
  <c r="U318" i="4"/>
  <c r="V318" i="4" s="1"/>
  <c r="R318" i="4"/>
  <c r="AE317" i="4"/>
  <c r="Y317" i="4" a="1"/>
  <c r="Y317" i="4" s="1"/>
  <c r="Z317" i="4" s="1"/>
  <c r="W317" i="4" a="1"/>
  <c r="W317" i="4" s="1"/>
  <c r="X317" i="4" s="1"/>
  <c r="U317" i="4"/>
  <c r="V317" i="4" s="1"/>
  <c r="R317" i="4"/>
  <c r="AE316" i="4"/>
  <c r="Y316" i="4" a="1"/>
  <c r="Y316" i="4" s="1"/>
  <c r="Z316" i="4" s="1"/>
  <c r="W316" i="4" a="1"/>
  <c r="W316" i="4" s="1"/>
  <c r="X316" i="4" s="1"/>
  <c r="U316" i="4"/>
  <c r="V316" i="4" s="1"/>
  <c r="R316" i="4"/>
  <c r="AE315" i="4"/>
  <c r="Y315" i="4" a="1"/>
  <c r="Y315" i="4" s="1"/>
  <c r="Z315" i="4" s="1"/>
  <c r="W315" i="4" a="1"/>
  <c r="W315" i="4" s="1"/>
  <c r="X315" i="4" s="1"/>
  <c r="U315" i="4"/>
  <c r="V315" i="4" s="1"/>
  <c r="R315" i="4"/>
  <c r="AE314" i="4"/>
  <c r="Y314" i="4" a="1"/>
  <c r="Y314" i="4" s="1"/>
  <c r="Z314" i="4" s="1"/>
  <c r="W314" i="4" a="1"/>
  <c r="W314" i="4" s="1"/>
  <c r="X314" i="4" s="1"/>
  <c r="U314" i="4"/>
  <c r="V314" i="4" s="1"/>
  <c r="R314" i="4"/>
  <c r="AE313" i="4"/>
  <c r="Y313" i="4" a="1"/>
  <c r="Y313" i="4" s="1"/>
  <c r="Z313" i="4" s="1"/>
  <c r="W313" i="4" a="1"/>
  <c r="W313" i="4" s="1"/>
  <c r="X313" i="4" s="1"/>
  <c r="U313" i="4"/>
  <c r="V313" i="4" s="1"/>
  <c r="R313" i="4"/>
  <c r="AE312" i="4"/>
  <c r="Y312" i="4" a="1"/>
  <c r="Y312" i="4" s="1"/>
  <c r="Z312" i="4" s="1"/>
  <c r="W312" i="4" a="1"/>
  <c r="W312" i="4" s="1"/>
  <c r="X312" i="4" s="1"/>
  <c r="U312" i="4"/>
  <c r="V312" i="4" s="1"/>
  <c r="R312" i="4"/>
  <c r="AE311" i="4"/>
  <c r="Y311" i="4" a="1"/>
  <c r="Y311" i="4" s="1"/>
  <c r="Z311" i="4" s="1"/>
  <c r="W311" i="4" a="1"/>
  <c r="W311" i="4" s="1"/>
  <c r="X311" i="4" s="1"/>
  <c r="U311" i="4"/>
  <c r="V311" i="4" s="1"/>
  <c r="R311" i="4"/>
  <c r="AE310" i="4"/>
  <c r="Y310" i="4" a="1"/>
  <c r="Y310" i="4" s="1"/>
  <c r="Z310" i="4" s="1"/>
  <c r="W310" i="4" a="1"/>
  <c r="W310" i="4" s="1"/>
  <c r="X310" i="4" s="1"/>
  <c r="U310" i="4"/>
  <c r="V310" i="4" s="1"/>
  <c r="R310" i="4"/>
  <c r="AE309" i="4"/>
  <c r="Y309" i="4" a="1"/>
  <c r="Y309" i="4" s="1"/>
  <c r="Z309" i="4" s="1"/>
  <c r="W309" i="4" a="1"/>
  <c r="W309" i="4" s="1"/>
  <c r="X309" i="4" s="1"/>
  <c r="U309" i="4"/>
  <c r="V309" i="4" s="1"/>
  <c r="R309" i="4"/>
  <c r="AE308" i="4"/>
  <c r="Y308" i="4" a="1"/>
  <c r="Y308" i="4" s="1"/>
  <c r="Z308" i="4" s="1"/>
  <c r="W308" i="4" a="1"/>
  <c r="W308" i="4" s="1"/>
  <c r="X308" i="4" s="1"/>
  <c r="U308" i="4"/>
  <c r="V308" i="4" s="1"/>
  <c r="R308" i="4"/>
  <c r="AE307" i="4"/>
  <c r="Y307" i="4" a="1"/>
  <c r="Y307" i="4" s="1"/>
  <c r="Z307" i="4" s="1"/>
  <c r="W307" i="4" a="1"/>
  <c r="W307" i="4" s="1"/>
  <c r="X307" i="4" s="1"/>
  <c r="U307" i="4"/>
  <c r="V307" i="4" s="1"/>
  <c r="R307" i="4"/>
  <c r="AE306" i="4"/>
  <c r="Y306" i="4" a="1"/>
  <c r="Y306" i="4" s="1"/>
  <c r="Z306" i="4" s="1"/>
  <c r="W306" i="4" a="1"/>
  <c r="W306" i="4" s="1"/>
  <c r="X306" i="4" s="1"/>
  <c r="U306" i="4"/>
  <c r="V306" i="4" s="1"/>
  <c r="R306" i="4"/>
  <c r="AE305" i="4"/>
  <c r="Y305" i="4" a="1"/>
  <c r="Y305" i="4" s="1"/>
  <c r="Z305" i="4" s="1"/>
  <c r="W305" i="4" a="1"/>
  <c r="W305" i="4" s="1"/>
  <c r="X305" i="4" s="1"/>
  <c r="U305" i="4"/>
  <c r="V305" i="4" s="1"/>
  <c r="R305" i="4"/>
  <c r="AE304" i="4"/>
  <c r="Y304" i="4" a="1"/>
  <c r="Y304" i="4" s="1"/>
  <c r="Z304" i="4" s="1"/>
  <c r="W304" i="4" a="1"/>
  <c r="W304" i="4" s="1"/>
  <c r="X304" i="4" s="1"/>
  <c r="U304" i="4"/>
  <c r="V304" i="4" s="1"/>
  <c r="R304" i="4"/>
  <c r="AE303" i="4"/>
  <c r="Y303" i="4" a="1"/>
  <c r="Y303" i="4" s="1"/>
  <c r="Z303" i="4" s="1"/>
  <c r="W303" i="4" a="1"/>
  <c r="W303" i="4" s="1"/>
  <c r="X303" i="4" s="1"/>
  <c r="U303" i="4"/>
  <c r="V303" i="4" s="1"/>
  <c r="R303" i="4"/>
  <c r="AE302" i="4"/>
  <c r="Y302" i="4" a="1"/>
  <c r="Y302" i="4" s="1"/>
  <c r="Z302" i="4" s="1"/>
  <c r="W302" i="4" a="1"/>
  <c r="W302" i="4" s="1"/>
  <c r="X302" i="4" s="1"/>
  <c r="U302" i="4"/>
  <c r="V302" i="4" s="1"/>
  <c r="R302" i="4"/>
  <c r="AE301" i="4"/>
  <c r="Y301" i="4" a="1"/>
  <c r="Y301" i="4" s="1"/>
  <c r="Z301" i="4" s="1"/>
  <c r="W301" i="4" a="1"/>
  <c r="W301" i="4" s="1"/>
  <c r="X301" i="4" s="1"/>
  <c r="U301" i="4"/>
  <c r="V301" i="4" s="1"/>
  <c r="R301" i="4"/>
  <c r="AE300" i="4"/>
  <c r="Y300" i="4" a="1"/>
  <c r="Y300" i="4" s="1"/>
  <c r="Z300" i="4" s="1"/>
  <c r="W300" i="4" a="1"/>
  <c r="W300" i="4" s="1"/>
  <c r="X300" i="4" s="1"/>
  <c r="U300" i="4"/>
  <c r="V300" i="4" s="1"/>
  <c r="R300" i="4"/>
  <c r="AE299" i="4"/>
  <c r="Y299" i="4" a="1"/>
  <c r="Y299" i="4" s="1"/>
  <c r="Z299" i="4" s="1"/>
  <c r="W299" i="4" a="1"/>
  <c r="W299" i="4" s="1"/>
  <c r="X299" i="4" s="1"/>
  <c r="U299" i="4"/>
  <c r="V299" i="4" s="1"/>
  <c r="R299" i="4"/>
  <c r="AE298" i="4"/>
  <c r="Y298" i="4" a="1"/>
  <c r="Y298" i="4" s="1"/>
  <c r="Z298" i="4" s="1"/>
  <c r="W298" i="4" a="1"/>
  <c r="W298" i="4" s="1"/>
  <c r="X298" i="4" s="1"/>
  <c r="U298" i="4"/>
  <c r="V298" i="4" s="1"/>
  <c r="R298" i="4"/>
  <c r="AE297" i="4"/>
  <c r="Y297" i="4" a="1"/>
  <c r="Y297" i="4" s="1"/>
  <c r="Z297" i="4" s="1"/>
  <c r="W297" i="4" a="1"/>
  <c r="W297" i="4" s="1"/>
  <c r="X297" i="4" s="1"/>
  <c r="U297" i="4"/>
  <c r="V297" i="4" s="1"/>
  <c r="R297" i="4"/>
  <c r="AE296" i="4"/>
  <c r="Y296" i="4" a="1"/>
  <c r="Y296" i="4" s="1"/>
  <c r="Z296" i="4" s="1"/>
  <c r="W296" i="4" a="1"/>
  <c r="W296" i="4" s="1"/>
  <c r="X296" i="4" s="1"/>
  <c r="U296" i="4"/>
  <c r="V296" i="4" s="1"/>
  <c r="R296" i="4"/>
  <c r="AE295" i="4"/>
  <c r="Y295" i="4" a="1"/>
  <c r="Y295" i="4" s="1"/>
  <c r="Z295" i="4" s="1"/>
  <c r="W295" i="4" a="1"/>
  <c r="W295" i="4" s="1"/>
  <c r="X295" i="4" s="1"/>
  <c r="U295" i="4"/>
  <c r="V295" i="4" s="1"/>
  <c r="R295" i="4"/>
  <c r="AE294" i="4"/>
  <c r="Y294" i="4" a="1"/>
  <c r="Y294" i="4" s="1"/>
  <c r="Z294" i="4" s="1"/>
  <c r="W294" i="4" a="1"/>
  <c r="W294" i="4" s="1"/>
  <c r="X294" i="4" s="1"/>
  <c r="U294" i="4"/>
  <c r="V294" i="4" s="1"/>
  <c r="R294" i="4"/>
  <c r="AE293" i="4"/>
  <c r="Y293" i="4" a="1"/>
  <c r="Y293" i="4" s="1"/>
  <c r="Z293" i="4" s="1"/>
  <c r="W293" i="4" a="1"/>
  <c r="W293" i="4" s="1"/>
  <c r="X293" i="4" s="1"/>
  <c r="U293" i="4"/>
  <c r="V293" i="4" s="1"/>
  <c r="R293" i="4"/>
  <c r="AE292" i="4"/>
  <c r="Y292" i="4" a="1"/>
  <c r="Y292" i="4" s="1"/>
  <c r="Z292" i="4" s="1"/>
  <c r="W292" i="4" a="1"/>
  <c r="W292" i="4" s="1"/>
  <c r="X292" i="4" s="1"/>
  <c r="U292" i="4"/>
  <c r="V292" i="4" s="1"/>
  <c r="R292" i="4"/>
  <c r="AE291" i="4"/>
  <c r="Y291" i="4" a="1"/>
  <c r="Y291" i="4" s="1"/>
  <c r="Z291" i="4" s="1"/>
  <c r="W291" i="4" a="1"/>
  <c r="W291" i="4" s="1"/>
  <c r="X291" i="4" s="1"/>
  <c r="U291" i="4"/>
  <c r="V291" i="4" s="1"/>
  <c r="R291" i="4"/>
  <c r="AE290" i="4"/>
  <c r="Y290" i="4" a="1"/>
  <c r="Y290" i="4" s="1"/>
  <c r="Z290" i="4" s="1"/>
  <c r="W290" i="4" a="1"/>
  <c r="W290" i="4" s="1"/>
  <c r="X290" i="4" s="1"/>
  <c r="U290" i="4"/>
  <c r="V290" i="4" s="1"/>
  <c r="R290" i="4"/>
  <c r="AE289" i="4"/>
  <c r="Y289" i="4" a="1"/>
  <c r="Y289" i="4" s="1"/>
  <c r="Z289" i="4" s="1"/>
  <c r="W289" i="4" a="1"/>
  <c r="W289" i="4" s="1"/>
  <c r="X289" i="4" s="1"/>
  <c r="U289" i="4"/>
  <c r="V289" i="4" s="1"/>
  <c r="R289" i="4"/>
  <c r="AE288" i="4"/>
  <c r="Y288" i="4" a="1"/>
  <c r="Y288" i="4" s="1"/>
  <c r="Z288" i="4" s="1"/>
  <c r="W288" i="4" a="1"/>
  <c r="W288" i="4" s="1"/>
  <c r="X288" i="4" s="1"/>
  <c r="U288" i="4"/>
  <c r="V288" i="4" s="1"/>
  <c r="R288" i="4"/>
  <c r="AE287" i="4"/>
  <c r="Y287" i="4" a="1"/>
  <c r="Y287" i="4" s="1"/>
  <c r="Z287" i="4" s="1"/>
  <c r="W287" i="4" a="1"/>
  <c r="W287" i="4" s="1"/>
  <c r="X287" i="4" s="1"/>
  <c r="U287" i="4"/>
  <c r="V287" i="4" s="1"/>
  <c r="R287" i="4"/>
  <c r="AE286" i="4"/>
  <c r="Y286" i="4" a="1"/>
  <c r="Y286" i="4" s="1"/>
  <c r="Z286" i="4" s="1"/>
  <c r="W286" i="4" a="1"/>
  <c r="W286" i="4" s="1"/>
  <c r="X286" i="4" s="1"/>
  <c r="U286" i="4"/>
  <c r="V286" i="4" s="1"/>
  <c r="R286" i="4"/>
  <c r="AE285" i="4"/>
  <c r="Y285" i="4" a="1"/>
  <c r="Y285" i="4" s="1"/>
  <c r="Z285" i="4" s="1"/>
  <c r="W285" i="4" a="1"/>
  <c r="W285" i="4" s="1"/>
  <c r="X285" i="4" s="1"/>
  <c r="U285" i="4"/>
  <c r="V285" i="4" s="1"/>
  <c r="R285" i="4"/>
  <c r="AE284" i="4"/>
  <c r="Y284" i="4" a="1"/>
  <c r="Y284" i="4" s="1"/>
  <c r="Z284" i="4" s="1"/>
  <c r="W284" i="4" a="1"/>
  <c r="W284" i="4" s="1"/>
  <c r="X284" i="4" s="1"/>
  <c r="U284" i="4"/>
  <c r="V284" i="4" s="1"/>
  <c r="R284" i="4"/>
  <c r="AE283" i="4"/>
  <c r="Y283" i="4" a="1"/>
  <c r="Y283" i="4" s="1"/>
  <c r="Z283" i="4" s="1"/>
  <c r="W283" i="4" a="1"/>
  <c r="W283" i="4" s="1"/>
  <c r="X283" i="4" s="1"/>
  <c r="U283" i="4"/>
  <c r="V283" i="4" s="1"/>
  <c r="R283" i="4"/>
  <c r="AE282" i="4"/>
  <c r="Y282" i="4" a="1"/>
  <c r="Y282" i="4" s="1"/>
  <c r="Z282" i="4" s="1"/>
  <c r="W282" i="4" a="1"/>
  <c r="W282" i="4" s="1"/>
  <c r="X282" i="4" s="1"/>
  <c r="U282" i="4"/>
  <c r="V282" i="4" s="1"/>
  <c r="R282" i="4"/>
  <c r="AE281" i="4"/>
  <c r="Y281" i="4" a="1"/>
  <c r="Y281" i="4" s="1"/>
  <c r="Z281" i="4" s="1"/>
  <c r="W281" i="4" a="1"/>
  <c r="W281" i="4" s="1"/>
  <c r="X281" i="4" s="1"/>
  <c r="U281" i="4"/>
  <c r="V281" i="4" s="1"/>
  <c r="R281" i="4"/>
  <c r="AE280" i="4"/>
  <c r="Y280" i="4" a="1"/>
  <c r="Y280" i="4" s="1"/>
  <c r="Z280" i="4" s="1"/>
  <c r="W280" i="4" a="1"/>
  <c r="W280" i="4" s="1"/>
  <c r="X280" i="4" s="1"/>
  <c r="U280" i="4"/>
  <c r="V280" i="4" s="1"/>
  <c r="R280" i="4"/>
  <c r="AE279" i="4"/>
  <c r="Y279" i="4" a="1"/>
  <c r="Y279" i="4" s="1"/>
  <c r="Z279" i="4" s="1"/>
  <c r="W279" i="4" a="1"/>
  <c r="W279" i="4" s="1"/>
  <c r="X279" i="4" s="1"/>
  <c r="U279" i="4"/>
  <c r="V279" i="4" s="1"/>
  <c r="R279" i="4"/>
  <c r="AE278" i="4"/>
  <c r="Y278" i="4" a="1"/>
  <c r="Y278" i="4" s="1"/>
  <c r="Z278" i="4" s="1"/>
  <c r="W278" i="4" a="1"/>
  <c r="W278" i="4" s="1"/>
  <c r="X278" i="4" s="1"/>
  <c r="U278" i="4"/>
  <c r="V278" i="4" s="1"/>
  <c r="R278" i="4"/>
  <c r="AE277" i="4"/>
  <c r="Y277" i="4" a="1"/>
  <c r="Y277" i="4" s="1"/>
  <c r="Z277" i="4" s="1"/>
  <c r="W277" i="4" a="1"/>
  <c r="W277" i="4" s="1"/>
  <c r="X277" i="4" s="1"/>
  <c r="U277" i="4"/>
  <c r="V277" i="4" s="1"/>
  <c r="R277" i="4"/>
  <c r="AE276" i="4"/>
  <c r="Y276" i="4" a="1"/>
  <c r="Y276" i="4" s="1"/>
  <c r="Z276" i="4" s="1"/>
  <c r="W276" i="4" a="1"/>
  <c r="W276" i="4" s="1"/>
  <c r="X276" i="4" s="1"/>
  <c r="U276" i="4"/>
  <c r="V276" i="4" s="1"/>
  <c r="R276" i="4"/>
  <c r="AE275" i="4"/>
  <c r="Y275" i="4" a="1"/>
  <c r="Y275" i="4" s="1"/>
  <c r="Z275" i="4" s="1"/>
  <c r="W275" i="4" a="1"/>
  <c r="W275" i="4" s="1"/>
  <c r="X275" i="4" s="1"/>
  <c r="U275" i="4"/>
  <c r="V275" i="4" s="1"/>
  <c r="R275" i="4"/>
  <c r="AE274" i="4"/>
  <c r="Y274" i="4" a="1"/>
  <c r="Y274" i="4" s="1"/>
  <c r="Z274" i="4" s="1"/>
  <c r="W274" i="4" a="1"/>
  <c r="W274" i="4" s="1"/>
  <c r="X274" i="4" s="1"/>
  <c r="U274" i="4"/>
  <c r="V274" i="4" s="1"/>
  <c r="R274" i="4"/>
  <c r="AE273" i="4"/>
  <c r="Y273" i="4" a="1"/>
  <c r="Y273" i="4" s="1"/>
  <c r="Z273" i="4" s="1"/>
  <c r="W273" i="4" a="1"/>
  <c r="W273" i="4" s="1"/>
  <c r="X273" i="4" s="1"/>
  <c r="U273" i="4"/>
  <c r="V273" i="4" s="1"/>
  <c r="R273" i="4"/>
  <c r="AE272" i="4"/>
  <c r="Y272" i="4" a="1"/>
  <c r="Y272" i="4" s="1"/>
  <c r="Z272" i="4" s="1"/>
  <c r="W272" i="4" a="1"/>
  <c r="W272" i="4" s="1"/>
  <c r="X272" i="4" s="1"/>
  <c r="U272" i="4"/>
  <c r="V272" i="4" s="1"/>
  <c r="R272" i="4"/>
  <c r="AE271" i="4"/>
  <c r="Y271" i="4" a="1"/>
  <c r="Y271" i="4" s="1"/>
  <c r="Z271" i="4" s="1"/>
  <c r="W271" i="4" a="1"/>
  <c r="W271" i="4" s="1"/>
  <c r="X271" i="4" s="1"/>
  <c r="U271" i="4"/>
  <c r="V271" i="4" s="1"/>
  <c r="R271" i="4"/>
  <c r="AE270" i="4"/>
  <c r="Y270" i="4" a="1"/>
  <c r="Y270" i="4" s="1"/>
  <c r="Z270" i="4" s="1"/>
  <c r="W270" i="4" a="1"/>
  <c r="W270" i="4" s="1"/>
  <c r="X270" i="4" s="1"/>
  <c r="U270" i="4"/>
  <c r="V270" i="4" s="1"/>
  <c r="R270" i="4"/>
  <c r="AE269" i="4"/>
  <c r="Y269" i="4" a="1"/>
  <c r="Y269" i="4" s="1"/>
  <c r="Z269" i="4" s="1"/>
  <c r="W269" i="4" a="1"/>
  <c r="W269" i="4" s="1"/>
  <c r="X269" i="4" s="1"/>
  <c r="U269" i="4"/>
  <c r="V269" i="4" s="1"/>
  <c r="R269" i="4"/>
  <c r="AE268" i="4"/>
  <c r="Y268" i="4" a="1"/>
  <c r="Y268" i="4" s="1"/>
  <c r="Z268" i="4" s="1"/>
  <c r="W268" i="4" a="1"/>
  <c r="W268" i="4" s="1"/>
  <c r="X268" i="4" s="1"/>
  <c r="U268" i="4"/>
  <c r="V268" i="4" s="1"/>
  <c r="R268" i="4"/>
  <c r="AE267" i="4"/>
  <c r="Y267" i="4" a="1"/>
  <c r="Y267" i="4" s="1"/>
  <c r="Z267" i="4" s="1"/>
  <c r="W267" i="4" a="1"/>
  <c r="W267" i="4" s="1"/>
  <c r="X267" i="4" s="1"/>
  <c r="U267" i="4"/>
  <c r="V267" i="4" s="1"/>
  <c r="R267" i="4"/>
  <c r="AE266" i="4"/>
  <c r="Y266" i="4" a="1"/>
  <c r="Y266" i="4" s="1"/>
  <c r="Z266" i="4" s="1"/>
  <c r="W266" i="4" a="1"/>
  <c r="W266" i="4" s="1"/>
  <c r="X266" i="4" s="1"/>
  <c r="U266" i="4"/>
  <c r="V266" i="4" s="1"/>
  <c r="R266" i="4"/>
  <c r="AE265" i="4"/>
  <c r="Y265" i="4" a="1"/>
  <c r="Y265" i="4" s="1"/>
  <c r="Z265" i="4" s="1"/>
  <c r="W265" i="4" a="1"/>
  <c r="W265" i="4" s="1"/>
  <c r="X265" i="4" s="1"/>
  <c r="U265" i="4"/>
  <c r="V265" i="4" s="1"/>
  <c r="R265" i="4"/>
  <c r="AE264" i="4"/>
  <c r="Y264" i="4" a="1"/>
  <c r="Y264" i="4" s="1"/>
  <c r="Z264" i="4" s="1"/>
  <c r="W264" i="4" a="1"/>
  <c r="W264" i="4" s="1"/>
  <c r="X264" i="4" s="1"/>
  <c r="U264" i="4"/>
  <c r="V264" i="4" s="1"/>
  <c r="R264" i="4"/>
  <c r="AE263" i="4"/>
  <c r="Y263" i="4" a="1"/>
  <c r="Y263" i="4" s="1"/>
  <c r="Z263" i="4" s="1"/>
  <c r="W263" i="4" a="1"/>
  <c r="W263" i="4" s="1"/>
  <c r="X263" i="4" s="1"/>
  <c r="U263" i="4"/>
  <c r="V263" i="4" s="1"/>
  <c r="R263" i="4"/>
  <c r="AE262" i="4"/>
  <c r="Y262" i="4" a="1"/>
  <c r="Y262" i="4" s="1"/>
  <c r="Z262" i="4" s="1"/>
  <c r="W262" i="4" a="1"/>
  <c r="W262" i="4" s="1"/>
  <c r="X262" i="4" s="1"/>
  <c r="U262" i="4"/>
  <c r="V262" i="4" s="1"/>
  <c r="R262" i="4"/>
  <c r="AE261" i="4"/>
  <c r="Y261" i="4" a="1"/>
  <c r="Y261" i="4" s="1"/>
  <c r="Z261" i="4" s="1"/>
  <c r="W261" i="4" a="1"/>
  <c r="W261" i="4" s="1"/>
  <c r="X261" i="4" s="1"/>
  <c r="U261" i="4"/>
  <c r="V261" i="4" s="1"/>
  <c r="R261" i="4"/>
  <c r="AE260" i="4"/>
  <c r="Y260" i="4" a="1"/>
  <c r="Y260" i="4" s="1"/>
  <c r="Z260" i="4" s="1"/>
  <c r="W260" i="4" a="1"/>
  <c r="W260" i="4" s="1"/>
  <c r="X260" i="4" s="1"/>
  <c r="U260" i="4"/>
  <c r="V260" i="4" s="1"/>
  <c r="R260" i="4"/>
  <c r="AE259" i="4"/>
  <c r="Y259" i="4" a="1"/>
  <c r="Y259" i="4" s="1"/>
  <c r="Z259" i="4" s="1"/>
  <c r="W259" i="4" a="1"/>
  <c r="W259" i="4" s="1"/>
  <c r="X259" i="4" s="1"/>
  <c r="U259" i="4"/>
  <c r="V259" i="4" s="1"/>
  <c r="R259" i="4"/>
  <c r="AE258" i="4"/>
  <c r="Y258" i="4" a="1"/>
  <c r="Y258" i="4" s="1"/>
  <c r="Z258" i="4" s="1"/>
  <c r="W258" i="4" a="1"/>
  <c r="W258" i="4" s="1"/>
  <c r="X258" i="4" s="1"/>
  <c r="U258" i="4"/>
  <c r="V258" i="4" s="1"/>
  <c r="R258" i="4"/>
  <c r="AE257" i="4"/>
  <c r="Y257" i="4" a="1"/>
  <c r="Y257" i="4" s="1"/>
  <c r="Z257" i="4" s="1"/>
  <c r="W257" i="4" a="1"/>
  <c r="W257" i="4" s="1"/>
  <c r="X257" i="4" s="1"/>
  <c r="U257" i="4"/>
  <c r="V257" i="4" s="1"/>
  <c r="R257" i="4"/>
  <c r="AE256" i="4"/>
  <c r="Y256" i="4" a="1"/>
  <c r="Y256" i="4" s="1"/>
  <c r="Z256" i="4" s="1"/>
  <c r="W256" i="4" a="1"/>
  <c r="W256" i="4" s="1"/>
  <c r="X256" i="4" s="1"/>
  <c r="U256" i="4"/>
  <c r="V256" i="4" s="1"/>
  <c r="R256" i="4"/>
  <c r="AE255" i="4"/>
  <c r="Y255" i="4" a="1"/>
  <c r="Y255" i="4" s="1"/>
  <c r="Z255" i="4" s="1"/>
  <c r="W255" i="4" a="1"/>
  <c r="W255" i="4" s="1"/>
  <c r="X255" i="4" s="1"/>
  <c r="U255" i="4"/>
  <c r="V255" i="4" s="1"/>
  <c r="R255" i="4"/>
  <c r="AE254" i="4"/>
  <c r="Y254" i="4" a="1"/>
  <c r="Y254" i="4" s="1"/>
  <c r="Z254" i="4" s="1"/>
  <c r="W254" i="4" a="1"/>
  <c r="W254" i="4" s="1"/>
  <c r="X254" i="4" s="1"/>
  <c r="U254" i="4"/>
  <c r="V254" i="4" s="1"/>
  <c r="R254" i="4"/>
  <c r="AE253" i="4"/>
  <c r="Y253" i="4" a="1"/>
  <c r="Y253" i="4" s="1"/>
  <c r="Z253" i="4" s="1"/>
  <c r="W253" i="4" a="1"/>
  <c r="W253" i="4" s="1"/>
  <c r="X253" i="4" s="1"/>
  <c r="U253" i="4"/>
  <c r="V253" i="4" s="1"/>
  <c r="R253" i="4"/>
  <c r="AE252" i="4"/>
  <c r="Y252" i="4" a="1"/>
  <c r="Y252" i="4" s="1"/>
  <c r="Z252" i="4" s="1"/>
  <c r="W252" i="4" a="1"/>
  <c r="W252" i="4" s="1"/>
  <c r="X252" i="4" s="1"/>
  <c r="U252" i="4"/>
  <c r="V252" i="4" s="1"/>
  <c r="R252" i="4"/>
  <c r="AE251" i="4"/>
  <c r="Y251" i="4" a="1"/>
  <c r="Y251" i="4" s="1"/>
  <c r="Z251" i="4" s="1"/>
  <c r="W251" i="4" a="1"/>
  <c r="W251" i="4" s="1"/>
  <c r="X251" i="4" s="1"/>
  <c r="U251" i="4"/>
  <c r="V251" i="4" s="1"/>
  <c r="R251" i="4"/>
  <c r="AE250" i="4"/>
  <c r="Y250" i="4" a="1"/>
  <c r="Y250" i="4" s="1"/>
  <c r="Z250" i="4" s="1"/>
  <c r="W250" i="4" a="1"/>
  <c r="W250" i="4" s="1"/>
  <c r="X250" i="4" s="1"/>
  <c r="U250" i="4"/>
  <c r="V250" i="4" s="1"/>
  <c r="R250" i="4"/>
  <c r="AE249" i="4"/>
  <c r="Y249" i="4" a="1"/>
  <c r="Y249" i="4" s="1"/>
  <c r="Z249" i="4" s="1"/>
  <c r="W249" i="4" a="1"/>
  <c r="W249" i="4" s="1"/>
  <c r="X249" i="4" s="1"/>
  <c r="U249" i="4"/>
  <c r="V249" i="4" s="1"/>
  <c r="R249" i="4"/>
  <c r="AE248" i="4"/>
  <c r="Y248" i="4" a="1"/>
  <c r="Y248" i="4" s="1"/>
  <c r="Z248" i="4" s="1"/>
  <c r="W248" i="4" a="1"/>
  <c r="W248" i="4" s="1"/>
  <c r="X248" i="4" s="1"/>
  <c r="U248" i="4"/>
  <c r="V248" i="4" s="1"/>
  <c r="R248" i="4"/>
  <c r="AE247" i="4"/>
  <c r="Y247" i="4" a="1"/>
  <c r="Y247" i="4" s="1"/>
  <c r="Z247" i="4" s="1"/>
  <c r="W247" i="4" a="1"/>
  <c r="W247" i="4" s="1"/>
  <c r="X247" i="4" s="1"/>
  <c r="U247" i="4"/>
  <c r="V247" i="4" s="1"/>
  <c r="R247" i="4"/>
  <c r="AE246" i="4"/>
  <c r="Y246" i="4" a="1"/>
  <c r="Y246" i="4" s="1"/>
  <c r="Z246" i="4" s="1"/>
  <c r="W246" i="4" a="1"/>
  <c r="W246" i="4" s="1"/>
  <c r="X246" i="4" s="1"/>
  <c r="U246" i="4"/>
  <c r="V246" i="4" s="1"/>
  <c r="R246" i="4"/>
  <c r="AE245" i="4"/>
  <c r="Y245" i="4" a="1"/>
  <c r="Y245" i="4" s="1"/>
  <c r="Z245" i="4" s="1"/>
  <c r="W245" i="4" a="1"/>
  <c r="W245" i="4" s="1"/>
  <c r="X245" i="4" s="1"/>
  <c r="U245" i="4"/>
  <c r="V245" i="4" s="1"/>
  <c r="R245" i="4"/>
  <c r="AE244" i="4"/>
  <c r="Y244" i="4" a="1"/>
  <c r="Y244" i="4" s="1"/>
  <c r="Z244" i="4" s="1"/>
  <c r="W244" i="4" a="1"/>
  <c r="W244" i="4" s="1"/>
  <c r="X244" i="4" s="1"/>
  <c r="U244" i="4"/>
  <c r="V244" i="4" s="1"/>
  <c r="R244" i="4"/>
  <c r="AE243" i="4"/>
  <c r="Y243" i="4" a="1"/>
  <c r="Y243" i="4" s="1"/>
  <c r="Z243" i="4" s="1"/>
  <c r="W243" i="4" a="1"/>
  <c r="W243" i="4" s="1"/>
  <c r="X243" i="4" s="1"/>
  <c r="U243" i="4"/>
  <c r="V243" i="4" s="1"/>
  <c r="R243" i="4"/>
  <c r="AE242" i="4"/>
  <c r="Y242" i="4" a="1"/>
  <c r="Y242" i="4" s="1"/>
  <c r="Z242" i="4" s="1"/>
  <c r="W242" i="4" a="1"/>
  <c r="W242" i="4" s="1"/>
  <c r="X242" i="4" s="1"/>
  <c r="U242" i="4"/>
  <c r="V242" i="4" s="1"/>
  <c r="R242" i="4"/>
  <c r="AE241" i="4"/>
  <c r="Y241" i="4" a="1"/>
  <c r="Y241" i="4" s="1"/>
  <c r="Z241" i="4" s="1"/>
  <c r="W241" i="4" a="1"/>
  <c r="W241" i="4" s="1"/>
  <c r="X241" i="4" s="1"/>
  <c r="U241" i="4"/>
  <c r="V241" i="4" s="1"/>
  <c r="R241" i="4"/>
  <c r="AE240" i="4"/>
  <c r="Y240" i="4" a="1"/>
  <c r="Y240" i="4" s="1"/>
  <c r="Z240" i="4" s="1"/>
  <c r="W240" i="4" a="1"/>
  <c r="W240" i="4" s="1"/>
  <c r="X240" i="4" s="1"/>
  <c r="U240" i="4"/>
  <c r="V240" i="4" s="1"/>
  <c r="R240" i="4"/>
  <c r="AE239" i="4"/>
  <c r="Y239" i="4" a="1"/>
  <c r="Y239" i="4" s="1"/>
  <c r="Z239" i="4" s="1"/>
  <c r="W239" i="4" a="1"/>
  <c r="W239" i="4" s="1"/>
  <c r="X239" i="4" s="1"/>
  <c r="U239" i="4"/>
  <c r="V239" i="4" s="1"/>
  <c r="R239" i="4"/>
  <c r="AE238" i="4"/>
  <c r="Y238" i="4" a="1"/>
  <c r="Y238" i="4" s="1"/>
  <c r="Z238" i="4" s="1"/>
  <c r="W238" i="4" a="1"/>
  <c r="W238" i="4" s="1"/>
  <c r="X238" i="4" s="1"/>
  <c r="U238" i="4"/>
  <c r="V238" i="4" s="1"/>
  <c r="R238" i="4"/>
  <c r="AE237" i="4"/>
  <c r="Y237" i="4" a="1"/>
  <c r="Y237" i="4" s="1"/>
  <c r="Z237" i="4" s="1"/>
  <c r="W237" i="4" a="1"/>
  <c r="W237" i="4" s="1"/>
  <c r="X237" i="4" s="1"/>
  <c r="U237" i="4"/>
  <c r="V237" i="4" s="1"/>
  <c r="R237" i="4"/>
  <c r="AE236" i="4"/>
  <c r="Y236" i="4" a="1"/>
  <c r="Y236" i="4" s="1"/>
  <c r="Z236" i="4" s="1"/>
  <c r="W236" i="4" a="1"/>
  <c r="W236" i="4" s="1"/>
  <c r="X236" i="4" s="1"/>
  <c r="U236" i="4"/>
  <c r="V236" i="4" s="1"/>
  <c r="R236" i="4"/>
  <c r="AE235" i="4"/>
  <c r="Y235" i="4" a="1"/>
  <c r="Y235" i="4" s="1"/>
  <c r="Z235" i="4" s="1"/>
  <c r="W235" i="4" a="1"/>
  <c r="W235" i="4" s="1"/>
  <c r="X235" i="4" s="1"/>
  <c r="U235" i="4"/>
  <c r="V235" i="4" s="1"/>
  <c r="R235" i="4"/>
  <c r="AE234" i="4"/>
  <c r="Y234" i="4" a="1"/>
  <c r="Y234" i="4" s="1"/>
  <c r="Z234" i="4" s="1"/>
  <c r="W234" i="4" a="1"/>
  <c r="W234" i="4" s="1"/>
  <c r="X234" i="4" s="1"/>
  <c r="U234" i="4"/>
  <c r="V234" i="4" s="1"/>
  <c r="R234" i="4"/>
  <c r="AE233" i="4"/>
  <c r="Y233" i="4" a="1"/>
  <c r="Y233" i="4" s="1"/>
  <c r="Z233" i="4" s="1"/>
  <c r="W233" i="4" a="1"/>
  <c r="W233" i="4" s="1"/>
  <c r="X233" i="4" s="1"/>
  <c r="U233" i="4"/>
  <c r="V233" i="4" s="1"/>
  <c r="R233" i="4"/>
  <c r="AE232" i="4"/>
  <c r="Y232" i="4" a="1"/>
  <c r="Y232" i="4" s="1"/>
  <c r="Z232" i="4" s="1"/>
  <c r="W232" i="4" a="1"/>
  <c r="W232" i="4" s="1"/>
  <c r="X232" i="4" s="1"/>
  <c r="U232" i="4"/>
  <c r="V232" i="4" s="1"/>
  <c r="R232" i="4"/>
  <c r="AE231" i="4"/>
  <c r="Y231" i="4" a="1"/>
  <c r="Y231" i="4" s="1"/>
  <c r="Z231" i="4" s="1"/>
  <c r="W231" i="4" a="1"/>
  <c r="W231" i="4" s="1"/>
  <c r="X231" i="4" s="1"/>
  <c r="U231" i="4"/>
  <c r="V231" i="4" s="1"/>
  <c r="R231" i="4"/>
  <c r="AE230" i="4"/>
  <c r="Y230" i="4" a="1"/>
  <c r="Y230" i="4" s="1"/>
  <c r="Z230" i="4" s="1"/>
  <c r="W230" i="4" a="1"/>
  <c r="W230" i="4" s="1"/>
  <c r="X230" i="4" s="1"/>
  <c r="U230" i="4"/>
  <c r="V230" i="4" s="1"/>
  <c r="R230" i="4"/>
  <c r="AE229" i="4"/>
  <c r="Y229" i="4" a="1"/>
  <c r="Y229" i="4" s="1"/>
  <c r="Z229" i="4" s="1"/>
  <c r="W229" i="4" a="1"/>
  <c r="W229" i="4" s="1"/>
  <c r="X229" i="4" s="1"/>
  <c r="U229" i="4"/>
  <c r="V229" i="4" s="1"/>
  <c r="R229" i="4"/>
  <c r="AE228" i="4"/>
  <c r="Y228" i="4" a="1"/>
  <c r="Y228" i="4" s="1"/>
  <c r="Z228" i="4" s="1"/>
  <c r="W228" i="4" a="1"/>
  <c r="W228" i="4" s="1"/>
  <c r="X228" i="4" s="1"/>
  <c r="U228" i="4"/>
  <c r="V228" i="4" s="1"/>
  <c r="R228" i="4"/>
  <c r="AE227" i="4"/>
  <c r="Y227" i="4" a="1"/>
  <c r="Y227" i="4" s="1"/>
  <c r="Z227" i="4" s="1"/>
  <c r="W227" i="4" a="1"/>
  <c r="W227" i="4" s="1"/>
  <c r="X227" i="4" s="1"/>
  <c r="U227" i="4"/>
  <c r="V227" i="4" s="1"/>
  <c r="R227" i="4"/>
  <c r="AE226" i="4"/>
  <c r="Y226" i="4" a="1"/>
  <c r="Y226" i="4" s="1"/>
  <c r="Z226" i="4" s="1"/>
  <c r="W226" i="4" a="1"/>
  <c r="W226" i="4" s="1"/>
  <c r="X226" i="4" s="1"/>
  <c r="U226" i="4"/>
  <c r="V226" i="4" s="1"/>
  <c r="R226" i="4"/>
  <c r="AE225" i="4"/>
  <c r="Y225" i="4" a="1"/>
  <c r="Y225" i="4" s="1"/>
  <c r="Z225" i="4" s="1"/>
  <c r="W225" i="4" a="1"/>
  <c r="W225" i="4" s="1"/>
  <c r="X225" i="4" s="1"/>
  <c r="U225" i="4"/>
  <c r="V225" i="4" s="1"/>
  <c r="R225" i="4"/>
  <c r="AE224" i="4"/>
  <c r="Y224" i="4" a="1"/>
  <c r="Y224" i="4" s="1"/>
  <c r="Z224" i="4" s="1"/>
  <c r="W224" i="4" a="1"/>
  <c r="W224" i="4" s="1"/>
  <c r="X224" i="4" s="1"/>
  <c r="U224" i="4"/>
  <c r="V224" i="4" s="1"/>
  <c r="R224" i="4"/>
  <c r="AE223" i="4"/>
  <c r="Y223" i="4" a="1"/>
  <c r="Y223" i="4" s="1"/>
  <c r="Z223" i="4" s="1"/>
  <c r="W223" i="4" a="1"/>
  <c r="W223" i="4" s="1"/>
  <c r="X223" i="4" s="1"/>
  <c r="U223" i="4"/>
  <c r="V223" i="4" s="1"/>
  <c r="R223" i="4"/>
  <c r="AE222" i="4"/>
  <c r="Y222" i="4" a="1"/>
  <c r="Y222" i="4" s="1"/>
  <c r="Z222" i="4" s="1"/>
  <c r="W222" i="4" a="1"/>
  <c r="W222" i="4" s="1"/>
  <c r="X222" i="4" s="1"/>
  <c r="U222" i="4"/>
  <c r="V222" i="4" s="1"/>
  <c r="R222" i="4"/>
  <c r="AE221" i="4"/>
  <c r="Y221" i="4" a="1"/>
  <c r="Y221" i="4" s="1"/>
  <c r="Z221" i="4" s="1"/>
  <c r="W221" i="4" a="1"/>
  <c r="W221" i="4" s="1"/>
  <c r="X221" i="4" s="1"/>
  <c r="U221" i="4"/>
  <c r="V221" i="4" s="1"/>
  <c r="R221" i="4"/>
  <c r="AE220" i="4"/>
  <c r="Y220" i="4" a="1"/>
  <c r="Y220" i="4" s="1"/>
  <c r="Z220" i="4" s="1"/>
  <c r="W220" i="4" a="1"/>
  <c r="W220" i="4" s="1"/>
  <c r="X220" i="4" s="1"/>
  <c r="U220" i="4"/>
  <c r="V220" i="4" s="1"/>
  <c r="R220" i="4"/>
  <c r="AE219" i="4"/>
  <c r="Y219" i="4" a="1"/>
  <c r="Y219" i="4" s="1"/>
  <c r="Z219" i="4" s="1"/>
  <c r="W219" i="4" a="1"/>
  <c r="W219" i="4" s="1"/>
  <c r="X219" i="4" s="1"/>
  <c r="U219" i="4"/>
  <c r="V219" i="4" s="1"/>
  <c r="R219" i="4"/>
  <c r="AE218" i="4"/>
  <c r="Y218" i="4" a="1"/>
  <c r="Y218" i="4" s="1"/>
  <c r="Z218" i="4" s="1"/>
  <c r="W218" i="4" a="1"/>
  <c r="W218" i="4" s="1"/>
  <c r="X218" i="4" s="1"/>
  <c r="U218" i="4"/>
  <c r="V218" i="4" s="1"/>
  <c r="R218" i="4"/>
  <c r="AE217" i="4"/>
  <c r="Y217" i="4" a="1"/>
  <c r="Y217" i="4" s="1"/>
  <c r="Z217" i="4" s="1"/>
  <c r="W217" i="4" a="1"/>
  <c r="W217" i="4" s="1"/>
  <c r="X217" i="4" s="1"/>
  <c r="U217" i="4"/>
  <c r="V217" i="4" s="1"/>
  <c r="R217" i="4"/>
  <c r="AE216" i="4"/>
  <c r="Y216" i="4" a="1"/>
  <c r="Y216" i="4" s="1"/>
  <c r="Z216" i="4" s="1"/>
  <c r="W216" i="4" a="1"/>
  <c r="W216" i="4" s="1"/>
  <c r="X216" i="4" s="1"/>
  <c r="U216" i="4"/>
  <c r="V216" i="4" s="1"/>
  <c r="R216" i="4"/>
  <c r="AE215" i="4"/>
  <c r="Y215" i="4" a="1"/>
  <c r="Y215" i="4" s="1"/>
  <c r="Z215" i="4" s="1"/>
  <c r="W215" i="4" a="1"/>
  <c r="W215" i="4" s="1"/>
  <c r="X215" i="4" s="1"/>
  <c r="U215" i="4"/>
  <c r="V215" i="4" s="1"/>
  <c r="R215" i="4"/>
  <c r="AE214" i="4"/>
  <c r="Y214" i="4" a="1"/>
  <c r="Y214" i="4" s="1"/>
  <c r="Z214" i="4" s="1"/>
  <c r="W214" i="4" a="1"/>
  <c r="W214" i="4" s="1"/>
  <c r="X214" i="4" s="1"/>
  <c r="U214" i="4"/>
  <c r="V214" i="4" s="1"/>
  <c r="R214" i="4"/>
  <c r="AE213" i="4"/>
  <c r="Y213" i="4" a="1"/>
  <c r="Y213" i="4" s="1"/>
  <c r="Z213" i="4" s="1"/>
  <c r="W213" i="4" a="1"/>
  <c r="W213" i="4" s="1"/>
  <c r="X213" i="4" s="1"/>
  <c r="U213" i="4"/>
  <c r="V213" i="4" s="1"/>
  <c r="R213" i="4"/>
  <c r="AE212" i="4"/>
  <c r="Y212" i="4" a="1"/>
  <c r="Y212" i="4" s="1"/>
  <c r="Z212" i="4" s="1"/>
  <c r="W212" i="4" a="1"/>
  <c r="W212" i="4" s="1"/>
  <c r="X212" i="4" s="1"/>
  <c r="U212" i="4"/>
  <c r="V212" i="4" s="1"/>
  <c r="R212" i="4"/>
  <c r="AE211" i="4"/>
  <c r="Y211" i="4" a="1"/>
  <c r="Y211" i="4" s="1"/>
  <c r="Z211" i="4" s="1"/>
  <c r="W211" i="4" a="1"/>
  <c r="W211" i="4" s="1"/>
  <c r="X211" i="4" s="1"/>
  <c r="U211" i="4"/>
  <c r="V211" i="4" s="1"/>
  <c r="R211" i="4"/>
  <c r="AE210" i="4"/>
  <c r="Y210" i="4" a="1"/>
  <c r="Y210" i="4" s="1"/>
  <c r="Z210" i="4" s="1"/>
  <c r="W210" i="4" a="1"/>
  <c r="W210" i="4" s="1"/>
  <c r="X210" i="4" s="1"/>
  <c r="U210" i="4"/>
  <c r="V210" i="4" s="1"/>
  <c r="R210" i="4"/>
  <c r="AE209" i="4"/>
  <c r="Y209" i="4" a="1"/>
  <c r="Y209" i="4" s="1"/>
  <c r="Z209" i="4" s="1"/>
  <c r="W209" i="4" a="1"/>
  <c r="W209" i="4" s="1"/>
  <c r="X209" i="4" s="1"/>
  <c r="U209" i="4"/>
  <c r="V209" i="4" s="1"/>
  <c r="R209" i="4"/>
  <c r="AE208" i="4"/>
  <c r="Y208" i="4" a="1"/>
  <c r="Y208" i="4" s="1"/>
  <c r="Z208" i="4" s="1"/>
  <c r="W208" i="4" a="1"/>
  <c r="W208" i="4" s="1"/>
  <c r="X208" i="4" s="1"/>
  <c r="U208" i="4"/>
  <c r="V208" i="4" s="1"/>
  <c r="R208" i="4"/>
  <c r="AE207" i="4"/>
  <c r="Y207" i="4" a="1"/>
  <c r="Y207" i="4" s="1"/>
  <c r="Z207" i="4" s="1"/>
  <c r="W207" i="4" a="1"/>
  <c r="W207" i="4" s="1"/>
  <c r="X207" i="4" s="1"/>
  <c r="U207" i="4"/>
  <c r="V207" i="4" s="1"/>
  <c r="R207" i="4"/>
  <c r="AE206" i="4"/>
  <c r="Y206" i="4" a="1"/>
  <c r="Y206" i="4" s="1"/>
  <c r="Z206" i="4" s="1"/>
  <c r="W206" i="4" a="1"/>
  <c r="W206" i="4" s="1"/>
  <c r="X206" i="4" s="1"/>
  <c r="U206" i="4"/>
  <c r="V206" i="4" s="1"/>
  <c r="R206" i="4"/>
  <c r="AE205" i="4"/>
  <c r="Y205" i="4" a="1"/>
  <c r="Y205" i="4" s="1"/>
  <c r="Z205" i="4" s="1"/>
  <c r="W205" i="4" a="1"/>
  <c r="W205" i="4" s="1"/>
  <c r="X205" i="4" s="1"/>
  <c r="U205" i="4"/>
  <c r="V205" i="4" s="1"/>
  <c r="R205" i="4"/>
  <c r="AE204" i="4"/>
  <c r="Y204" i="4" a="1"/>
  <c r="Y204" i="4" s="1"/>
  <c r="Z204" i="4" s="1"/>
  <c r="W204" i="4" a="1"/>
  <c r="W204" i="4" s="1"/>
  <c r="X204" i="4" s="1"/>
  <c r="U204" i="4"/>
  <c r="V204" i="4" s="1"/>
  <c r="R204" i="4"/>
  <c r="AE203" i="4"/>
  <c r="Y203" i="4" a="1"/>
  <c r="Y203" i="4" s="1"/>
  <c r="Z203" i="4" s="1"/>
  <c r="W203" i="4" a="1"/>
  <c r="W203" i="4" s="1"/>
  <c r="X203" i="4" s="1"/>
  <c r="U203" i="4"/>
  <c r="V203" i="4" s="1"/>
  <c r="R203" i="4"/>
  <c r="AE202" i="4"/>
  <c r="Y202" i="4" a="1"/>
  <c r="Y202" i="4" s="1"/>
  <c r="Z202" i="4" s="1"/>
  <c r="W202" i="4" a="1"/>
  <c r="W202" i="4" s="1"/>
  <c r="X202" i="4" s="1"/>
  <c r="U202" i="4"/>
  <c r="V202" i="4" s="1"/>
  <c r="R202" i="4"/>
  <c r="AE201" i="4"/>
  <c r="Y201" i="4" a="1"/>
  <c r="Y201" i="4" s="1"/>
  <c r="Z201" i="4" s="1"/>
  <c r="W201" i="4" a="1"/>
  <c r="W201" i="4" s="1"/>
  <c r="X201" i="4" s="1"/>
  <c r="U201" i="4"/>
  <c r="V201" i="4" s="1"/>
  <c r="R201" i="4"/>
  <c r="AE200" i="4"/>
  <c r="Y200" i="4" a="1"/>
  <c r="Y200" i="4" s="1"/>
  <c r="Z200" i="4" s="1"/>
  <c r="W200" i="4" a="1"/>
  <c r="W200" i="4" s="1"/>
  <c r="X200" i="4" s="1"/>
  <c r="U200" i="4"/>
  <c r="V200" i="4" s="1"/>
  <c r="R200" i="4"/>
  <c r="AE199" i="4"/>
  <c r="Y199" i="4" a="1"/>
  <c r="Y199" i="4" s="1"/>
  <c r="Z199" i="4" s="1"/>
  <c r="W199" i="4" a="1"/>
  <c r="W199" i="4" s="1"/>
  <c r="X199" i="4" s="1"/>
  <c r="U199" i="4"/>
  <c r="V199" i="4" s="1"/>
  <c r="R199" i="4"/>
  <c r="AE198" i="4"/>
  <c r="Y198" i="4" a="1"/>
  <c r="Y198" i="4" s="1"/>
  <c r="Z198" i="4" s="1"/>
  <c r="W198" i="4" a="1"/>
  <c r="W198" i="4" s="1"/>
  <c r="X198" i="4" s="1"/>
  <c r="U198" i="4"/>
  <c r="V198" i="4" s="1"/>
  <c r="R198" i="4"/>
  <c r="AE197" i="4"/>
  <c r="Y197" i="4" a="1"/>
  <c r="Y197" i="4" s="1"/>
  <c r="Z197" i="4" s="1"/>
  <c r="W197" i="4" a="1"/>
  <c r="W197" i="4" s="1"/>
  <c r="X197" i="4" s="1"/>
  <c r="U197" i="4"/>
  <c r="V197" i="4" s="1"/>
  <c r="R197" i="4"/>
  <c r="AE196" i="4"/>
  <c r="Y196" i="4" a="1"/>
  <c r="Y196" i="4" s="1"/>
  <c r="Z196" i="4" s="1"/>
  <c r="W196" i="4" a="1"/>
  <c r="W196" i="4" s="1"/>
  <c r="X196" i="4" s="1"/>
  <c r="U196" i="4"/>
  <c r="V196" i="4" s="1"/>
  <c r="R196" i="4"/>
  <c r="AE195" i="4"/>
  <c r="Y195" i="4" a="1"/>
  <c r="Y195" i="4" s="1"/>
  <c r="Z195" i="4" s="1"/>
  <c r="W195" i="4" a="1"/>
  <c r="W195" i="4" s="1"/>
  <c r="X195" i="4" s="1"/>
  <c r="U195" i="4"/>
  <c r="V195" i="4" s="1"/>
  <c r="R195" i="4"/>
  <c r="AE194" i="4"/>
  <c r="Y194" i="4" a="1"/>
  <c r="Y194" i="4" s="1"/>
  <c r="Z194" i="4" s="1"/>
  <c r="W194" i="4" a="1"/>
  <c r="W194" i="4" s="1"/>
  <c r="X194" i="4" s="1"/>
  <c r="U194" i="4"/>
  <c r="V194" i="4" s="1"/>
  <c r="R194" i="4"/>
  <c r="AE193" i="4"/>
  <c r="Y193" i="4" a="1"/>
  <c r="Y193" i="4" s="1"/>
  <c r="Z193" i="4" s="1"/>
  <c r="W193" i="4" a="1"/>
  <c r="W193" i="4" s="1"/>
  <c r="X193" i="4" s="1"/>
  <c r="U193" i="4"/>
  <c r="V193" i="4" s="1"/>
  <c r="R193" i="4"/>
  <c r="AE192" i="4"/>
  <c r="Y192" i="4" a="1"/>
  <c r="Y192" i="4" s="1"/>
  <c r="Z192" i="4" s="1"/>
  <c r="W192" i="4" a="1"/>
  <c r="W192" i="4" s="1"/>
  <c r="X192" i="4" s="1"/>
  <c r="U192" i="4"/>
  <c r="V192" i="4" s="1"/>
  <c r="R192" i="4"/>
  <c r="AE191" i="4"/>
  <c r="Y191" i="4" a="1"/>
  <c r="Y191" i="4" s="1"/>
  <c r="Z191" i="4" s="1"/>
  <c r="W191" i="4" a="1"/>
  <c r="W191" i="4" s="1"/>
  <c r="X191" i="4" s="1"/>
  <c r="U191" i="4"/>
  <c r="V191" i="4" s="1"/>
  <c r="R191" i="4"/>
  <c r="AE190" i="4"/>
  <c r="Y190" i="4" a="1"/>
  <c r="Y190" i="4" s="1"/>
  <c r="Z190" i="4" s="1"/>
  <c r="W190" i="4" a="1"/>
  <c r="W190" i="4" s="1"/>
  <c r="X190" i="4" s="1"/>
  <c r="U190" i="4"/>
  <c r="V190" i="4" s="1"/>
  <c r="R190" i="4"/>
  <c r="AE189" i="4"/>
  <c r="Y189" i="4" a="1"/>
  <c r="Y189" i="4" s="1"/>
  <c r="Z189" i="4" s="1"/>
  <c r="W189" i="4" a="1"/>
  <c r="W189" i="4" s="1"/>
  <c r="X189" i="4" s="1"/>
  <c r="U189" i="4"/>
  <c r="V189" i="4" s="1"/>
  <c r="R189" i="4"/>
  <c r="AE188" i="4"/>
  <c r="Y188" i="4" a="1"/>
  <c r="Y188" i="4" s="1"/>
  <c r="Z188" i="4" s="1"/>
  <c r="W188" i="4" a="1"/>
  <c r="W188" i="4" s="1"/>
  <c r="X188" i="4" s="1"/>
  <c r="U188" i="4"/>
  <c r="V188" i="4" s="1"/>
  <c r="R188" i="4"/>
  <c r="AE187" i="4"/>
  <c r="Y187" i="4" a="1"/>
  <c r="Y187" i="4" s="1"/>
  <c r="Z187" i="4" s="1"/>
  <c r="W187" i="4" a="1"/>
  <c r="W187" i="4" s="1"/>
  <c r="X187" i="4" s="1"/>
  <c r="U187" i="4"/>
  <c r="V187" i="4" s="1"/>
  <c r="R187" i="4"/>
  <c r="AE186" i="4"/>
  <c r="Y186" i="4" a="1"/>
  <c r="Y186" i="4" s="1"/>
  <c r="Z186" i="4" s="1"/>
  <c r="W186" i="4" a="1"/>
  <c r="W186" i="4" s="1"/>
  <c r="X186" i="4" s="1"/>
  <c r="U186" i="4"/>
  <c r="V186" i="4" s="1"/>
  <c r="R186" i="4"/>
  <c r="AE185" i="4"/>
  <c r="Y185" i="4" a="1"/>
  <c r="Y185" i="4" s="1"/>
  <c r="Z185" i="4" s="1"/>
  <c r="W185" i="4" a="1"/>
  <c r="W185" i="4" s="1"/>
  <c r="X185" i="4" s="1"/>
  <c r="U185" i="4"/>
  <c r="V185" i="4" s="1"/>
  <c r="R185" i="4"/>
  <c r="AE184" i="4"/>
  <c r="Y184" i="4" a="1"/>
  <c r="Y184" i="4" s="1"/>
  <c r="Z184" i="4" s="1"/>
  <c r="W184" i="4" a="1"/>
  <c r="W184" i="4" s="1"/>
  <c r="X184" i="4" s="1"/>
  <c r="U184" i="4"/>
  <c r="V184" i="4" s="1"/>
  <c r="R184" i="4"/>
  <c r="AE183" i="4"/>
  <c r="Y183" i="4" a="1"/>
  <c r="Y183" i="4" s="1"/>
  <c r="Z183" i="4" s="1"/>
  <c r="W183" i="4" a="1"/>
  <c r="W183" i="4" s="1"/>
  <c r="X183" i="4" s="1"/>
  <c r="U183" i="4"/>
  <c r="V183" i="4" s="1"/>
  <c r="AE182" i="4"/>
  <c r="Y182" i="4" a="1"/>
  <c r="Y182" i="4" s="1"/>
  <c r="Z182" i="4" s="1"/>
  <c r="W182" i="4" a="1"/>
  <c r="W182" i="4" s="1"/>
  <c r="X182" i="4" s="1"/>
  <c r="U182" i="4"/>
  <c r="V182" i="4" s="1"/>
  <c r="R182" i="4"/>
  <c r="AE181" i="4"/>
  <c r="Y181" i="4" a="1"/>
  <c r="Y181" i="4" s="1"/>
  <c r="Z181" i="4" s="1"/>
  <c r="W181" i="4" a="1"/>
  <c r="W181" i="4" s="1"/>
  <c r="X181" i="4" s="1"/>
  <c r="U181" i="4"/>
  <c r="V181" i="4" s="1"/>
  <c r="R181" i="4"/>
  <c r="AE180" i="4"/>
  <c r="Y180" i="4" a="1"/>
  <c r="Y180" i="4" s="1"/>
  <c r="Z180" i="4" s="1"/>
  <c r="W180" i="4" a="1"/>
  <c r="W180" i="4" s="1"/>
  <c r="X180" i="4" s="1"/>
  <c r="U180" i="4"/>
  <c r="V180" i="4" s="1"/>
  <c r="R180" i="4"/>
  <c r="AE179" i="4"/>
  <c r="Y179" i="4" a="1"/>
  <c r="Y179" i="4" s="1"/>
  <c r="Z179" i="4" s="1"/>
  <c r="W179" i="4" a="1"/>
  <c r="W179" i="4" s="1"/>
  <c r="X179" i="4" s="1"/>
  <c r="U179" i="4"/>
  <c r="V179" i="4" s="1"/>
  <c r="R179" i="4"/>
  <c r="AE178" i="4"/>
  <c r="Y178" i="4" a="1"/>
  <c r="Y178" i="4" s="1"/>
  <c r="Z178" i="4" s="1"/>
  <c r="W178" i="4" a="1"/>
  <c r="W178" i="4" s="1"/>
  <c r="X178" i="4" s="1"/>
  <c r="U178" i="4"/>
  <c r="V178" i="4" s="1"/>
  <c r="R178" i="4"/>
  <c r="AE177" i="4"/>
  <c r="Y177" i="4" a="1"/>
  <c r="Y177" i="4" s="1"/>
  <c r="Z177" i="4" s="1"/>
  <c r="W177" i="4" a="1"/>
  <c r="W177" i="4" s="1"/>
  <c r="X177" i="4" s="1"/>
  <c r="U177" i="4"/>
  <c r="V177" i="4" s="1"/>
  <c r="R177" i="4"/>
  <c r="AE176" i="4"/>
  <c r="Y176" i="4" a="1"/>
  <c r="Y176" i="4" s="1"/>
  <c r="Z176" i="4" s="1"/>
  <c r="W176" i="4" a="1"/>
  <c r="W176" i="4" s="1"/>
  <c r="X176" i="4" s="1"/>
  <c r="U176" i="4"/>
  <c r="V176" i="4" s="1"/>
  <c r="R176" i="4"/>
  <c r="AE175" i="4"/>
  <c r="Y175" i="4" a="1"/>
  <c r="Y175" i="4" s="1"/>
  <c r="Z175" i="4" s="1"/>
  <c r="W175" i="4" a="1"/>
  <c r="W175" i="4" s="1"/>
  <c r="X175" i="4" s="1"/>
  <c r="U175" i="4"/>
  <c r="V175" i="4" s="1"/>
  <c r="R175" i="4"/>
  <c r="AE174" i="4"/>
  <c r="Y174" i="4" a="1"/>
  <c r="Y174" i="4" s="1"/>
  <c r="Z174" i="4" s="1"/>
  <c r="W174" i="4" a="1"/>
  <c r="W174" i="4" s="1"/>
  <c r="X174" i="4" s="1"/>
  <c r="U174" i="4"/>
  <c r="V174" i="4" s="1"/>
  <c r="R174" i="4"/>
  <c r="AE173" i="4"/>
  <c r="Y173" i="4" a="1"/>
  <c r="Y173" i="4" s="1"/>
  <c r="Z173" i="4" s="1"/>
  <c r="W173" i="4" a="1"/>
  <c r="W173" i="4" s="1"/>
  <c r="X173" i="4" s="1"/>
  <c r="U173" i="4"/>
  <c r="V173" i="4" s="1"/>
  <c r="R173" i="4"/>
  <c r="AE172" i="4"/>
  <c r="Y172" i="4" a="1"/>
  <c r="Y172" i="4" s="1"/>
  <c r="Z172" i="4" s="1"/>
  <c r="W172" i="4" a="1"/>
  <c r="W172" i="4" s="1"/>
  <c r="X172" i="4" s="1"/>
  <c r="U172" i="4"/>
  <c r="V172" i="4" s="1"/>
  <c r="R172" i="4"/>
  <c r="AE171" i="4"/>
  <c r="Y171" i="4" a="1"/>
  <c r="Y171" i="4" s="1"/>
  <c r="Z171" i="4" s="1"/>
  <c r="W171" i="4" a="1"/>
  <c r="W171" i="4" s="1"/>
  <c r="X171" i="4" s="1"/>
  <c r="U171" i="4"/>
  <c r="V171" i="4" s="1"/>
  <c r="R171" i="4"/>
  <c r="AE170" i="4"/>
  <c r="Y170" i="4" a="1"/>
  <c r="Y170" i="4" s="1"/>
  <c r="Z170" i="4" s="1"/>
  <c r="W170" i="4" a="1"/>
  <c r="W170" i="4" s="1"/>
  <c r="X170" i="4" s="1"/>
  <c r="U170" i="4"/>
  <c r="V170" i="4" s="1"/>
  <c r="R170" i="4"/>
  <c r="AE169" i="4"/>
  <c r="Y169" i="4" a="1"/>
  <c r="Y169" i="4" s="1"/>
  <c r="Z169" i="4" s="1"/>
  <c r="W169" i="4" a="1"/>
  <c r="W169" i="4" s="1"/>
  <c r="X169" i="4" s="1"/>
  <c r="U169" i="4"/>
  <c r="V169" i="4" s="1"/>
  <c r="R169" i="4"/>
  <c r="AE168" i="4"/>
  <c r="Y168" i="4" a="1"/>
  <c r="Y168" i="4" s="1"/>
  <c r="Z168" i="4" s="1"/>
  <c r="W168" i="4" a="1"/>
  <c r="W168" i="4" s="1"/>
  <c r="X168" i="4" s="1"/>
  <c r="U168" i="4"/>
  <c r="V168" i="4" s="1"/>
  <c r="R168" i="4"/>
  <c r="AE167" i="4"/>
  <c r="Y167" i="4" a="1"/>
  <c r="Y167" i="4" s="1"/>
  <c r="Z167" i="4" s="1"/>
  <c r="W167" i="4" a="1"/>
  <c r="W167" i="4" s="1"/>
  <c r="X167" i="4" s="1"/>
  <c r="U167" i="4"/>
  <c r="V167" i="4" s="1"/>
  <c r="R167" i="4"/>
  <c r="AE166" i="4"/>
  <c r="Y166" i="4" a="1"/>
  <c r="Y166" i="4" s="1"/>
  <c r="Z166" i="4" s="1"/>
  <c r="W166" i="4" a="1"/>
  <c r="W166" i="4" s="1"/>
  <c r="X166" i="4" s="1"/>
  <c r="U166" i="4"/>
  <c r="V166" i="4" s="1"/>
  <c r="R166" i="4"/>
  <c r="AE165" i="4"/>
  <c r="Y165" i="4" a="1"/>
  <c r="Y165" i="4" s="1"/>
  <c r="Z165" i="4" s="1"/>
  <c r="W165" i="4" a="1"/>
  <c r="W165" i="4" s="1"/>
  <c r="X165" i="4" s="1"/>
  <c r="U165" i="4"/>
  <c r="V165" i="4" s="1"/>
  <c r="R165" i="4"/>
  <c r="AE164" i="4"/>
  <c r="Y164" i="4" a="1"/>
  <c r="Y164" i="4" s="1"/>
  <c r="Z164" i="4" s="1"/>
  <c r="W164" i="4" a="1"/>
  <c r="W164" i="4" s="1"/>
  <c r="X164" i="4" s="1"/>
  <c r="U164" i="4"/>
  <c r="V164" i="4" s="1"/>
  <c r="R164" i="4"/>
  <c r="AE163" i="4"/>
  <c r="Y163" i="4" a="1"/>
  <c r="Y163" i="4" s="1"/>
  <c r="Z163" i="4" s="1"/>
  <c r="W163" i="4" a="1"/>
  <c r="W163" i="4" s="1"/>
  <c r="X163" i="4" s="1"/>
  <c r="U163" i="4"/>
  <c r="V163" i="4" s="1"/>
  <c r="R163" i="4"/>
  <c r="AE162" i="4"/>
  <c r="Y162" i="4" a="1"/>
  <c r="Y162" i="4" s="1"/>
  <c r="Z162" i="4" s="1"/>
  <c r="W162" i="4" a="1"/>
  <c r="W162" i="4" s="1"/>
  <c r="X162" i="4" s="1"/>
  <c r="U162" i="4"/>
  <c r="V162" i="4" s="1"/>
  <c r="R162" i="4"/>
  <c r="AE161" i="4"/>
  <c r="Y161" i="4" a="1"/>
  <c r="Y161" i="4" s="1"/>
  <c r="Z161" i="4" s="1"/>
  <c r="W161" i="4" a="1"/>
  <c r="W161" i="4" s="1"/>
  <c r="X161" i="4" s="1"/>
  <c r="U161" i="4"/>
  <c r="V161" i="4" s="1"/>
  <c r="R161" i="4"/>
  <c r="AE160" i="4"/>
  <c r="Y160" i="4" a="1"/>
  <c r="Y160" i="4" s="1"/>
  <c r="Z160" i="4" s="1"/>
  <c r="W160" i="4" a="1"/>
  <c r="W160" i="4" s="1"/>
  <c r="X160" i="4" s="1"/>
  <c r="U160" i="4"/>
  <c r="V160" i="4" s="1"/>
  <c r="R160" i="4"/>
  <c r="AE159" i="4"/>
  <c r="Y159" i="4" a="1"/>
  <c r="Y159" i="4" s="1"/>
  <c r="Z159" i="4" s="1"/>
  <c r="W159" i="4" a="1"/>
  <c r="W159" i="4" s="1"/>
  <c r="X159" i="4" s="1"/>
  <c r="U159" i="4"/>
  <c r="V159" i="4" s="1"/>
  <c r="R159" i="4"/>
  <c r="AE158" i="4"/>
  <c r="Y158" i="4" a="1"/>
  <c r="Y158" i="4" s="1"/>
  <c r="Z158" i="4" s="1"/>
  <c r="W158" i="4" a="1"/>
  <c r="W158" i="4" s="1"/>
  <c r="X158" i="4" s="1"/>
  <c r="U158" i="4"/>
  <c r="V158" i="4" s="1"/>
  <c r="R158" i="4"/>
  <c r="AE157" i="4"/>
  <c r="Y157" i="4" a="1"/>
  <c r="Y157" i="4" s="1"/>
  <c r="Z157" i="4" s="1"/>
  <c r="W157" i="4" a="1"/>
  <c r="W157" i="4" s="1"/>
  <c r="X157" i="4" s="1"/>
  <c r="U157" i="4"/>
  <c r="V157" i="4" s="1"/>
  <c r="R157" i="4"/>
  <c r="AE156" i="4"/>
  <c r="Y156" i="4" a="1"/>
  <c r="Y156" i="4" s="1"/>
  <c r="Z156" i="4" s="1"/>
  <c r="W156" i="4" a="1"/>
  <c r="W156" i="4" s="1"/>
  <c r="X156" i="4" s="1"/>
  <c r="U156" i="4"/>
  <c r="V156" i="4" s="1"/>
  <c r="R156" i="4"/>
  <c r="AE155" i="4"/>
  <c r="Y155" i="4" a="1"/>
  <c r="Y155" i="4" s="1"/>
  <c r="Z155" i="4" s="1"/>
  <c r="W155" i="4" a="1"/>
  <c r="W155" i="4" s="1"/>
  <c r="X155" i="4" s="1"/>
  <c r="U155" i="4"/>
  <c r="V155" i="4" s="1"/>
  <c r="R155" i="4"/>
  <c r="AE154" i="4"/>
  <c r="Y154" i="4" a="1"/>
  <c r="Y154" i="4" s="1"/>
  <c r="Z154" i="4" s="1"/>
  <c r="W154" i="4" a="1"/>
  <c r="W154" i="4" s="1"/>
  <c r="X154" i="4" s="1"/>
  <c r="U154" i="4"/>
  <c r="V154" i="4" s="1"/>
  <c r="R154" i="4"/>
  <c r="AE153" i="4"/>
  <c r="Y153" i="4" a="1"/>
  <c r="Y153" i="4" s="1"/>
  <c r="Z153" i="4" s="1"/>
  <c r="W153" i="4" a="1"/>
  <c r="W153" i="4" s="1"/>
  <c r="X153" i="4" s="1"/>
  <c r="U153" i="4"/>
  <c r="V153" i="4" s="1"/>
  <c r="R153" i="4"/>
  <c r="AE152" i="4"/>
  <c r="Y152" i="4" a="1"/>
  <c r="Y152" i="4" s="1"/>
  <c r="Z152" i="4" s="1"/>
  <c r="W152" i="4" a="1"/>
  <c r="W152" i="4" s="1"/>
  <c r="X152" i="4" s="1"/>
  <c r="U152" i="4"/>
  <c r="V152" i="4" s="1"/>
  <c r="R152" i="4"/>
  <c r="AE151" i="4"/>
  <c r="Y151" i="4" a="1"/>
  <c r="Y151" i="4" s="1"/>
  <c r="Z151" i="4" s="1"/>
  <c r="W151" i="4" a="1"/>
  <c r="W151" i="4" s="1"/>
  <c r="X151" i="4" s="1"/>
  <c r="U151" i="4"/>
  <c r="V151" i="4" s="1"/>
  <c r="R151" i="4"/>
  <c r="AE150" i="4"/>
  <c r="Y150" i="4" a="1"/>
  <c r="Y150" i="4" s="1"/>
  <c r="Z150" i="4" s="1"/>
  <c r="W150" i="4" a="1"/>
  <c r="W150" i="4" s="1"/>
  <c r="X150" i="4" s="1"/>
  <c r="U150" i="4"/>
  <c r="V150" i="4" s="1"/>
  <c r="R150" i="4"/>
  <c r="AE149" i="4"/>
  <c r="Y149" i="4" a="1"/>
  <c r="Y149" i="4" s="1"/>
  <c r="Z149" i="4" s="1"/>
  <c r="W149" i="4" a="1"/>
  <c r="W149" i="4" s="1"/>
  <c r="X149" i="4" s="1"/>
  <c r="U149" i="4"/>
  <c r="V149" i="4" s="1"/>
  <c r="R149" i="4"/>
  <c r="AE148" i="4"/>
  <c r="Y148" i="4" a="1"/>
  <c r="Y148" i="4" s="1"/>
  <c r="Z148" i="4" s="1"/>
  <c r="W148" i="4" a="1"/>
  <c r="W148" i="4" s="1"/>
  <c r="X148" i="4" s="1"/>
  <c r="U148" i="4"/>
  <c r="V148" i="4" s="1"/>
  <c r="R148" i="4"/>
  <c r="AE147" i="4"/>
  <c r="Y147" i="4" a="1"/>
  <c r="Y147" i="4" s="1"/>
  <c r="Z147" i="4" s="1"/>
  <c r="W147" i="4" a="1"/>
  <c r="W147" i="4" s="1"/>
  <c r="X147" i="4" s="1"/>
  <c r="U147" i="4"/>
  <c r="V147" i="4" s="1"/>
  <c r="R147" i="4"/>
  <c r="AE146" i="4"/>
  <c r="Y146" i="4" a="1"/>
  <c r="Y146" i="4" s="1"/>
  <c r="Z146" i="4" s="1"/>
  <c r="W146" i="4" a="1"/>
  <c r="W146" i="4" s="1"/>
  <c r="X146" i="4" s="1"/>
  <c r="U146" i="4"/>
  <c r="V146" i="4" s="1"/>
  <c r="R146" i="4"/>
  <c r="AE145" i="4"/>
  <c r="Y145" i="4" a="1"/>
  <c r="Y145" i="4" s="1"/>
  <c r="Z145" i="4" s="1"/>
  <c r="W145" i="4" a="1"/>
  <c r="W145" i="4" s="1"/>
  <c r="X145" i="4" s="1"/>
  <c r="U145" i="4"/>
  <c r="V145" i="4" s="1"/>
  <c r="R145" i="4"/>
  <c r="AE144" i="4"/>
  <c r="Y144" i="4" a="1"/>
  <c r="Y144" i="4" s="1"/>
  <c r="Z144" i="4" s="1"/>
  <c r="W144" i="4" a="1"/>
  <c r="W144" i="4" s="1"/>
  <c r="X144" i="4" s="1"/>
  <c r="U144" i="4"/>
  <c r="V144" i="4" s="1"/>
  <c r="R144" i="4"/>
  <c r="AE143" i="4"/>
  <c r="Y143" i="4" a="1"/>
  <c r="Y143" i="4" s="1"/>
  <c r="Z143" i="4" s="1"/>
  <c r="W143" i="4" a="1"/>
  <c r="W143" i="4" s="1"/>
  <c r="X143" i="4" s="1"/>
  <c r="U143" i="4"/>
  <c r="V143" i="4" s="1"/>
  <c r="R143" i="4"/>
  <c r="AE142" i="4"/>
  <c r="Y142" i="4" a="1"/>
  <c r="Y142" i="4" s="1"/>
  <c r="Z142" i="4" s="1"/>
  <c r="W142" i="4" a="1"/>
  <c r="W142" i="4" s="1"/>
  <c r="X142" i="4" s="1"/>
  <c r="U142" i="4"/>
  <c r="V142" i="4" s="1"/>
  <c r="R142" i="4"/>
  <c r="AE141" i="4"/>
  <c r="Y141" i="4" a="1"/>
  <c r="Y141" i="4" s="1"/>
  <c r="Z141" i="4" s="1"/>
  <c r="W141" i="4" a="1"/>
  <c r="W141" i="4" s="1"/>
  <c r="X141" i="4" s="1"/>
  <c r="U141" i="4"/>
  <c r="V141" i="4" s="1"/>
  <c r="R141" i="4"/>
  <c r="AE140" i="4"/>
  <c r="Y140" i="4" a="1"/>
  <c r="Y140" i="4" s="1"/>
  <c r="Z140" i="4" s="1"/>
  <c r="W140" i="4" a="1"/>
  <c r="W140" i="4" s="1"/>
  <c r="X140" i="4" s="1"/>
  <c r="U140" i="4"/>
  <c r="V140" i="4" s="1"/>
  <c r="R140" i="4"/>
  <c r="AE139" i="4"/>
  <c r="Y139" i="4" a="1"/>
  <c r="Y139" i="4" s="1"/>
  <c r="Z139" i="4" s="1"/>
  <c r="W139" i="4" a="1"/>
  <c r="W139" i="4" s="1"/>
  <c r="X139" i="4" s="1"/>
  <c r="U139" i="4"/>
  <c r="V139" i="4" s="1"/>
  <c r="R139" i="4"/>
  <c r="AE138" i="4"/>
  <c r="Y138" i="4" a="1"/>
  <c r="Y138" i="4" s="1"/>
  <c r="Z138" i="4" s="1"/>
  <c r="W138" i="4" a="1"/>
  <c r="W138" i="4" s="1"/>
  <c r="X138" i="4" s="1"/>
  <c r="U138" i="4"/>
  <c r="V138" i="4" s="1"/>
  <c r="R138" i="4"/>
  <c r="AE137" i="4"/>
  <c r="Y137" i="4" a="1"/>
  <c r="Y137" i="4" s="1"/>
  <c r="Z137" i="4" s="1"/>
  <c r="W137" i="4" a="1"/>
  <c r="W137" i="4" s="1"/>
  <c r="X137" i="4" s="1"/>
  <c r="U137" i="4"/>
  <c r="V137" i="4" s="1"/>
  <c r="R137" i="4"/>
  <c r="AE136" i="4"/>
  <c r="Y136" i="4" a="1"/>
  <c r="Y136" i="4" s="1"/>
  <c r="Z136" i="4" s="1"/>
  <c r="W136" i="4" a="1"/>
  <c r="W136" i="4" s="1"/>
  <c r="X136" i="4" s="1"/>
  <c r="U136" i="4"/>
  <c r="V136" i="4" s="1"/>
  <c r="R136" i="4"/>
  <c r="AE135" i="4"/>
  <c r="Y135" i="4" a="1"/>
  <c r="Y135" i="4" s="1"/>
  <c r="Z135" i="4" s="1"/>
  <c r="W135" i="4" a="1"/>
  <c r="W135" i="4" s="1"/>
  <c r="X135" i="4" s="1"/>
  <c r="U135" i="4"/>
  <c r="V135" i="4" s="1"/>
  <c r="R135" i="4"/>
  <c r="AE134" i="4"/>
  <c r="Y134" i="4" a="1"/>
  <c r="Y134" i="4" s="1"/>
  <c r="Z134" i="4" s="1"/>
  <c r="W134" i="4" a="1"/>
  <c r="W134" i="4" s="1"/>
  <c r="X134" i="4" s="1"/>
  <c r="U134" i="4"/>
  <c r="V134" i="4" s="1"/>
  <c r="R134" i="4"/>
  <c r="AE133" i="4"/>
  <c r="Y133" i="4" a="1"/>
  <c r="Y133" i="4" s="1"/>
  <c r="Z133" i="4" s="1"/>
  <c r="W133" i="4" a="1"/>
  <c r="W133" i="4" s="1"/>
  <c r="X133" i="4" s="1"/>
  <c r="U133" i="4"/>
  <c r="V133" i="4" s="1"/>
  <c r="R133" i="4"/>
  <c r="AE132" i="4"/>
  <c r="Y132" i="4" a="1"/>
  <c r="Y132" i="4" s="1"/>
  <c r="Z132" i="4" s="1"/>
  <c r="W132" i="4" a="1"/>
  <c r="W132" i="4" s="1"/>
  <c r="X132" i="4" s="1"/>
  <c r="U132" i="4"/>
  <c r="V132" i="4" s="1"/>
  <c r="R132" i="4"/>
  <c r="AE131" i="4"/>
  <c r="Y131" i="4" a="1"/>
  <c r="Y131" i="4" s="1"/>
  <c r="Z131" i="4" s="1"/>
  <c r="W131" i="4" a="1"/>
  <c r="W131" i="4" s="1"/>
  <c r="X131" i="4" s="1"/>
  <c r="U131" i="4"/>
  <c r="V131" i="4" s="1"/>
  <c r="R131" i="4"/>
  <c r="AE130" i="4"/>
  <c r="Y130" i="4" a="1"/>
  <c r="Y130" i="4" s="1"/>
  <c r="Z130" i="4" s="1"/>
  <c r="W130" i="4" a="1"/>
  <c r="W130" i="4" s="1"/>
  <c r="X130" i="4" s="1"/>
  <c r="U130" i="4"/>
  <c r="V130" i="4" s="1"/>
  <c r="R130" i="4"/>
  <c r="AE129" i="4"/>
  <c r="Y129" i="4" a="1"/>
  <c r="Y129" i="4" s="1"/>
  <c r="Z129" i="4" s="1"/>
  <c r="W129" i="4" a="1"/>
  <c r="W129" i="4" s="1"/>
  <c r="X129" i="4" s="1"/>
  <c r="U129" i="4"/>
  <c r="V129" i="4" s="1"/>
  <c r="R129" i="4"/>
  <c r="AE128" i="4"/>
  <c r="Y128" i="4" a="1"/>
  <c r="Y128" i="4" s="1"/>
  <c r="Z128" i="4" s="1"/>
  <c r="W128" i="4" a="1"/>
  <c r="W128" i="4" s="1"/>
  <c r="X128" i="4" s="1"/>
  <c r="U128" i="4"/>
  <c r="V128" i="4" s="1"/>
  <c r="R128" i="4"/>
  <c r="AE127" i="4"/>
  <c r="Y127" i="4" a="1"/>
  <c r="Y127" i="4" s="1"/>
  <c r="Z127" i="4" s="1"/>
  <c r="W127" i="4" a="1"/>
  <c r="W127" i="4" s="1"/>
  <c r="X127" i="4" s="1"/>
  <c r="U127" i="4"/>
  <c r="V127" i="4" s="1"/>
  <c r="R127" i="4"/>
  <c r="AE126" i="4"/>
  <c r="Y126" i="4" a="1"/>
  <c r="Y126" i="4" s="1"/>
  <c r="Z126" i="4" s="1"/>
  <c r="W126" i="4" a="1"/>
  <c r="W126" i="4" s="1"/>
  <c r="X126" i="4" s="1"/>
  <c r="U126" i="4"/>
  <c r="V126" i="4" s="1"/>
  <c r="R126" i="4"/>
  <c r="AE125" i="4"/>
  <c r="Y125" i="4" a="1"/>
  <c r="Y125" i="4" s="1"/>
  <c r="Z125" i="4" s="1"/>
  <c r="W125" i="4" a="1"/>
  <c r="W125" i="4" s="1"/>
  <c r="X125" i="4" s="1"/>
  <c r="U125" i="4"/>
  <c r="V125" i="4" s="1"/>
  <c r="R125" i="4"/>
  <c r="AE124" i="4"/>
  <c r="Y124" i="4" a="1"/>
  <c r="Y124" i="4" s="1"/>
  <c r="Z124" i="4" s="1"/>
  <c r="W124" i="4" a="1"/>
  <c r="W124" i="4" s="1"/>
  <c r="X124" i="4" s="1"/>
  <c r="U124" i="4"/>
  <c r="V124" i="4" s="1"/>
  <c r="R124" i="4"/>
  <c r="AE123" i="4"/>
  <c r="Y123" i="4" a="1"/>
  <c r="Y123" i="4" s="1"/>
  <c r="Z123" i="4" s="1"/>
  <c r="W123" i="4" a="1"/>
  <c r="W123" i="4" s="1"/>
  <c r="X123" i="4" s="1"/>
  <c r="U123" i="4"/>
  <c r="V123" i="4" s="1"/>
  <c r="R123" i="4"/>
  <c r="AE122" i="4"/>
  <c r="Y122" i="4" a="1"/>
  <c r="Y122" i="4" s="1"/>
  <c r="Z122" i="4" s="1"/>
  <c r="W122" i="4" a="1"/>
  <c r="W122" i="4" s="1"/>
  <c r="X122" i="4" s="1"/>
  <c r="U122" i="4"/>
  <c r="V122" i="4" s="1"/>
  <c r="R122" i="4"/>
  <c r="AE121" i="4"/>
  <c r="Y121" i="4" a="1"/>
  <c r="Y121" i="4" s="1"/>
  <c r="Z121" i="4" s="1"/>
  <c r="W121" i="4" a="1"/>
  <c r="W121" i="4" s="1"/>
  <c r="X121" i="4" s="1"/>
  <c r="U121" i="4"/>
  <c r="V121" i="4" s="1"/>
  <c r="R121" i="4"/>
  <c r="AE120" i="4"/>
  <c r="Y120" i="4" a="1"/>
  <c r="Y120" i="4" s="1"/>
  <c r="Z120" i="4" s="1"/>
  <c r="W120" i="4" a="1"/>
  <c r="W120" i="4" s="1"/>
  <c r="X120" i="4" s="1"/>
  <c r="U120" i="4"/>
  <c r="V120" i="4" s="1"/>
  <c r="R120" i="4"/>
  <c r="AE119" i="4"/>
  <c r="Y119" i="4" a="1"/>
  <c r="Y119" i="4" s="1"/>
  <c r="Z119" i="4" s="1"/>
  <c r="W119" i="4" a="1"/>
  <c r="W119" i="4" s="1"/>
  <c r="X119" i="4" s="1"/>
  <c r="U119" i="4"/>
  <c r="V119" i="4" s="1"/>
  <c r="R119" i="4"/>
  <c r="AE118" i="4"/>
  <c r="Y118" i="4" a="1"/>
  <c r="Y118" i="4" s="1"/>
  <c r="Z118" i="4" s="1"/>
  <c r="W118" i="4" a="1"/>
  <c r="W118" i="4" s="1"/>
  <c r="X118" i="4" s="1"/>
  <c r="U118" i="4"/>
  <c r="V118" i="4" s="1"/>
  <c r="R118" i="4"/>
  <c r="AE117" i="4"/>
  <c r="Y117" i="4" a="1"/>
  <c r="Y117" i="4" s="1"/>
  <c r="Z117" i="4" s="1"/>
  <c r="W117" i="4" a="1"/>
  <c r="W117" i="4" s="1"/>
  <c r="X117" i="4" s="1"/>
  <c r="U117" i="4"/>
  <c r="V117" i="4" s="1"/>
  <c r="R117" i="4"/>
  <c r="AE116" i="4"/>
  <c r="Y116" i="4" a="1"/>
  <c r="Y116" i="4" s="1"/>
  <c r="Z116" i="4" s="1"/>
  <c r="W116" i="4" a="1"/>
  <c r="W116" i="4" s="1"/>
  <c r="X116" i="4" s="1"/>
  <c r="U116" i="4"/>
  <c r="V116" i="4" s="1"/>
  <c r="R116" i="4"/>
  <c r="AE115" i="4"/>
  <c r="Y115" i="4" a="1"/>
  <c r="Y115" i="4" s="1"/>
  <c r="Z115" i="4" s="1"/>
  <c r="W115" i="4" a="1"/>
  <c r="W115" i="4" s="1"/>
  <c r="X115" i="4" s="1"/>
  <c r="U115" i="4"/>
  <c r="V115" i="4" s="1"/>
  <c r="R115" i="4"/>
  <c r="AE114" i="4"/>
  <c r="Y114" i="4" a="1"/>
  <c r="Y114" i="4" s="1"/>
  <c r="Z114" i="4" s="1"/>
  <c r="W114" i="4" a="1"/>
  <c r="W114" i="4" s="1"/>
  <c r="X114" i="4" s="1"/>
  <c r="U114" i="4"/>
  <c r="V114" i="4" s="1"/>
  <c r="R114" i="4"/>
  <c r="AE113" i="4"/>
  <c r="Y113" i="4" a="1"/>
  <c r="Y113" i="4" s="1"/>
  <c r="Z113" i="4" s="1"/>
  <c r="W113" i="4" a="1"/>
  <c r="W113" i="4" s="1"/>
  <c r="X113" i="4" s="1"/>
  <c r="U113" i="4"/>
  <c r="V113" i="4" s="1"/>
  <c r="R113" i="4"/>
  <c r="AE112" i="4"/>
  <c r="Y112" i="4" a="1"/>
  <c r="Y112" i="4" s="1"/>
  <c r="Z112" i="4" s="1"/>
  <c r="W112" i="4" a="1"/>
  <c r="W112" i="4" s="1"/>
  <c r="X112" i="4" s="1"/>
  <c r="U112" i="4"/>
  <c r="V112" i="4" s="1"/>
  <c r="R112" i="4"/>
  <c r="AE111" i="4"/>
  <c r="Y111" i="4" a="1"/>
  <c r="Y111" i="4" s="1"/>
  <c r="Z111" i="4" s="1"/>
  <c r="W111" i="4" a="1"/>
  <c r="W111" i="4" s="1"/>
  <c r="X111" i="4" s="1"/>
  <c r="U111" i="4"/>
  <c r="V111" i="4" s="1"/>
  <c r="R111" i="4"/>
  <c r="AE110" i="4"/>
  <c r="Y110" i="4" a="1"/>
  <c r="Y110" i="4" s="1"/>
  <c r="Z110" i="4" s="1"/>
  <c r="W110" i="4" a="1"/>
  <c r="W110" i="4" s="1"/>
  <c r="X110" i="4" s="1"/>
  <c r="U110" i="4"/>
  <c r="V110" i="4" s="1"/>
  <c r="R110" i="4"/>
  <c r="AE109" i="4"/>
  <c r="Y109" i="4" a="1"/>
  <c r="Y109" i="4" s="1"/>
  <c r="Z109" i="4" s="1"/>
  <c r="W109" i="4" a="1"/>
  <c r="W109" i="4" s="1"/>
  <c r="X109" i="4" s="1"/>
  <c r="U109" i="4"/>
  <c r="V109" i="4" s="1"/>
  <c r="R109" i="4"/>
  <c r="AE108" i="4"/>
  <c r="Y108" i="4" a="1"/>
  <c r="Y108" i="4" s="1"/>
  <c r="Z108" i="4" s="1"/>
  <c r="W108" i="4" a="1"/>
  <c r="W108" i="4" s="1"/>
  <c r="X108" i="4" s="1"/>
  <c r="U108" i="4"/>
  <c r="V108" i="4" s="1"/>
  <c r="R108" i="4"/>
  <c r="AE107" i="4"/>
  <c r="Y107" i="4" a="1"/>
  <c r="Y107" i="4" s="1"/>
  <c r="Z107" i="4" s="1"/>
  <c r="W107" i="4" a="1"/>
  <c r="W107" i="4" s="1"/>
  <c r="X107" i="4" s="1"/>
  <c r="U107" i="4"/>
  <c r="V107" i="4" s="1"/>
  <c r="R107" i="4"/>
  <c r="AE106" i="4"/>
  <c r="Y106" i="4" a="1"/>
  <c r="Y106" i="4" s="1"/>
  <c r="Z106" i="4" s="1"/>
  <c r="W106" i="4" a="1"/>
  <c r="W106" i="4" s="1"/>
  <c r="X106" i="4" s="1"/>
  <c r="U106" i="4"/>
  <c r="V106" i="4" s="1"/>
  <c r="R106" i="4"/>
  <c r="AE105" i="4"/>
  <c r="Y105" i="4" a="1"/>
  <c r="Y105" i="4" s="1"/>
  <c r="Z105" i="4" s="1"/>
  <c r="W105" i="4" a="1"/>
  <c r="W105" i="4" s="1"/>
  <c r="X105" i="4" s="1"/>
  <c r="U105" i="4"/>
  <c r="V105" i="4" s="1"/>
  <c r="R105" i="4"/>
  <c r="AE104" i="4"/>
  <c r="Y104" i="4" a="1"/>
  <c r="Y104" i="4" s="1"/>
  <c r="Z104" i="4" s="1"/>
  <c r="W104" i="4" a="1"/>
  <c r="W104" i="4" s="1"/>
  <c r="X104" i="4" s="1"/>
  <c r="U104" i="4"/>
  <c r="V104" i="4" s="1"/>
  <c r="R104" i="4"/>
  <c r="AE103" i="4"/>
  <c r="Y103" i="4" a="1"/>
  <c r="Y103" i="4" s="1"/>
  <c r="Z103" i="4" s="1"/>
  <c r="W103" i="4" a="1"/>
  <c r="W103" i="4" s="1"/>
  <c r="X103" i="4" s="1"/>
  <c r="U103" i="4"/>
  <c r="V103" i="4" s="1"/>
  <c r="R103" i="4"/>
  <c r="AE102" i="4"/>
  <c r="Y102" i="4" a="1"/>
  <c r="Y102" i="4" s="1"/>
  <c r="Z102" i="4" s="1"/>
  <c r="W102" i="4" a="1"/>
  <c r="W102" i="4" s="1"/>
  <c r="X102" i="4" s="1"/>
  <c r="U102" i="4"/>
  <c r="V102" i="4" s="1"/>
  <c r="R102" i="4"/>
  <c r="AE101" i="4"/>
  <c r="Y101" i="4" a="1"/>
  <c r="Y101" i="4" s="1"/>
  <c r="Z101" i="4" s="1"/>
  <c r="W101" i="4" a="1"/>
  <c r="W101" i="4" s="1"/>
  <c r="X101" i="4" s="1"/>
  <c r="U101" i="4"/>
  <c r="V101" i="4" s="1"/>
  <c r="R101" i="4"/>
  <c r="AE100" i="4"/>
  <c r="Y100" i="4" a="1"/>
  <c r="Y100" i="4" s="1"/>
  <c r="Z100" i="4" s="1"/>
  <c r="W100" i="4" a="1"/>
  <c r="W100" i="4" s="1"/>
  <c r="X100" i="4" s="1"/>
  <c r="U100" i="4"/>
  <c r="V100" i="4" s="1"/>
  <c r="R100" i="4"/>
  <c r="AE99" i="4"/>
  <c r="Y99" i="4" a="1"/>
  <c r="Y99" i="4" s="1"/>
  <c r="Z99" i="4" s="1"/>
  <c r="W99" i="4" a="1"/>
  <c r="W99" i="4" s="1"/>
  <c r="X99" i="4" s="1"/>
  <c r="U99" i="4"/>
  <c r="V99" i="4" s="1"/>
  <c r="R99" i="4"/>
  <c r="AE98" i="4"/>
  <c r="Y98" i="4" a="1"/>
  <c r="Y98" i="4" s="1"/>
  <c r="Z98" i="4" s="1"/>
  <c r="W98" i="4" a="1"/>
  <c r="W98" i="4" s="1"/>
  <c r="X98" i="4" s="1"/>
  <c r="U98" i="4"/>
  <c r="V98" i="4" s="1"/>
  <c r="R98" i="4"/>
  <c r="AE97" i="4"/>
  <c r="Y97" i="4" a="1"/>
  <c r="Y97" i="4" s="1"/>
  <c r="Z97" i="4" s="1"/>
  <c r="W97" i="4" a="1"/>
  <c r="W97" i="4" s="1"/>
  <c r="X97" i="4" s="1"/>
  <c r="U97" i="4"/>
  <c r="V97" i="4" s="1"/>
  <c r="R97" i="4"/>
  <c r="AE96" i="4"/>
  <c r="Y96" i="4" a="1"/>
  <c r="Y96" i="4" s="1"/>
  <c r="Z96" i="4" s="1"/>
  <c r="W96" i="4" a="1"/>
  <c r="W96" i="4" s="1"/>
  <c r="X96" i="4" s="1"/>
  <c r="U96" i="4"/>
  <c r="V96" i="4" s="1"/>
  <c r="R96" i="4"/>
  <c r="AE95" i="4"/>
  <c r="Y95" i="4" a="1"/>
  <c r="Y95" i="4" s="1"/>
  <c r="Z95" i="4" s="1"/>
  <c r="W95" i="4" a="1"/>
  <c r="W95" i="4" s="1"/>
  <c r="X95" i="4" s="1"/>
  <c r="U95" i="4"/>
  <c r="V95" i="4" s="1"/>
  <c r="R95" i="4"/>
  <c r="AE94" i="4"/>
  <c r="Y94" i="4" a="1"/>
  <c r="Y94" i="4" s="1"/>
  <c r="Z94" i="4" s="1"/>
  <c r="W94" i="4" a="1"/>
  <c r="W94" i="4" s="1"/>
  <c r="X94" i="4" s="1"/>
  <c r="U94" i="4"/>
  <c r="V94" i="4" s="1"/>
  <c r="R94" i="4"/>
  <c r="AE93" i="4"/>
  <c r="Y93" i="4" a="1"/>
  <c r="Y93" i="4" s="1"/>
  <c r="Z93" i="4" s="1"/>
  <c r="W93" i="4" a="1"/>
  <c r="W93" i="4" s="1"/>
  <c r="X93" i="4" s="1"/>
  <c r="U93" i="4"/>
  <c r="V93" i="4" s="1"/>
  <c r="R93" i="4"/>
  <c r="AE92" i="4"/>
  <c r="Y92" i="4" a="1"/>
  <c r="Y92" i="4" s="1"/>
  <c r="Z92" i="4" s="1"/>
  <c r="W92" i="4" a="1"/>
  <c r="W92" i="4" s="1"/>
  <c r="X92" i="4" s="1"/>
  <c r="U92" i="4"/>
  <c r="V92" i="4" s="1"/>
  <c r="R92" i="4"/>
  <c r="AE91" i="4"/>
  <c r="Y91" i="4" a="1"/>
  <c r="Y91" i="4" s="1"/>
  <c r="Z91" i="4" s="1"/>
  <c r="W91" i="4" a="1"/>
  <c r="W91" i="4" s="1"/>
  <c r="X91" i="4" s="1"/>
  <c r="U91" i="4"/>
  <c r="V91" i="4" s="1"/>
  <c r="R91" i="4"/>
  <c r="AE90" i="4"/>
  <c r="Y90" i="4" a="1"/>
  <c r="Y90" i="4" s="1"/>
  <c r="Z90" i="4" s="1"/>
  <c r="W90" i="4" a="1"/>
  <c r="W90" i="4" s="1"/>
  <c r="X90" i="4" s="1"/>
  <c r="U90" i="4"/>
  <c r="V90" i="4" s="1"/>
  <c r="R90" i="4"/>
  <c r="AE89" i="4"/>
  <c r="Y89" i="4" a="1"/>
  <c r="Y89" i="4" s="1"/>
  <c r="Z89" i="4" s="1"/>
  <c r="W89" i="4" a="1"/>
  <c r="W89" i="4" s="1"/>
  <c r="X89" i="4" s="1"/>
  <c r="U89" i="4"/>
  <c r="V89" i="4" s="1"/>
  <c r="R89" i="4"/>
  <c r="AE88" i="4"/>
  <c r="Y88" i="4" a="1"/>
  <c r="Y88" i="4" s="1"/>
  <c r="Z88" i="4" s="1"/>
  <c r="W88" i="4" a="1"/>
  <c r="W88" i="4" s="1"/>
  <c r="X88" i="4" s="1"/>
  <c r="U88" i="4"/>
  <c r="V88" i="4" s="1"/>
  <c r="R88" i="4"/>
  <c r="AE87" i="4"/>
  <c r="Y87" i="4" a="1"/>
  <c r="Y87" i="4" s="1"/>
  <c r="Z87" i="4" s="1"/>
  <c r="W87" i="4" a="1"/>
  <c r="W87" i="4" s="1"/>
  <c r="X87" i="4" s="1"/>
  <c r="U87" i="4"/>
  <c r="V87" i="4" s="1"/>
  <c r="R87" i="4"/>
  <c r="AE86" i="4"/>
  <c r="Y86" i="4" a="1"/>
  <c r="Y86" i="4" s="1"/>
  <c r="Z86" i="4" s="1"/>
  <c r="W86" i="4" a="1"/>
  <c r="W86" i="4" s="1"/>
  <c r="X86" i="4" s="1"/>
  <c r="U86" i="4"/>
  <c r="V86" i="4" s="1"/>
  <c r="R86" i="4"/>
  <c r="AE85" i="4"/>
  <c r="Y85" i="4" a="1"/>
  <c r="Y85" i="4" s="1"/>
  <c r="Z85" i="4" s="1"/>
  <c r="W85" i="4" a="1"/>
  <c r="W85" i="4" s="1"/>
  <c r="X85" i="4" s="1"/>
  <c r="U85" i="4"/>
  <c r="V85" i="4" s="1"/>
  <c r="R85" i="4"/>
  <c r="AE84" i="4"/>
  <c r="Y84" i="4" a="1"/>
  <c r="Y84" i="4" s="1"/>
  <c r="Z84" i="4" s="1"/>
  <c r="W84" i="4" a="1"/>
  <c r="W84" i="4" s="1"/>
  <c r="X84" i="4" s="1"/>
  <c r="U84" i="4"/>
  <c r="V84" i="4" s="1"/>
  <c r="R84" i="4"/>
  <c r="AE83" i="4"/>
  <c r="Y83" i="4" a="1"/>
  <c r="Y83" i="4" s="1"/>
  <c r="Z83" i="4" s="1"/>
  <c r="W83" i="4" a="1"/>
  <c r="W83" i="4" s="1"/>
  <c r="X83" i="4" s="1"/>
  <c r="U83" i="4"/>
  <c r="V83" i="4" s="1"/>
  <c r="R83" i="4"/>
  <c r="AE82" i="4"/>
  <c r="Y82" i="4" a="1"/>
  <c r="Y82" i="4" s="1"/>
  <c r="Z82" i="4" s="1"/>
  <c r="W82" i="4" a="1"/>
  <c r="W82" i="4" s="1"/>
  <c r="X82" i="4" s="1"/>
  <c r="U82" i="4"/>
  <c r="V82" i="4" s="1"/>
  <c r="R82" i="4"/>
  <c r="AE81" i="4"/>
  <c r="Y81" i="4" a="1"/>
  <c r="Y81" i="4" s="1"/>
  <c r="Z81" i="4" s="1"/>
  <c r="W81" i="4" a="1"/>
  <c r="W81" i="4" s="1"/>
  <c r="X81" i="4" s="1"/>
  <c r="U81" i="4"/>
  <c r="V81" i="4" s="1"/>
  <c r="R81" i="4"/>
  <c r="AE80" i="4"/>
  <c r="Y80" i="4" a="1"/>
  <c r="Y80" i="4" s="1"/>
  <c r="Z80" i="4" s="1"/>
  <c r="W80" i="4" a="1"/>
  <c r="W80" i="4" s="1"/>
  <c r="X80" i="4" s="1"/>
  <c r="U80" i="4"/>
  <c r="V80" i="4" s="1"/>
  <c r="R80" i="4"/>
  <c r="AE79" i="4"/>
  <c r="Y79" i="4" a="1"/>
  <c r="Y79" i="4" s="1"/>
  <c r="Z79" i="4" s="1"/>
  <c r="W79" i="4" a="1"/>
  <c r="W79" i="4" s="1"/>
  <c r="X79" i="4" s="1"/>
  <c r="U79" i="4"/>
  <c r="V79" i="4" s="1"/>
  <c r="R79" i="4"/>
  <c r="AE78" i="4"/>
  <c r="Y78" i="4" a="1"/>
  <c r="Y78" i="4" s="1"/>
  <c r="Z78" i="4" s="1"/>
  <c r="W78" i="4" a="1"/>
  <c r="W78" i="4" s="1"/>
  <c r="X78" i="4" s="1"/>
  <c r="U78" i="4"/>
  <c r="V78" i="4" s="1"/>
  <c r="R78" i="4"/>
  <c r="AE77" i="4"/>
  <c r="Y77" i="4" a="1"/>
  <c r="Y77" i="4" s="1"/>
  <c r="Z77" i="4" s="1"/>
  <c r="W77" i="4" a="1"/>
  <c r="W77" i="4" s="1"/>
  <c r="X77" i="4" s="1"/>
  <c r="U77" i="4"/>
  <c r="V77" i="4" s="1"/>
  <c r="R77" i="4"/>
  <c r="AE76" i="4"/>
  <c r="Y76" i="4" a="1"/>
  <c r="Y76" i="4" s="1"/>
  <c r="Z76" i="4" s="1"/>
  <c r="W76" i="4" a="1"/>
  <c r="W76" i="4" s="1"/>
  <c r="X76" i="4" s="1"/>
  <c r="U76" i="4"/>
  <c r="V76" i="4" s="1"/>
  <c r="R76" i="4"/>
  <c r="AE75" i="4"/>
  <c r="Y75" i="4" a="1"/>
  <c r="Y75" i="4" s="1"/>
  <c r="Z75" i="4" s="1"/>
  <c r="W75" i="4" a="1"/>
  <c r="W75" i="4" s="1"/>
  <c r="X75" i="4" s="1"/>
  <c r="U75" i="4"/>
  <c r="V75" i="4" s="1"/>
  <c r="R75" i="4"/>
  <c r="AE74" i="4"/>
  <c r="Y74" i="4" a="1"/>
  <c r="Y74" i="4" s="1"/>
  <c r="Z74" i="4" s="1"/>
  <c r="W74" i="4" a="1"/>
  <c r="W74" i="4" s="1"/>
  <c r="X74" i="4" s="1"/>
  <c r="U74" i="4"/>
  <c r="V74" i="4" s="1"/>
  <c r="R74" i="4"/>
  <c r="AE73" i="4"/>
  <c r="Y73" i="4" a="1"/>
  <c r="Y73" i="4" s="1"/>
  <c r="Z73" i="4" s="1"/>
  <c r="W73" i="4" a="1"/>
  <c r="W73" i="4" s="1"/>
  <c r="X73" i="4" s="1"/>
  <c r="U73" i="4"/>
  <c r="V73" i="4" s="1"/>
  <c r="R73" i="4"/>
  <c r="AE72" i="4"/>
  <c r="Y72" i="4" a="1"/>
  <c r="Y72" i="4" s="1"/>
  <c r="Z72" i="4" s="1"/>
  <c r="W72" i="4" a="1"/>
  <c r="W72" i="4" s="1"/>
  <c r="X72" i="4" s="1"/>
  <c r="U72" i="4"/>
  <c r="V72" i="4" s="1"/>
  <c r="R72" i="4"/>
  <c r="AE71" i="4"/>
  <c r="Y71" i="4" a="1"/>
  <c r="Y71" i="4" s="1"/>
  <c r="Z71" i="4" s="1"/>
  <c r="W71" i="4" a="1"/>
  <c r="W71" i="4" s="1"/>
  <c r="X71" i="4" s="1"/>
  <c r="U71" i="4"/>
  <c r="V71" i="4" s="1"/>
  <c r="R71" i="4"/>
  <c r="AE70" i="4"/>
  <c r="Y70" i="4" a="1"/>
  <c r="Y70" i="4" s="1"/>
  <c r="Z70" i="4" s="1"/>
  <c r="W70" i="4" a="1"/>
  <c r="W70" i="4" s="1"/>
  <c r="X70" i="4" s="1"/>
  <c r="U70" i="4"/>
  <c r="V70" i="4" s="1"/>
  <c r="R70" i="4"/>
  <c r="AE69" i="4"/>
  <c r="Y69" i="4" a="1"/>
  <c r="Y69" i="4" s="1"/>
  <c r="Z69" i="4" s="1"/>
  <c r="W69" i="4" a="1"/>
  <c r="W69" i="4" s="1"/>
  <c r="X69" i="4" s="1"/>
  <c r="U69" i="4"/>
  <c r="V69" i="4" s="1"/>
  <c r="R69" i="4"/>
  <c r="AE68" i="4"/>
  <c r="Y68" i="4" a="1"/>
  <c r="Y68" i="4" s="1"/>
  <c r="Z68" i="4" s="1"/>
  <c r="W68" i="4" a="1"/>
  <c r="W68" i="4" s="1"/>
  <c r="X68" i="4" s="1"/>
  <c r="U68" i="4"/>
  <c r="V68" i="4" s="1"/>
  <c r="R68" i="4"/>
  <c r="AE67" i="4"/>
  <c r="Y67" i="4" a="1"/>
  <c r="Y67" i="4" s="1"/>
  <c r="Z67" i="4" s="1"/>
  <c r="W67" i="4" a="1"/>
  <c r="W67" i="4" s="1"/>
  <c r="X67" i="4" s="1"/>
  <c r="U67" i="4"/>
  <c r="V67" i="4" s="1"/>
  <c r="R67" i="4"/>
  <c r="AE66" i="4"/>
  <c r="Y66" i="4" a="1"/>
  <c r="Y66" i="4" s="1"/>
  <c r="Z66" i="4" s="1"/>
  <c r="W66" i="4" a="1"/>
  <c r="W66" i="4" s="1"/>
  <c r="X66" i="4" s="1"/>
  <c r="U66" i="4"/>
  <c r="V66" i="4" s="1"/>
  <c r="R66" i="4"/>
  <c r="AE65" i="4"/>
  <c r="Y65" i="4" a="1"/>
  <c r="Y65" i="4" s="1"/>
  <c r="Z65" i="4" s="1"/>
  <c r="W65" i="4" a="1"/>
  <c r="W65" i="4" s="1"/>
  <c r="X65" i="4" s="1"/>
  <c r="U65" i="4"/>
  <c r="V65" i="4" s="1"/>
  <c r="R65" i="4"/>
  <c r="AE64" i="4"/>
  <c r="Y64" i="4" a="1"/>
  <c r="Y64" i="4" s="1"/>
  <c r="Z64" i="4" s="1"/>
  <c r="W64" i="4" a="1"/>
  <c r="W64" i="4" s="1"/>
  <c r="X64" i="4" s="1"/>
  <c r="U64" i="4"/>
  <c r="V64" i="4" s="1"/>
  <c r="R64" i="4"/>
  <c r="AE63" i="4"/>
  <c r="Y63" i="4" a="1"/>
  <c r="Y63" i="4" s="1"/>
  <c r="Z63" i="4" s="1"/>
  <c r="W63" i="4" a="1"/>
  <c r="W63" i="4" s="1"/>
  <c r="X63" i="4" s="1"/>
  <c r="U63" i="4"/>
  <c r="V63" i="4" s="1"/>
  <c r="R63" i="4"/>
  <c r="AE62" i="4"/>
  <c r="Y62" i="4" a="1"/>
  <c r="Y62" i="4" s="1"/>
  <c r="Z62" i="4" s="1"/>
  <c r="W62" i="4" a="1"/>
  <c r="W62" i="4" s="1"/>
  <c r="X62" i="4" s="1"/>
  <c r="U62" i="4"/>
  <c r="V62" i="4" s="1"/>
  <c r="R62" i="4"/>
  <c r="AE61" i="4"/>
  <c r="Y61" i="4" a="1"/>
  <c r="Y61" i="4" s="1"/>
  <c r="Z61" i="4" s="1"/>
  <c r="W61" i="4" a="1"/>
  <c r="W61" i="4" s="1"/>
  <c r="X61" i="4" s="1"/>
  <c r="U61" i="4"/>
  <c r="V61" i="4" s="1"/>
  <c r="R61" i="4"/>
  <c r="AE60" i="4"/>
  <c r="Y60" i="4" a="1"/>
  <c r="Y60" i="4" s="1"/>
  <c r="Z60" i="4" s="1"/>
  <c r="W60" i="4" a="1"/>
  <c r="W60" i="4" s="1"/>
  <c r="X60" i="4" s="1"/>
  <c r="U60" i="4"/>
  <c r="V60" i="4" s="1"/>
  <c r="R60" i="4"/>
  <c r="AE59" i="4"/>
  <c r="Y59" i="4" a="1"/>
  <c r="Y59" i="4" s="1"/>
  <c r="Z59" i="4" s="1"/>
  <c r="W59" i="4" a="1"/>
  <c r="W59" i="4" s="1"/>
  <c r="X59" i="4" s="1"/>
  <c r="U59" i="4"/>
  <c r="V59" i="4" s="1"/>
  <c r="R59" i="4"/>
  <c r="AE58" i="4"/>
  <c r="Y58" i="4" a="1"/>
  <c r="Y58" i="4" s="1"/>
  <c r="Z58" i="4" s="1"/>
  <c r="W58" i="4" a="1"/>
  <c r="W58" i="4" s="1"/>
  <c r="X58" i="4" s="1"/>
  <c r="U58" i="4"/>
  <c r="V58" i="4" s="1"/>
  <c r="R58" i="4"/>
  <c r="AE57" i="4"/>
  <c r="Y57" i="4" a="1"/>
  <c r="Y57" i="4" s="1"/>
  <c r="Z57" i="4" s="1"/>
  <c r="W57" i="4" a="1"/>
  <c r="W57" i="4" s="1"/>
  <c r="X57" i="4" s="1"/>
  <c r="U57" i="4"/>
  <c r="V57" i="4" s="1"/>
  <c r="R57" i="4"/>
  <c r="AE56" i="4"/>
  <c r="Y56" i="4" a="1"/>
  <c r="Y56" i="4" s="1"/>
  <c r="Z56" i="4" s="1"/>
  <c r="W56" i="4" a="1"/>
  <c r="W56" i="4" s="1"/>
  <c r="X56" i="4" s="1"/>
  <c r="U56" i="4"/>
  <c r="V56" i="4" s="1"/>
  <c r="R56" i="4"/>
  <c r="AE55" i="4"/>
  <c r="Y55" i="4" a="1"/>
  <c r="Y55" i="4" s="1"/>
  <c r="Z55" i="4" s="1"/>
  <c r="W55" i="4" a="1"/>
  <c r="W55" i="4" s="1"/>
  <c r="X55" i="4" s="1"/>
  <c r="U55" i="4"/>
  <c r="V55" i="4" s="1"/>
  <c r="R55" i="4"/>
  <c r="AE54" i="4"/>
  <c r="Y54" i="4" a="1"/>
  <c r="Y54" i="4" s="1"/>
  <c r="Z54" i="4" s="1"/>
  <c r="W54" i="4" a="1"/>
  <c r="W54" i="4" s="1"/>
  <c r="X54" i="4" s="1"/>
  <c r="U54" i="4"/>
  <c r="V54" i="4" s="1"/>
  <c r="R54" i="4"/>
  <c r="AE53" i="4"/>
  <c r="Y53" i="4" a="1"/>
  <c r="Y53" i="4" s="1"/>
  <c r="Z53" i="4" s="1"/>
  <c r="W53" i="4" a="1"/>
  <c r="W53" i="4" s="1"/>
  <c r="X53" i="4" s="1"/>
  <c r="U53" i="4"/>
  <c r="V53" i="4" s="1"/>
  <c r="R53" i="4"/>
  <c r="AE52" i="4"/>
  <c r="Y52" i="4" a="1"/>
  <c r="Y52" i="4" s="1"/>
  <c r="Z52" i="4" s="1"/>
  <c r="W52" i="4" a="1"/>
  <c r="W52" i="4" s="1"/>
  <c r="X52" i="4" s="1"/>
  <c r="U52" i="4"/>
  <c r="V52" i="4" s="1"/>
  <c r="R52" i="4"/>
  <c r="AE51" i="4"/>
  <c r="Y51" i="4" a="1"/>
  <c r="Y51" i="4" s="1"/>
  <c r="Z51" i="4" s="1"/>
  <c r="W51" i="4" a="1"/>
  <c r="W51" i="4" s="1"/>
  <c r="X51" i="4" s="1"/>
  <c r="U51" i="4"/>
  <c r="V51" i="4" s="1"/>
  <c r="R51" i="4"/>
  <c r="AE50" i="4"/>
  <c r="Y50" i="4" a="1"/>
  <c r="Y50" i="4" s="1"/>
  <c r="Z50" i="4" s="1"/>
  <c r="W50" i="4" a="1"/>
  <c r="W50" i="4" s="1"/>
  <c r="X50" i="4" s="1"/>
  <c r="U50" i="4"/>
  <c r="V50" i="4" s="1"/>
  <c r="R50" i="4"/>
  <c r="AE49" i="4"/>
  <c r="Y49" i="4" a="1"/>
  <c r="Y49" i="4" s="1"/>
  <c r="Z49" i="4" s="1"/>
  <c r="W49" i="4" a="1"/>
  <c r="W49" i="4" s="1"/>
  <c r="X49" i="4" s="1"/>
  <c r="U49" i="4"/>
  <c r="V49" i="4" s="1"/>
  <c r="R49" i="4"/>
  <c r="AE48" i="4"/>
  <c r="Y48" i="4" a="1"/>
  <c r="Y48" i="4" s="1"/>
  <c r="Z48" i="4" s="1"/>
  <c r="W48" i="4" a="1"/>
  <c r="W48" i="4" s="1"/>
  <c r="X48" i="4" s="1"/>
  <c r="U48" i="4"/>
  <c r="V48" i="4" s="1"/>
  <c r="R48" i="4"/>
  <c r="AE47" i="4"/>
  <c r="Y47" i="4" a="1"/>
  <c r="Y47" i="4" s="1"/>
  <c r="Z47" i="4" s="1"/>
  <c r="W47" i="4" a="1"/>
  <c r="W47" i="4" s="1"/>
  <c r="X47" i="4" s="1"/>
  <c r="U47" i="4"/>
  <c r="V47" i="4" s="1"/>
  <c r="R47" i="4"/>
  <c r="AE46" i="4"/>
  <c r="Y46" i="4" a="1"/>
  <c r="Y46" i="4" s="1"/>
  <c r="Z46" i="4" s="1"/>
  <c r="W46" i="4" a="1"/>
  <c r="W46" i="4" s="1"/>
  <c r="X46" i="4" s="1"/>
  <c r="U46" i="4"/>
  <c r="V46" i="4" s="1"/>
  <c r="R46" i="4"/>
  <c r="AE45" i="4"/>
  <c r="Y45" i="4" a="1"/>
  <c r="Y45" i="4" s="1"/>
  <c r="Z45" i="4" s="1"/>
  <c r="W45" i="4" a="1"/>
  <c r="W45" i="4" s="1"/>
  <c r="X45" i="4" s="1"/>
  <c r="U45" i="4"/>
  <c r="V45" i="4" s="1"/>
  <c r="R45" i="4"/>
  <c r="AE44" i="4"/>
  <c r="Y44" i="4" a="1"/>
  <c r="Y44" i="4" s="1"/>
  <c r="Z44" i="4" s="1"/>
  <c r="W44" i="4" a="1"/>
  <c r="W44" i="4" s="1"/>
  <c r="X44" i="4" s="1"/>
  <c r="U44" i="4"/>
  <c r="V44" i="4" s="1"/>
  <c r="R44" i="4"/>
  <c r="AE43" i="4"/>
  <c r="Y43" i="4" a="1"/>
  <c r="Y43" i="4" s="1"/>
  <c r="Z43" i="4" s="1"/>
  <c r="W43" i="4" a="1"/>
  <c r="W43" i="4" s="1"/>
  <c r="X43" i="4" s="1"/>
  <c r="U43" i="4"/>
  <c r="V43" i="4" s="1"/>
  <c r="R43" i="4"/>
  <c r="AE42" i="4"/>
  <c r="Y42" i="4" a="1"/>
  <c r="Y42" i="4" s="1"/>
  <c r="Z42" i="4" s="1"/>
  <c r="W42" i="4" a="1"/>
  <c r="W42" i="4" s="1"/>
  <c r="X42" i="4" s="1"/>
  <c r="U42" i="4"/>
  <c r="V42" i="4" s="1"/>
  <c r="R42" i="4"/>
  <c r="AE41" i="4"/>
  <c r="Y41" i="4" a="1"/>
  <c r="Y41" i="4" s="1"/>
  <c r="Z41" i="4" s="1"/>
  <c r="W41" i="4" a="1"/>
  <c r="W41" i="4" s="1"/>
  <c r="X41" i="4" s="1"/>
  <c r="U41" i="4"/>
  <c r="V41" i="4" s="1"/>
  <c r="R41" i="4"/>
  <c r="AE40" i="4"/>
  <c r="Y40" i="4" a="1"/>
  <c r="Y40" i="4" s="1"/>
  <c r="Z40" i="4" s="1"/>
  <c r="W40" i="4" a="1"/>
  <c r="W40" i="4" s="1"/>
  <c r="X40" i="4" s="1"/>
  <c r="U40" i="4"/>
  <c r="V40" i="4" s="1"/>
  <c r="R40" i="4"/>
  <c r="AE39" i="4"/>
  <c r="Y39" i="4" a="1"/>
  <c r="Y39" i="4" s="1"/>
  <c r="Z39" i="4" s="1"/>
  <c r="W39" i="4" a="1"/>
  <c r="W39" i="4" s="1"/>
  <c r="X39" i="4" s="1"/>
  <c r="U39" i="4"/>
  <c r="V39" i="4" s="1"/>
  <c r="R39" i="4"/>
  <c r="AE38" i="4"/>
  <c r="Y38" i="4" a="1"/>
  <c r="Y38" i="4" s="1"/>
  <c r="Z38" i="4" s="1"/>
  <c r="W38" i="4" a="1"/>
  <c r="W38" i="4" s="1"/>
  <c r="X38" i="4" s="1"/>
  <c r="U38" i="4"/>
  <c r="V38" i="4" s="1"/>
  <c r="R38" i="4"/>
  <c r="AE37" i="4"/>
  <c r="Y37" i="4" a="1"/>
  <c r="Y37" i="4" s="1"/>
  <c r="Z37" i="4" s="1"/>
  <c r="W37" i="4" a="1"/>
  <c r="W37" i="4" s="1"/>
  <c r="X37" i="4" s="1"/>
  <c r="U37" i="4"/>
  <c r="V37" i="4" s="1"/>
  <c r="R37" i="4"/>
  <c r="AE36" i="4"/>
  <c r="Y36" i="4" a="1"/>
  <c r="Y36" i="4" s="1"/>
  <c r="Z36" i="4" s="1"/>
  <c r="W36" i="4" a="1"/>
  <c r="W36" i="4" s="1"/>
  <c r="X36" i="4" s="1"/>
  <c r="U36" i="4"/>
  <c r="V36" i="4" s="1"/>
  <c r="R36" i="4"/>
  <c r="AE35" i="4"/>
  <c r="Y35" i="4" a="1"/>
  <c r="Y35" i="4" s="1"/>
  <c r="Z35" i="4" s="1"/>
  <c r="W35" i="4" a="1"/>
  <c r="W35" i="4" s="1"/>
  <c r="X35" i="4" s="1"/>
  <c r="U35" i="4"/>
  <c r="V35" i="4" s="1"/>
  <c r="R35" i="4"/>
  <c r="AE34" i="4"/>
  <c r="Y34" i="4" a="1"/>
  <c r="Y34" i="4" s="1"/>
  <c r="Z34" i="4" s="1"/>
  <c r="W34" i="4" a="1"/>
  <c r="W34" i="4" s="1"/>
  <c r="X34" i="4" s="1"/>
  <c r="U34" i="4"/>
  <c r="V34" i="4" s="1"/>
  <c r="R34" i="4"/>
  <c r="AE33" i="4"/>
  <c r="Y33" i="4" a="1"/>
  <c r="Y33" i="4" s="1"/>
  <c r="Z33" i="4" s="1"/>
  <c r="W33" i="4" a="1"/>
  <c r="W33" i="4" s="1"/>
  <c r="X33" i="4" s="1"/>
  <c r="U33" i="4"/>
  <c r="V33" i="4" s="1"/>
  <c r="R33" i="4"/>
  <c r="AE32" i="4"/>
  <c r="Y32" i="4" a="1"/>
  <c r="Y32" i="4" s="1"/>
  <c r="Z32" i="4" s="1"/>
  <c r="W32" i="4" a="1"/>
  <c r="W32" i="4" s="1"/>
  <c r="X32" i="4" s="1"/>
  <c r="U32" i="4"/>
  <c r="V32" i="4" s="1"/>
  <c r="R32" i="4"/>
  <c r="AE31" i="4"/>
  <c r="Y31" i="4" a="1"/>
  <c r="Y31" i="4" s="1"/>
  <c r="Z31" i="4" s="1"/>
  <c r="W31" i="4" a="1"/>
  <c r="W31" i="4" s="1"/>
  <c r="X31" i="4" s="1"/>
  <c r="U31" i="4"/>
  <c r="V31" i="4" s="1"/>
  <c r="R31" i="4"/>
  <c r="AE30" i="4"/>
  <c r="Y30" i="4" a="1"/>
  <c r="Y30" i="4" s="1"/>
  <c r="Z30" i="4" s="1"/>
  <c r="W30" i="4" a="1"/>
  <c r="W30" i="4" s="1"/>
  <c r="X30" i="4" s="1"/>
  <c r="U30" i="4"/>
  <c r="V30" i="4" s="1"/>
  <c r="R30" i="4"/>
  <c r="AE29" i="4"/>
  <c r="Y29" i="4" a="1"/>
  <c r="Y29" i="4" s="1"/>
  <c r="Z29" i="4" s="1"/>
  <c r="W29" i="4" a="1"/>
  <c r="W29" i="4" s="1"/>
  <c r="X29" i="4" s="1"/>
  <c r="U29" i="4"/>
  <c r="V29" i="4" s="1"/>
  <c r="R29" i="4"/>
  <c r="AE28" i="4"/>
  <c r="Y28" i="4" a="1"/>
  <c r="Y28" i="4" s="1"/>
  <c r="Z28" i="4" s="1"/>
  <c r="W28" i="4" a="1"/>
  <c r="W28" i="4" s="1"/>
  <c r="X28" i="4" s="1"/>
  <c r="U28" i="4"/>
  <c r="V28" i="4" s="1"/>
  <c r="R28" i="4"/>
  <c r="AE27" i="4"/>
  <c r="Y27" i="4" a="1"/>
  <c r="Y27" i="4" s="1"/>
  <c r="Z27" i="4" s="1"/>
  <c r="W27" i="4" a="1"/>
  <c r="W27" i="4" s="1"/>
  <c r="X27" i="4" s="1"/>
  <c r="U27" i="4"/>
  <c r="V27" i="4" s="1"/>
  <c r="R27" i="4"/>
  <c r="AE26" i="4"/>
  <c r="Y26" i="4" a="1"/>
  <c r="Y26" i="4" s="1"/>
  <c r="Z26" i="4" s="1"/>
  <c r="W26" i="4" a="1"/>
  <c r="W26" i="4" s="1"/>
  <c r="X26" i="4" s="1"/>
  <c r="U26" i="4"/>
  <c r="V26" i="4" s="1"/>
  <c r="R26" i="4"/>
  <c r="AE25" i="4"/>
  <c r="Y25" i="4" a="1"/>
  <c r="Y25" i="4" s="1"/>
  <c r="Z25" i="4" s="1"/>
  <c r="W25" i="4" a="1"/>
  <c r="W25" i="4" s="1"/>
  <c r="X25" i="4" s="1"/>
  <c r="U25" i="4"/>
  <c r="V25" i="4" s="1"/>
  <c r="R25" i="4"/>
  <c r="AE24" i="4"/>
  <c r="Y24" i="4" a="1"/>
  <c r="Y24" i="4" s="1"/>
  <c r="Z24" i="4" s="1"/>
  <c r="W24" i="4" a="1"/>
  <c r="W24" i="4" s="1"/>
  <c r="X24" i="4" s="1"/>
  <c r="U24" i="4"/>
  <c r="V24" i="4" s="1"/>
  <c r="R24" i="4"/>
  <c r="AE23" i="4"/>
  <c r="Y23" i="4" a="1"/>
  <c r="Y23" i="4" s="1"/>
  <c r="Z23" i="4" s="1"/>
  <c r="W23" i="4" a="1"/>
  <c r="W23" i="4" s="1"/>
  <c r="X23" i="4" s="1"/>
  <c r="U23" i="4"/>
  <c r="V23" i="4" s="1"/>
  <c r="R23" i="4"/>
  <c r="AE22" i="4"/>
  <c r="Y22" i="4" a="1"/>
  <c r="Y22" i="4" s="1"/>
  <c r="Z22" i="4" s="1"/>
  <c r="W22" i="4" a="1"/>
  <c r="W22" i="4" s="1"/>
  <c r="X22" i="4" s="1"/>
  <c r="U22" i="4"/>
  <c r="V22" i="4" s="1"/>
  <c r="R22" i="4"/>
  <c r="AE21" i="4"/>
  <c r="Y21" i="4" a="1"/>
  <c r="Y21" i="4" s="1"/>
  <c r="Z21" i="4" s="1"/>
  <c r="W21" i="4" a="1"/>
  <c r="W21" i="4" s="1"/>
  <c r="X21" i="4" s="1"/>
  <c r="U21" i="4"/>
  <c r="V21" i="4" s="1"/>
  <c r="R21" i="4"/>
  <c r="AE20" i="4"/>
  <c r="Y20" i="4" a="1"/>
  <c r="Y20" i="4" s="1"/>
  <c r="Z20" i="4" s="1"/>
  <c r="W20" i="4" a="1"/>
  <c r="W20" i="4" s="1"/>
  <c r="X20" i="4" s="1"/>
  <c r="U20" i="4"/>
  <c r="V20" i="4" s="1"/>
  <c r="R20" i="4"/>
  <c r="AE19" i="4"/>
  <c r="Y19" i="4" a="1"/>
  <c r="Y19" i="4" s="1"/>
  <c r="Z19" i="4" s="1"/>
  <c r="W19" i="4" a="1"/>
  <c r="W19" i="4" s="1"/>
  <c r="X19" i="4" s="1"/>
  <c r="U19" i="4"/>
  <c r="V19" i="4" s="1"/>
  <c r="R19" i="4"/>
  <c r="AE18" i="4"/>
  <c r="Y18" i="4" a="1"/>
  <c r="Y18" i="4" s="1"/>
  <c r="Z18" i="4" s="1"/>
  <c r="W18" i="4" a="1"/>
  <c r="W18" i="4" s="1"/>
  <c r="X18" i="4" s="1"/>
  <c r="U18" i="4"/>
  <c r="V18" i="4" s="1"/>
  <c r="R18" i="4"/>
  <c r="AE17" i="4"/>
  <c r="Y17" i="4" a="1"/>
  <c r="Y17" i="4" s="1"/>
  <c r="Z17" i="4" s="1"/>
  <c r="W17" i="4" a="1"/>
  <c r="W17" i="4" s="1"/>
  <c r="X17" i="4" s="1"/>
  <c r="U17" i="4"/>
  <c r="V17" i="4" s="1"/>
  <c r="R17" i="4"/>
  <c r="AE16" i="4"/>
  <c r="Y16" i="4" a="1"/>
  <c r="Y16" i="4" s="1"/>
  <c r="Z16" i="4" s="1"/>
  <c r="W16" i="4" a="1"/>
  <c r="W16" i="4" s="1"/>
  <c r="X16" i="4" s="1"/>
  <c r="U16" i="4"/>
  <c r="V16" i="4" s="1"/>
  <c r="R16" i="4"/>
  <c r="AE15" i="4"/>
  <c r="Y15" i="4" a="1"/>
  <c r="Y15" i="4" s="1"/>
  <c r="Z15" i="4" s="1"/>
  <c r="W15" i="4" a="1"/>
  <c r="W15" i="4" s="1"/>
  <c r="X15" i="4" s="1"/>
  <c r="U15" i="4"/>
  <c r="V15" i="4" s="1"/>
  <c r="R15" i="4"/>
  <c r="AE14" i="4"/>
  <c r="Y14" i="4" a="1"/>
  <c r="Y14" i="4" s="1"/>
  <c r="Z14" i="4" s="1"/>
  <c r="W14" i="4" a="1"/>
  <c r="W14" i="4" s="1"/>
  <c r="X14" i="4" s="1"/>
  <c r="U14" i="4"/>
  <c r="V14" i="4" s="1"/>
  <c r="R14" i="4"/>
  <c r="AE13" i="4"/>
  <c r="Y13" i="4" a="1"/>
  <c r="Y13" i="4" s="1"/>
  <c r="Z13" i="4" s="1"/>
  <c r="W13" i="4" a="1"/>
  <c r="W13" i="4" s="1"/>
  <c r="X13" i="4" s="1"/>
  <c r="U13" i="4"/>
  <c r="V13" i="4" s="1"/>
  <c r="R13" i="4"/>
  <c r="AE12" i="4"/>
  <c r="Y12" i="4" a="1"/>
  <c r="Y12" i="4" s="1"/>
  <c r="Z12" i="4" s="1"/>
  <c r="W12" i="4" a="1"/>
  <c r="W12" i="4" s="1"/>
  <c r="X12" i="4" s="1"/>
  <c r="U12" i="4"/>
  <c r="V12" i="4" s="1"/>
  <c r="R12" i="4"/>
  <c r="AE11" i="4"/>
  <c r="Y11" i="4" a="1"/>
  <c r="Y11" i="4" s="1"/>
  <c r="Z11" i="4" s="1"/>
  <c r="W11" i="4" a="1"/>
  <c r="W11" i="4" s="1"/>
  <c r="X11" i="4" s="1"/>
  <c r="U11" i="4"/>
  <c r="V11" i="4" s="1"/>
  <c r="R11" i="4"/>
  <c r="AE10" i="4"/>
  <c r="Y10" i="4" a="1"/>
  <c r="Y10" i="4" s="1"/>
  <c r="Z10" i="4" s="1"/>
  <c r="W10" i="4" a="1"/>
  <c r="W10" i="4" s="1"/>
  <c r="X10" i="4" s="1"/>
  <c r="U10" i="4"/>
  <c r="V10" i="4" s="1"/>
  <c r="R10" i="4"/>
  <c r="AE9" i="4"/>
  <c r="Y9" i="4" a="1"/>
  <c r="Y9" i="4" s="1"/>
  <c r="Z9" i="4" s="1"/>
  <c r="W9" i="4" a="1"/>
  <c r="W9" i="4" s="1"/>
  <c r="X9" i="4" s="1"/>
  <c r="U9" i="4"/>
  <c r="V9" i="4" s="1"/>
  <c r="R9" i="4"/>
  <c r="AE8" i="4"/>
  <c r="Y8" i="4" a="1"/>
  <c r="Y8" i="4" s="1"/>
  <c r="Z8" i="4" s="1"/>
  <c r="W8" i="4" a="1"/>
  <c r="W8" i="4" s="1"/>
  <c r="X8" i="4" s="1"/>
  <c r="U8" i="4"/>
  <c r="V8" i="4" s="1"/>
  <c r="R8" i="4"/>
  <c r="AE7" i="4"/>
  <c r="Y7" i="4" a="1"/>
  <c r="Y7" i="4" s="1"/>
  <c r="Z7" i="4" s="1"/>
  <c r="W7" i="4" a="1"/>
  <c r="W7" i="4" s="1"/>
  <c r="X7" i="4" s="1"/>
  <c r="U7" i="4"/>
  <c r="V7" i="4" s="1"/>
  <c r="R7" i="4"/>
  <c r="AE6" i="4"/>
  <c r="Y6" i="4" a="1"/>
  <c r="Y6" i="4" s="1"/>
  <c r="Z6" i="4" s="1"/>
  <c r="W6" i="4" a="1"/>
  <c r="W6" i="4" s="1"/>
  <c r="X6" i="4" s="1"/>
  <c r="U6" i="4"/>
  <c r="V6" i="4" s="1"/>
  <c r="R6" i="4"/>
  <c r="AE5" i="4"/>
  <c r="Y5" i="4" a="1"/>
  <c r="Y5" i="4" s="1"/>
  <c r="Z5" i="4" s="1"/>
  <c r="W5" i="4" a="1"/>
  <c r="W5" i="4" s="1"/>
  <c r="X5" i="4" s="1"/>
  <c r="U5" i="4"/>
  <c r="V5" i="4" s="1"/>
  <c r="R5" i="4"/>
  <c r="AE4" i="4"/>
  <c r="Y4" i="4" a="1"/>
  <c r="Y4" i="4" s="1"/>
  <c r="Z4" i="4" s="1"/>
  <c r="W4" i="4" a="1"/>
  <c r="W4" i="4" s="1"/>
  <c r="X4" i="4" s="1"/>
  <c r="U4" i="4"/>
  <c r="R4" i="4"/>
  <c r="AE3" i="4"/>
  <c r="Y3" i="4" a="1"/>
  <c r="Y3" i="4" s="1"/>
  <c r="W3" i="4" a="1"/>
  <c r="W3" i="4" s="1"/>
  <c r="X3" i="4" s="1"/>
  <c r="U3" i="4"/>
  <c r="V3" i="4" s="1"/>
  <c r="R3" i="4"/>
  <c r="AE2" i="4"/>
  <c r="Y2" i="4" a="1"/>
  <c r="Y2" i="4" s="1"/>
  <c r="Z2" i="4" s="1"/>
  <c r="W2" i="4" a="1"/>
  <c r="W2" i="4" s="1"/>
  <c r="U2" i="4"/>
  <c r="V2" i="4" s="1"/>
  <c r="R2" i="4"/>
  <c r="H7" i="11" a="1"/>
  <c r="I3" i="11"/>
  <c r="B45" i="17"/>
  <c r="B44" i="17"/>
  <c r="B43" i="17"/>
  <c r="B42" i="17"/>
  <c r="B9" i="18" a="1"/>
  <c r="B9" i="18" s="1"/>
  <c r="B8" i="18"/>
  <c r="G4" i="18" s="1"/>
  <c r="K7" i="32" l="1"/>
  <c r="L101" i="18"/>
  <c r="L110" i="18"/>
  <c r="L109" i="18"/>
  <c r="L108" i="18"/>
  <c r="L106" i="18"/>
  <c r="L107" i="18"/>
  <c r="L103" i="18"/>
  <c r="L113" i="18"/>
  <c r="L112" i="18"/>
  <c r="L104" i="18"/>
  <c r="L105" i="18"/>
  <c r="L100" i="18"/>
  <c r="L102" i="18"/>
  <c r="L111" i="18"/>
  <c r="H49" i="32"/>
  <c r="L49" i="32" s="1"/>
  <c r="G8" i="30"/>
  <c r="K49" i="32"/>
  <c r="I8" i="30"/>
  <c r="H38" i="32"/>
  <c r="L38" i="32" s="1"/>
  <c r="B10" i="30"/>
  <c r="B11" i="30" s="1"/>
  <c r="I11" i="30"/>
  <c r="K8" i="32"/>
  <c r="I12" i="30"/>
  <c r="K9" i="32"/>
  <c r="I13" i="30"/>
  <c r="K10" i="32"/>
  <c r="I14" i="30"/>
  <c r="K11" i="32"/>
  <c r="I15" i="30"/>
  <c r="K12" i="32"/>
  <c r="I16" i="30"/>
  <c r="K13" i="32"/>
  <c r="I17" i="30"/>
  <c r="K14" i="32"/>
  <c r="I18" i="30"/>
  <c r="K15" i="32"/>
  <c r="I19" i="30"/>
  <c r="K16" i="32"/>
  <c r="I20" i="30"/>
  <c r="K17" i="32"/>
  <c r="I21" i="30"/>
  <c r="K19" i="32"/>
  <c r="I9" i="30"/>
  <c r="K21" i="32"/>
  <c r="I10" i="30"/>
  <c r="H7" i="32"/>
  <c r="L7" i="32" s="1"/>
  <c r="G11" i="30"/>
  <c r="H11" i="30" s="1"/>
  <c r="J11" i="30" s="1"/>
  <c r="H4" i="32"/>
  <c r="L4" i="32" s="1"/>
  <c r="G9" i="30"/>
  <c r="H9" i="30" s="1"/>
  <c r="J9" i="30" s="1"/>
  <c r="H6" i="32"/>
  <c r="L6" i="32" s="1"/>
  <c r="G10" i="30"/>
  <c r="H10" i="30" s="1"/>
  <c r="J10" i="30" s="1"/>
  <c r="H8" i="32"/>
  <c r="L8" i="32" s="1"/>
  <c r="G12" i="30"/>
  <c r="H12" i="30" s="1"/>
  <c r="J12" i="30" s="1"/>
  <c r="H9" i="32"/>
  <c r="L9" i="32" s="1"/>
  <c r="G13" i="30"/>
  <c r="H13" i="30" s="1"/>
  <c r="J13" i="30" s="1"/>
  <c r="H10" i="32"/>
  <c r="L10" i="32" s="1"/>
  <c r="G14" i="30"/>
  <c r="H14" i="30" s="1"/>
  <c r="J14" i="30" s="1"/>
  <c r="H11" i="32"/>
  <c r="L11" i="32" s="1"/>
  <c r="G15" i="30"/>
  <c r="H15" i="30" s="1"/>
  <c r="H12" i="32"/>
  <c r="L12" i="32" s="1"/>
  <c r="G16" i="30"/>
  <c r="H16" i="30" s="1"/>
  <c r="J16" i="30" s="1"/>
  <c r="H13" i="32"/>
  <c r="L13" i="32" s="1"/>
  <c r="G17" i="30"/>
  <c r="H17" i="30" s="1"/>
  <c r="J17" i="30" s="1"/>
  <c r="H14" i="32"/>
  <c r="L14" i="32" s="1"/>
  <c r="G18" i="30"/>
  <c r="H18" i="30" s="1"/>
  <c r="J18" i="30" s="1"/>
  <c r="H15" i="32"/>
  <c r="L15" i="32" s="1"/>
  <c r="G19" i="30"/>
  <c r="H19" i="30" s="1"/>
  <c r="J19" i="30" s="1"/>
  <c r="H16" i="32"/>
  <c r="L16" i="32" s="1"/>
  <c r="G20" i="30"/>
  <c r="H20" i="30" s="1"/>
  <c r="J20" i="30" s="1"/>
  <c r="H17" i="32"/>
  <c r="L17" i="32" s="1"/>
  <c r="G21" i="30"/>
  <c r="H21" i="30" s="1"/>
  <c r="J21" i="30" s="1"/>
  <c r="V4" i="4"/>
  <c r="B10" i="18" a="1"/>
  <c r="B10" i="18" s="1"/>
  <c r="B11" i="18" a="1"/>
  <c r="B11" i="18" s="1"/>
  <c r="Z3" i="4"/>
  <c r="E10" i="18"/>
  <c r="F10" i="18" s="1"/>
  <c r="E8" i="18"/>
  <c r="F8" i="18" s="1"/>
  <c r="E11" i="18"/>
  <c r="F11" i="18" s="1"/>
  <c r="E9" i="18"/>
  <c r="F9" i="18" s="1"/>
  <c r="Q16" i="11"/>
  <c r="Q23" i="11"/>
  <c r="Q38" i="11"/>
  <c r="Q19" i="11"/>
  <c r="Q10" i="11"/>
  <c r="Q18" i="11"/>
  <c r="Q25" i="11"/>
  <c r="Q30" i="11"/>
  <c r="Q34" i="11"/>
  <c r="Q46" i="11"/>
  <c r="Q7" i="11"/>
  <c r="Q11" i="11"/>
  <c r="Q15" i="11"/>
  <c r="Q22" i="11"/>
  <c r="Q31" i="11"/>
  <c r="Q37" i="11"/>
  <c r="Q40" i="11"/>
  <c r="Q14" i="11"/>
  <c r="Q17" i="11"/>
  <c r="Q21" i="11"/>
  <c r="Q28" i="11"/>
  <c r="Q33" i="11"/>
  <c r="Q39" i="11"/>
  <c r="Q42" i="11"/>
  <c r="Q9" i="11"/>
  <c r="Q13" i="11"/>
  <c r="Q24" i="11"/>
  <c r="Q29" i="11"/>
  <c r="Q35" i="11"/>
  <c r="Q41" i="11"/>
  <c r="Q8" i="11"/>
  <c r="Q12" i="11"/>
  <c r="Q26" i="11"/>
  <c r="Q36" i="11"/>
  <c r="Q44" i="11"/>
  <c r="Q45" i="11"/>
  <c r="Q20" i="11"/>
  <c r="Q27" i="11"/>
  <c r="Q32" i="11"/>
  <c r="Q43" i="11"/>
  <c r="X2" i="4"/>
  <c r="F22" i="30"/>
  <c r="B15" i="30"/>
  <c r="E22" i="30"/>
  <c r="H7" i="11"/>
  <c r="I7" i="11" s="1" a="1"/>
  <c r="I7" i="11" s="1"/>
  <c r="B12" i="18"/>
  <c r="F127" i="18"/>
  <c r="B129" i="18"/>
  <c r="B128" i="18"/>
  <c r="B127" i="18"/>
  <c r="K3" i="32"/>
  <c r="R7" i="11" l="1"/>
  <c r="I22" i="30"/>
  <c r="H8" i="30"/>
  <c r="G22" i="30"/>
  <c r="H22" i="30" s="1"/>
  <c r="I26" i="30"/>
  <c r="J26" i="30" s="1"/>
  <c r="B13" i="30"/>
  <c r="D30" i="30"/>
  <c r="B14" i="30"/>
  <c r="C30" i="30"/>
  <c r="E30" i="30"/>
  <c r="C29" i="30"/>
  <c r="D29" i="30"/>
  <c r="E29" i="30"/>
  <c r="J15" i="30"/>
  <c r="E35" i="30" a="1"/>
  <c r="E35" i="30" s="1"/>
  <c r="R38" i="11"/>
  <c r="R19" i="11"/>
  <c r="R10" i="11"/>
  <c r="R34" i="11"/>
  <c r="R11" i="11"/>
  <c r="R15" i="11"/>
  <c r="R22" i="11"/>
  <c r="R31" i="11"/>
  <c r="R37" i="11"/>
  <c r="R40" i="11"/>
  <c r="R14" i="11"/>
  <c r="R17" i="11"/>
  <c r="R21" i="11"/>
  <c r="R9" i="11"/>
  <c r="R36" i="11"/>
  <c r="R28" i="11"/>
  <c r="R33" i="11"/>
  <c r="R39" i="11"/>
  <c r="R42" i="11"/>
  <c r="R13" i="11"/>
  <c r="R24" i="11"/>
  <c r="R29" i="11"/>
  <c r="R35" i="11"/>
  <c r="R41" i="11"/>
  <c r="R8" i="11"/>
  <c r="R12" i="11"/>
  <c r="R26" i="11"/>
  <c r="R44" i="11"/>
  <c r="R45" i="11"/>
  <c r="R20" i="11"/>
  <c r="R27" i="11"/>
  <c r="R32" i="11"/>
  <c r="R43" i="11"/>
  <c r="R25" i="11"/>
  <c r="R16" i="11"/>
  <c r="R23" i="11"/>
  <c r="R18" i="11"/>
  <c r="R30" i="11"/>
  <c r="R46" i="11"/>
  <c r="I9" i="18"/>
  <c r="J9" i="18" s="1"/>
  <c r="I8" i="18"/>
  <c r="J8" i="18" s="1"/>
  <c r="I10" i="18"/>
  <c r="J10" i="18" s="1"/>
  <c r="I11" i="18"/>
  <c r="J11" i="18" s="1"/>
  <c r="M14" i="11"/>
  <c r="M12" i="11"/>
  <c r="M13" i="11"/>
  <c r="M19" i="11"/>
  <c r="M8" i="11"/>
  <c r="M15" i="11"/>
  <c r="M7" i="11"/>
  <c r="M9" i="11"/>
  <c r="M17" i="11"/>
  <c r="M18" i="11"/>
  <c r="M20" i="11"/>
  <c r="M11" i="11"/>
  <c r="M16" i="11"/>
  <c r="M10" i="11"/>
  <c r="A35" i="30"/>
  <c r="E36" i="30" a="1"/>
  <c r="E36" i="30" s="1"/>
  <c r="F37" i="30" a="1"/>
  <c r="F37" i="30" s="1"/>
  <c r="C35" i="30"/>
  <c r="A36" i="30"/>
  <c r="B36" i="30"/>
  <c r="C36" i="30"/>
  <c r="F35" i="30" a="1"/>
  <c r="F35" i="30" s="1"/>
  <c r="J7" i="11" a="1"/>
  <c r="J7" i="11" s="1"/>
  <c r="B44" i="18" s="1"/>
  <c r="I44" i="18" s="1" a="1"/>
  <c r="I44" i="18" s="1"/>
  <c r="F129" i="18"/>
  <c r="F130" i="18" s="1"/>
  <c r="F128" i="18"/>
  <c r="F131" i="18" s="1"/>
  <c r="D113" i="18"/>
  <c r="F113" i="18"/>
  <c r="B113" i="18"/>
  <c r="C113" i="18"/>
  <c r="D112" i="18"/>
  <c r="F112" i="18"/>
  <c r="B112" i="18"/>
  <c r="C112" i="18"/>
  <c r="D111" i="18"/>
  <c r="F111" i="18"/>
  <c r="B111" i="18"/>
  <c r="C111" i="18"/>
  <c r="D110" i="18"/>
  <c r="F110" i="18"/>
  <c r="B110" i="18"/>
  <c r="C110" i="18"/>
  <c r="D109" i="18"/>
  <c r="F109" i="18"/>
  <c r="B109" i="18"/>
  <c r="C109" i="18"/>
  <c r="D108" i="18"/>
  <c r="F108" i="18"/>
  <c r="B108" i="18"/>
  <c r="C108" i="18"/>
  <c r="D107" i="18"/>
  <c r="F107" i="18"/>
  <c r="B107" i="18"/>
  <c r="C107" i="18"/>
  <c r="D106" i="18"/>
  <c r="F106" i="18"/>
  <c r="B106" i="18"/>
  <c r="C106" i="18"/>
  <c r="D105" i="18"/>
  <c r="F105" i="18"/>
  <c r="B105" i="18"/>
  <c r="C105" i="18"/>
  <c r="D104" i="18"/>
  <c r="F104" i="18"/>
  <c r="B104" i="18"/>
  <c r="C104" i="18"/>
  <c r="D103" i="18"/>
  <c r="F103" i="18"/>
  <c r="B103" i="18"/>
  <c r="C103" i="18"/>
  <c r="D102" i="18"/>
  <c r="F102" i="18"/>
  <c r="B102" i="18"/>
  <c r="C102" i="18"/>
  <c r="D101" i="18"/>
  <c r="F101" i="18"/>
  <c r="B101" i="18"/>
  <c r="C101" i="18"/>
  <c r="D100" i="18"/>
  <c r="F100" i="18"/>
  <c r="B100" i="18"/>
  <c r="C100" i="18"/>
  <c r="B130" i="18"/>
  <c r="B132" i="18"/>
  <c r="B131" i="18"/>
  <c r="N25" i="18" l="1"/>
  <c r="O25" i="18" s="1"/>
  <c r="M26" i="18"/>
  <c r="L21" i="18"/>
  <c r="N20" i="18"/>
  <c r="O20" i="18" s="1"/>
  <c r="N27" i="18"/>
  <c r="O27" i="18" s="1"/>
  <c r="M24" i="18"/>
  <c r="M20" i="18"/>
  <c r="M27" i="18"/>
  <c r="M22" i="18"/>
  <c r="L19" i="18"/>
  <c r="L25" i="18"/>
  <c r="M23" i="18"/>
  <c r="N22" i="18"/>
  <c r="O22" i="18" s="1"/>
  <c r="N28" i="18"/>
  <c r="O28" i="18" s="1"/>
  <c r="N24" i="18"/>
  <c r="O24" i="18" s="1"/>
  <c r="M21" i="18"/>
  <c r="N21" i="18"/>
  <c r="O21" i="18" s="1"/>
  <c r="N19" i="18"/>
  <c r="O19" i="18" s="1"/>
  <c r="L26" i="18"/>
  <c r="L23" i="18"/>
  <c r="L20" i="18"/>
  <c r="N23" i="18"/>
  <c r="O23" i="18" s="1"/>
  <c r="L28" i="18"/>
  <c r="D28" i="30"/>
  <c r="E28" i="30"/>
  <c r="I106" i="18"/>
  <c r="I112" i="18"/>
  <c r="I108" i="18"/>
  <c r="I101" i="18"/>
  <c r="I111" i="18"/>
  <c r="J107" i="18"/>
  <c r="J105" i="18"/>
  <c r="J109" i="18"/>
  <c r="I107" i="18"/>
  <c r="I105" i="18"/>
  <c r="I103" i="18"/>
  <c r="I102" i="18"/>
  <c r="J100" i="18"/>
  <c r="J110" i="18"/>
  <c r="I113" i="18"/>
  <c r="I110" i="18"/>
  <c r="J113" i="18"/>
  <c r="J111" i="18"/>
  <c r="J106" i="18"/>
  <c r="J104" i="18"/>
  <c r="J102" i="18"/>
  <c r="J101" i="18"/>
  <c r="I100" i="18"/>
  <c r="I114" i="18" s="1"/>
  <c r="J112" i="18"/>
  <c r="I109" i="18"/>
  <c r="J108" i="18"/>
  <c r="I104" i="18"/>
  <c r="J103" i="18"/>
  <c r="C37" i="30"/>
  <c r="D37" i="30" a="1"/>
  <c r="D37" i="30" s="1"/>
  <c r="D35" i="30" a="1"/>
  <c r="D35" i="30" s="1"/>
  <c r="B37" i="30"/>
  <c r="A37" i="30"/>
  <c r="F36" i="30" a="1"/>
  <c r="F36" i="30" s="1"/>
  <c r="B18" i="30"/>
  <c r="J8" i="30"/>
  <c r="B19" i="30"/>
  <c r="B35" i="30"/>
  <c r="D36" i="30" a="1"/>
  <c r="D36" i="30" s="1"/>
  <c r="E37" i="30" a="1"/>
  <c r="E37" i="30" s="1"/>
  <c r="C28" i="30"/>
  <c r="I29" i="30"/>
  <c r="J29" i="30" s="1"/>
  <c r="N7" i="11"/>
  <c r="M25" i="18"/>
  <c r="N26" i="18"/>
  <c r="O26" i="18" s="1"/>
  <c r="L27" i="18"/>
  <c r="M28" i="18"/>
  <c r="L24" i="18"/>
  <c r="L22" i="18"/>
  <c r="M19" i="18"/>
  <c r="N20" i="11"/>
  <c r="N12" i="11"/>
  <c r="N19" i="11"/>
  <c r="N16" i="11"/>
  <c r="N18" i="11"/>
  <c r="N8" i="11"/>
  <c r="N13" i="11"/>
  <c r="N10" i="11"/>
  <c r="N15" i="11"/>
  <c r="N14" i="11"/>
  <c r="N11" i="11"/>
  <c r="N17" i="11"/>
  <c r="N9" i="11"/>
  <c r="H26" i="18"/>
  <c r="I26" i="18" s="1"/>
  <c r="G31" i="18"/>
  <c r="H23" i="18"/>
  <c r="I23" i="18" s="1"/>
  <c r="G44" i="18"/>
  <c r="H44" i="18" s="1"/>
  <c r="C24" i="18"/>
  <c r="D24" i="18" s="1"/>
  <c r="B42" i="18"/>
  <c r="G42" i="18" s="1"/>
  <c r="H42" i="18" s="1"/>
  <c r="B68" i="18"/>
  <c r="G68" i="18" s="1"/>
  <c r="H68" i="18" s="1"/>
  <c r="B23" i="18"/>
  <c r="B59" i="18"/>
  <c r="B64" i="18"/>
  <c r="I64" i="18" s="1" a="1"/>
  <c r="I64" i="18" s="1"/>
  <c r="C54" i="18"/>
  <c r="C60" i="18"/>
  <c r="B85" i="18"/>
  <c r="G85" i="18" s="1"/>
  <c r="H85" i="18" s="1"/>
  <c r="B67" i="18"/>
  <c r="E67" i="18" s="1"/>
  <c r="F67" i="18" s="1"/>
  <c r="B28" i="18"/>
  <c r="B45" i="18"/>
  <c r="E45" i="18" s="1"/>
  <c r="F45" i="18" s="1"/>
  <c r="C47" i="18"/>
  <c r="D47" i="18" s="1"/>
  <c r="E44" i="18"/>
  <c r="F44" i="18" s="1"/>
  <c r="C64" i="18"/>
  <c r="B89" i="18"/>
  <c r="E89" i="18" s="1"/>
  <c r="F89" i="18" s="1"/>
  <c r="B47" i="18"/>
  <c r="B25" i="18"/>
  <c r="C58" i="18"/>
  <c r="A58" i="18" s="1"/>
  <c r="B52" i="18"/>
  <c r="I52" i="18" s="1" a="1"/>
  <c r="I52" i="18" s="1"/>
  <c r="B74" i="18"/>
  <c r="B50" i="18"/>
  <c r="E50" i="18" s="1"/>
  <c r="F50" i="18" s="1"/>
  <c r="C20" i="18"/>
  <c r="D20" i="18" s="1"/>
  <c r="C21" i="18"/>
  <c r="D21" i="18" s="1"/>
  <c r="C82" i="18"/>
  <c r="B22" i="18"/>
  <c r="B61" i="18"/>
  <c r="C71" i="18"/>
  <c r="D71" i="18" s="1"/>
  <c r="B48" i="18"/>
  <c r="E48" i="18" s="1"/>
  <c r="F48" i="18" s="1"/>
  <c r="B84" i="18"/>
  <c r="J84" i="18" s="1"/>
  <c r="C28" i="18"/>
  <c r="D28" i="18" s="1"/>
  <c r="B65" i="18"/>
  <c r="I65" i="18" s="1" a="1"/>
  <c r="I65" i="18" s="1"/>
  <c r="C19" i="18"/>
  <c r="D19" i="18" s="1"/>
  <c r="B19" i="18"/>
  <c r="C74" i="18"/>
  <c r="A74" i="18" s="1"/>
  <c r="C83" i="18"/>
  <c r="D83" i="18" s="1"/>
  <c r="B60" i="18"/>
  <c r="C67" i="18"/>
  <c r="A67" i="18" s="1"/>
  <c r="B41" i="18"/>
  <c r="I41" i="18" s="1" a="1"/>
  <c r="I41" i="18" s="1"/>
  <c r="B69" i="18"/>
  <c r="C86" i="18"/>
  <c r="A86" i="18" s="1"/>
  <c r="B27" i="18"/>
  <c r="B77" i="18"/>
  <c r="B46" i="18"/>
  <c r="I46" i="18" s="1" a="1"/>
  <c r="I46" i="18" s="1"/>
  <c r="C89" i="18"/>
  <c r="D89" i="18" s="1"/>
  <c r="C72" i="18"/>
  <c r="A72" i="18" s="1"/>
  <c r="B73" i="18"/>
  <c r="C23" i="18"/>
  <c r="D23" i="18" s="1"/>
  <c r="B24" i="18"/>
  <c r="B21" i="18"/>
  <c r="C87" i="18"/>
  <c r="D87" i="18" s="1"/>
  <c r="B66" i="18"/>
  <c r="C76" i="18"/>
  <c r="D76" i="18" s="1"/>
  <c r="C25" i="18"/>
  <c r="D25" i="18" s="1"/>
  <c r="C40" i="18"/>
  <c r="D40" i="18" s="1"/>
  <c r="C27" i="18"/>
  <c r="D27" i="18" s="1"/>
  <c r="B54" i="18"/>
  <c r="G54" i="18" s="1"/>
  <c r="H54" i="18" s="1"/>
  <c r="B82" i="18"/>
  <c r="J82" i="18" s="1"/>
  <c r="C53" i="18"/>
  <c r="A53" i="18" s="1"/>
  <c r="C55" i="18"/>
  <c r="D55" i="18" s="1"/>
  <c r="C80" i="18"/>
  <c r="D80" i="18" s="1"/>
  <c r="C62" i="18"/>
  <c r="A62" i="18" s="1"/>
  <c r="C44" i="18"/>
  <c r="D44" i="18" s="1"/>
  <c r="B39" i="18"/>
  <c r="E39" i="18" s="1"/>
  <c r="F39" i="18" s="1"/>
  <c r="B76" i="18"/>
  <c r="C65" i="18"/>
  <c r="D65" i="18" s="1"/>
  <c r="C63" i="18"/>
  <c r="B49" i="18"/>
  <c r="I49" i="18" s="1" a="1"/>
  <c r="I49" i="18" s="1"/>
  <c r="C66" i="18"/>
  <c r="C48" i="18"/>
  <c r="A48" i="18" s="1"/>
  <c r="C52" i="18"/>
  <c r="D52" i="18" s="1"/>
  <c r="C51" i="18"/>
  <c r="B40" i="18"/>
  <c r="E40" i="18" s="1"/>
  <c r="F40" i="18" s="1"/>
  <c r="B58" i="18"/>
  <c r="I58" i="18" s="1" a="1"/>
  <c r="I58" i="18" s="1"/>
  <c r="B53" i="18"/>
  <c r="E53" i="18" s="1"/>
  <c r="C70" i="18"/>
  <c r="D70" i="18" s="1"/>
  <c r="B75" i="18"/>
  <c r="E75" i="18" s="1"/>
  <c r="F75" i="18" s="1"/>
  <c r="B55" i="18"/>
  <c r="G55" i="18" s="1"/>
  <c r="H55" i="18" s="1"/>
  <c r="C73" i="18"/>
  <c r="B62" i="18"/>
  <c r="E62" i="18" s="1"/>
  <c r="F62" i="18" s="1"/>
  <c r="B86" i="18"/>
  <c r="I86" i="18" s="1" a="1"/>
  <c r="I86" i="18" s="1"/>
  <c r="C75" i="18"/>
  <c r="D75" i="18" s="1"/>
  <c r="C49" i="18"/>
  <c r="D49" i="18" s="1"/>
  <c r="B57" i="18"/>
  <c r="G57" i="18" s="1"/>
  <c r="H57" i="18" s="1"/>
  <c r="C22" i="18"/>
  <c r="D22" i="18" s="1"/>
  <c r="B79" i="18"/>
  <c r="E79" i="18" s="1"/>
  <c r="F79" i="18" s="1"/>
  <c r="C68" i="18"/>
  <c r="D68" i="18" s="1"/>
  <c r="B88" i="18"/>
  <c r="C69" i="18"/>
  <c r="A69" i="18" s="1"/>
  <c r="C57" i="18"/>
  <c r="A57" i="18" s="1"/>
  <c r="C61" i="18"/>
  <c r="D61" i="18" s="1"/>
  <c r="C88" i="18"/>
  <c r="A88" i="18" s="1"/>
  <c r="B51" i="18"/>
  <c r="E51" i="18" s="1"/>
  <c r="F51" i="18" s="1"/>
  <c r="B83" i="18"/>
  <c r="E83" i="18" s="1"/>
  <c r="F83" i="18" s="1"/>
  <c r="B71" i="18"/>
  <c r="E71" i="18" s="1"/>
  <c r="F71" i="18" s="1"/>
  <c r="C85" i="18"/>
  <c r="D85" i="18" s="1"/>
  <c r="C59" i="18"/>
  <c r="D59" i="18" s="1"/>
  <c r="C77" i="18"/>
  <c r="D77" i="18" s="1"/>
  <c r="B72" i="18"/>
  <c r="C39" i="18"/>
  <c r="A39" i="18" s="1"/>
  <c r="B70" i="18"/>
  <c r="E70" i="18" s="1"/>
  <c r="F70" i="18" s="1"/>
  <c r="C46" i="18"/>
  <c r="A46" i="18" s="1"/>
  <c r="B43" i="18"/>
  <c r="E43" i="18" s="1"/>
  <c r="F43" i="18" s="1"/>
  <c r="C26" i="18"/>
  <c r="D26" i="18" s="1"/>
  <c r="C84" i="18"/>
  <c r="D84" i="18" s="1"/>
  <c r="C81" i="18"/>
  <c r="D81" i="18" s="1"/>
  <c r="C45" i="18"/>
  <c r="D45" i="18" s="1"/>
  <c r="C79" i="18"/>
  <c r="D79" i="18" s="1"/>
  <c r="C43" i="18"/>
  <c r="A43" i="18" s="1"/>
  <c r="B56" i="18"/>
  <c r="I56" i="18" s="1" a="1"/>
  <c r="I56" i="18" s="1"/>
  <c r="C41" i="18"/>
  <c r="D41" i="18" s="1"/>
  <c r="C50" i="18"/>
  <c r="A50" i="18" s="1"/>
  <c r="C78" i="18"/>
  <c r="A78" i="18" s="1"/>
  <c r="B26" i="18"/>
  <c r="B87" i="18"/>
  <c r="G87" i="18" s="1"/>
  <c r="H87" i="18" s="1"/>
  <c r="B80" i="18"/>
  <c r="G80" i="18" s="1"/>
  <c r="H80" i="18" s="1"/>
  <c r="B78" i="18"/>
  <c r="G78" i="18" s="1"/>
  <c r="H78" i="18" s="1"/>
  <c r="C56" i="18"/>
  <c r="A56" i="18" s="1"/>
  <c r="B81" i="18"/>
  <c r="J81" i="18" s="1"/>
  <c r="B63" i="18"/>
  <c r="E63" i="18" s="1"/>
  <c r="F63" i="18" s="1"/>
  <c r="B20" i="18"/>
  <c r="C42" i="18"/>
  <c r="A42" i="18" s="1"/>
  <c r="E113" i="18"/>
  <c r="H113" i="18" s="1"/>
  <c r="D114" i="18"/>
  <c r="C114" i="18"/>
  <c r="E114" i="18" s="1"/>
  <c r="F114" i="18"/>
  <c r="B114" i="18"/>
  <c r="E112" i="18"/>
  <c r="H112" i="18" s="1"/>
  <c r="G113" i="18"/>
  <c r="G112" i="18"/>
  <c r="E111" i="18"/>
  <c r="H111" i="18" s="1"/>
  <c r="G111" i="18"/>
  <c r="E110" i="18"/>
  <c r="H110" i="18" s="1"/>
  <c r="G110" i="18"/>
  <c r="G109" i="18"/>
  <c r="E109" i="18"/>
  <c r="H109" i="18" s="1"/>
  <c r="E108" i="18"/>
  <c r="H108" i="18" s="1"/>
  <c r="G108" i="18"/>
  <c r="E107" i="18"/>
  <c r="H107" i="18" s="1"/>
  <c r="G107" i="18"/>
  <c r="G106" i="18"/>
  <c r="E106" i="18"/>
  <c r="H106" i="18" s="1"/>
  <c r="G105" i="18"/>
  <c r="E105" i="18"/>
  <c r="H105" i="18" s="1"/>
  <c r="G104" i="18"/>
  <c r="E104" i="18"/>
  <c r="H104" i="18" s="1"/>
  <c r="E103" i="18"/>
  <c r="H103" i="18" s="1"/>
  <c r="G103" i="18"/>
  <c r="E102" i="18"/>
  <c r="H102" i="18" s="1"/>
  <c r="G102" i="18"/>
  <c r="E101" i="18"/>
  <c r="H101" i="18" s="1"/>
  <c r="G101" i="18"/>
  <c r="E100" i="18"/>
  <c r="H100" i="18" s="1"/>
  <c r="G100" i="18"/>
  <c r="G20" i="18" l="1"/>
  <c r="H20" i="18"/>
  <c r="I20" i="18" s="1"/>
  <c r="H24" i="18"/>
  <c r="I24" i="18" s="1"/>
  <c r="H27" i="18"/>
  <c r="I27" i="18" s="1"/>
  <c r="A82" i="18"/>
  <c r="D82" i="18"/>
  <c r="I61" i="18" a="1"/>
  <c r="I61" i="18" s="1"/>
  <c r="E61" i="18"/>
  <c r="F61" i="18" s="1"/>
  <c r="G32" i="18"/>
  <c r="G23" i="18"/>
  <c r="H19" i="18"/>
  <c r="I19" i="18" s="1"/>
  <c r="H32" i="18"/>
  <c r="I32" i="18" s="1"/>
  <c r="H31" i="18"/>
  <c r="I31" i="18" s="1"/>
  <c r="G25" i="18"/>
  <c r="G28" i="18"/>
  <c r="G21" i="18"/>
  <c r="G29" i="18"/>
  <c r="G24" i="18"/>
  <c r="G22" i="18"/>
  <c r="G30" i="18"/>
  <c r="A54" i="18"/>
  <c r="D54" i="18"/>
  <c r="I69" i="18" a="1"/>
  <c r="I69" i="18" s="1"/>
  <c r="E69" i="18"/>
  <c r="G69" i="18"/>
  <c r="H69" i="18" s="1"/>
  <c r="J114" i="18"/>
  <c r="C26" i="30"/>
  <c r="E26" i="30"/>
  <c r="C27" i="30"/>
  <c r="E27" i="30"/>
  <c r="B20" i="30"/>
  <c r="H30" i="18"/>
  <c r="I30" i="18" s="1"/>
  <c r="H22" i="18"/>
  <c r="I22" i="18" s="1"/>
  <c r="H29" i="18"/>
  <c r="I29" i="18" s="1"/>
  <c r="H21" i="18"/>
  <c r="I21" i="18" s="1"/>
  <c r="G19" i="18"/>
  <c r="H28" i="18"/>
  <c r="I28" i="18" s="1"/>
  <c r="H25" i="18"/>
  <c r="I25" i="18" s="1"/>
  <c r="G27" i="18"/>
  <c r="G26" i="18"/>
  <c r="I59" i="18" a="1"/>
  <c r="I59" i="18" s="1"/>
  <c r="G59" i="18"/>
  <c r="H59" i="18" s="1"/>
  <c r="E59" i="18"/>
  <c r="A60" i="18"/>
  <c r="D60" i="18"/>
  <c r="A64" i="18"/>
  <c r="D64" i="18"/>
  <c r="E47" i="18"/>
  <c r="F47" i="18" s="1"/>
  <c r="G47" i="18"/>
  <c r="G73" i="18"/>
  <c r="H73" i="18" s="1"/>
  <c r="I73" i="18" a="1"/>
  <c r="I73" i="18" s="1"/>
  <c r="A63" i="18"/>
  <c r="D63" i="18"/>
  <c r="D66" i="18"/>
  <c r="A66" i="18"/>
  <c r="D51" i="18"/>
  <c r="A51" i="18"/>
  <c r="D73" i="18"/>
  <c r="A73" i="18"/>
  <c r="J88" i="18"/>
  <c r="I88" i="18" a="1"/>
  <c r="I88" i="18" s="1"/>
  <c r="G88" i="18"/>
  <c r="H88" i="18" s="1"/>
  <c r="E88" i="18"/>
  <c r="F88" i="18" s="1"/>
  <c r="G72" i="18"/>
  <c r="H72" i="18" s="1"/>
  <c r="I72" i="18" a="1"/>
  <c r="I72" i="18" s="1"/>
  <c r="I89" i="18" a="1"/>
  <c r="I89" i="18" s="1"/>
  <c r="J89" i="18"/>
  <c r="E87" i="18"/>
  <c r="F87" i="18" s="1"/>
  <c r="G62" i="18"/>
  <c r="G65" i="18"/>
  <c r="H65" i="18" s="1"/>
  <c r="I39" i="18" a="1"/>
  <c r="I39" i="18" s="1"/>
  <c r="G89" i="18"/>
  <c r="H89" i="18" s="1"/>
  <c r="I77" i="18" a="1"/>
  <c r="I77" i="18" s="1"/>
  <c r="A84" i="18"/>
  <c r="D42" i="18"/>
  <c r="G40" i="18"/>
  <c r="I40" i="18" a="1"/>
  <c r="I40" i="18" s="1"/>
  <c r="A40" i="18"/>
  <c r="E77" i="18"/>
  <c r="F77" i="18" s="1"/>
  <c r="E86" i="18"/>
  <c r="F86" i="18" s="1"/>
  <c r="I63" i="18" a="1"/>
  <c r="I63" i="18" s="1"/>
  <c r="E65" i="18"/>
  <c r="F65" i="18" s="1"/>
  <c r="G45" i="18"/>
  <c r="I85" i="18" a="1"/>
  <c r="I85" i="18" s="1"/>
  <c r="I43" i="18" a="1"/>
  <c r="I43" i="18" s="1"/>
  <c r="D86" i="18"/>
  <c r="G43" i="18"/>
  <c r="H43" i="18" s="1"/>
  <c r="A52" i="18"/>
  <c r="G63" i="18"/>
  <c r="H63" i="18" s="1"/>
  <c r="G41" i="18"/>
  <c r="E41" i="18"/>
  <c r="F41" i="18" s="1"/>
  <c r="I54" i="18" a="1"/>
  <c r="I54" i="18" s="1"/>
  <c r="A68" i="18"/>
  <c r="E81" i="18"/>
  <c r="F81" i="18" s="1"/>
  <c r="I81" i="18" a="1"/>
  <c r="I81" i="18" s="1"/>
  <c r="I45" i="18" a="1"/>
  <c r="I45" i="18" s="1"/>
  <c r="G53" i="18"/>
  <c r="H53" i="18" s="1"/>
  <c r="G46" i="18"/>
  <c r="H46" i="18" s="1"/>
  <c r="G81" i="18"/>
  <c r="H81" i="18" s="1"/>
  <c r="G77" i="18"/>
  <c r="H77" i="18" s="1"/>
  <c r="G71" i="18"/>
  <c r="H71" i="18" s="1"/>
  <c r="D69" i="18"/>
  <c r="D50" i="18"/>
  <c r="I62" i="18" a="1"/>
  <c r="I62" i="18" s="1"/>
  <c r="A65" i="18"/>
  <c r="A41" i="18"/>
  <c r="A44" i="18"/>
  <c r="A70" i="18"/>
  <c r="E73" i="18"/>
  <c r="F73" i="18" s="1"/>
  <c r="D56" i="18"/>
  <c r="A85" i="18"/>
  <c r="G39" i="18"/>
  <c r="H39" i="18" s="1"/>
  <c r="I75" i="18" a="1"/>
  <c r="I75" i="18" s="1"/>
  <c r="I71" i="18" a="1"/>
  <c r="I71" i="18" s="1"/>
  <c r="G75" i="18"/>
  <c r="G79" i="18"/>
  <c r="H79" i="18" s="1"/>
  <c r="A77" i="18"/>
  <c r="A49" i="18"/>
  <c r="D53" i="18"/>
  <c r="D58" i="18"/>
  <c r="E82" i="18"/>
  <c r="F82" i="18" s="1"/>
  <c r="I67" i="18" a="1"/>
  <c r="I67" i="18" s="1"/>
  <c r="E42" i="18"/>
  <c r="F42" i="18" s="1"/>
  <c r="A59" i="18"/>
  <c r="A75" i="18"/>
  <c r="E54" i="18"/>
  <c r="F54" i="18" s="1"/>
  <c r="I47" i="18" a="1"/>
  <c r="I47" i="18" s="1"/>
  <c r="G67" i="18"/>
  <c r="H67" i="18" s="1"/>
  <c r="I42" i="18" a="1"/>
  <c r="I42" i="18" s="1"/>
  <c r="E66" i="18"/>
  <c r="F66" i="18" s="1"/>
  <c r="E76" i="18"/>
  <c r="F76" i="18" s="1"/>
  <c r="G66" i="18"/>
  <c r="H66" i="18" s="1"/>
  <c r="F53" i="18"/>
  <c r="J87" i="18"/>
  <c r="G70" i="18"/>
  <c r="J85" i="18"/>
  <c r="D39" i="18"/>
  <c r="J86" i="18"/>
  <c r="E58" i="18"/>
  <c r="F58" i="18" s="1"/>
  <c r="I76" i="18" a="1"/>
  <c r="I76" i="18" s="1"/>
  <c r="A71" i="18"/>
  <c r="G50" i="18"/>
  <c r="H50" i="18" s="1"/>
  <c r="I66" i="18" a="1"/>
  <c r="I66" i="18" s="1"/>
  <c r="E74" i="18"/>
  <c r="F74" i="18" s="1"/>
  <c r="A79" i="18"/>
  <c r="E60" i="18"/>
  <c r="F60" i="18" s="1"/>
  <c r="I74" i="18" a="1"/>
  <c r="I74" i="18" s="1"/>
  <c r="I78" i="18" a="1"/>
  <c r="I78" i="18" s="1"/>
  <c r="E68" i="18"/>
  <c r="F68" i="18" s="1"/>
  <c r="A55" i="18"/>
  <c r="G60" i="18"/>
  <c r="H60" i="18" s="1"/>
  <c r="G74" i="18"/>
  <c r="H74" i="18" s="1"/>
  <c r="E64" i="18"/>
  <c r="F64" i="18" s="1"/>
  <c r="A45" i="18"/>
  <c r="E55" i="18"/>
  <c r="F55" i="18" s="1"/>
  <c r="D48" i="18"/>
  <c r="I60" i="18" a="1"/>
  <c r="I60" i="18" s="1"/>
  <c r="I50" i="18" a="1"/>
  <c r="I50" i="18" s="1"/>
  <c r="I68" i="18" a="1"/>
  <c r="I68" i="18" s="1"/>
  <c r="D43" i="18"/>
  <c r="E52" i="18"/>
  <c r="F52" i="18" s="1"/>
  <c r="E78" i="18"/>
  <c r="F78" i="18" s="1"/>
  <c r="G64" i="18"/>
  <c r="H64" i="18" s="1"/>
  <c r="I79" i="18" a="1"/>
  <c r="I79" i="18" s="1"/>
  <c r="G51" i="18"/>
  <c r="H51" i="18" s="1"/>
  <c r="J83" i="18"/>
  <c r="G48" i="18"/>
  <c r="H48" i="18" s="1"/>
  <c r="I87" i="18" a="1"/>
  <c r="I87" i="18" s="1"/>
  <c r="I51" i="18" a="1"/>
  <c r="I51" i="18" s="1"/>
  <c r="I53" i="18" a="1"/>
  <c r="I53" i="18" s="1"/>
  <c r="I48" i="18" a="1"/>
  <c r="I48" i="18" s="1"/>
  <c r="E85" i="18"/>
  <c r="F85" i="18" s="1"/>
  <c r="D78" i="18"/>
  <c r="D88" i="18"/>
  <c r="G86" i="18"/>
  <c r="H86" i="18" s="1"/>
  <c r="G76" i="18"/>
  <c r="H76" i="18" s="1"/>
  <c r="E56" i="18"/>
  <c r="F56" i="18" s="1"/>
  <c r="D46" i="18"/>
  <c r="A61" i="18"/>
  <c r="G49" i="18"/>
  <c r="H49" i="18" s="1"/>
  <c r="D62" i="18"/>
  <c r="A89" i="18"/>
  <c r="G84" i="18"/>
  <c r="H84" i="18" s="1"/>
  <c r="G52" i="18"/>
  <c r="H52" i="18" s="1"/>
  <c r="E80" i="18"/>
  <c r="F80" i="18" s="1"/>
  <c r="G56" i="18"/>
  <c r="H56" i="18" s="1"/>
  <c r="I57" i="18" a="1"/>
  <c r="I57" i="18" s="1"/>
  <c r="G58" i="18"/>
  <c r="H58" i="18" s="1"/>
  <c r="E49" i="18"/>
  <c r="F49" i="18" s="1"/>
  <c r="I80" i="18" a="1"/>
  <c r="I80" i="18" s="1"/>
  <c r="I70" i="18" a="1"/>
  <c r="I70" i="18" s="1"/>
  <c r="D57" i="18"/>
  <c r="E57" i="18"/>
  <c r="F57" i="18" s="1"/>
  <c r="I55" i="18" a="1"/>
  <c r="I55" i="18" s="1"/>
  <c r="A80" i="18"/>
  <c r="A76" i="18"/>
  <c r="E46" i="18"/>
  <c r="F46" i="18" s="1"/>
  <c r="D67" i="18"/>
  <c r="E84" i="18"/>
  <c r="F84" i="18" s="1"/>
  <c r="I83" i="18" a="1"/>
  <c r="I83" i="18" s="1"/>
  <c r="E72" i="18"/>
  <c r="F72" i="18" s="1"/>
  <c r="G83" i="18"/>
  <c r="H83" i="18" s="1"/>
  <c r="A87" i="18"/>
  <c r="A83" i="18"/>
  <c r="J44" i="18"/>
  <c r="A47" i="18"/>
  <c r="A81" i="18"/>
  <c r="G82" i="18"/>
  <c r="H82" i="18" s="1"/>
  <c r="I82" i="18" a="1"/>
  <c r="I82" i="18" s="1"/>
  <c r="D74" i="18"/>
  <c r="G61" i="18"/>
  <c r="H61" i="18" s="1"/>
  <c r="D72" i="18"/>
  <c r="I84" i="18" a="1"/>
  <c r="I84" i="18" s="1"/>
  <c r="G114" i="18"/>
  <c r="F69" i="18" l="1"/>
  <c r="J69" i="18"/>
  <c r="F59" i="18"/>
  <c r="J59" i="18"/>
  <c r="H47" i="18"/>
  <c r="J47" i="18"/>
  <c r="H45" i="18"/>
  <c r="J45" i="18"/>
  <c r="H75" i="18"/>
  <c r="J75" i="18"/>
  <c r="H40" i="18"/>
  <c r="J40" i="18"/>
  <c r="H41" i="18"/>
  <c r="J41" i="18"/>
  <c r="H70" i="18"/>
  <c r="J70" i="18"/>
  <c r="H62" i="18"/>
  <c r="J62" i="18"/>
  <c r="J72" i="18"/>
  <c r="J80" i="18"/>
  <c r="J66" i="18"/>
  <c r="J71" i="18"/>
  <c r="J64" i="18"/>
  <c r="J63" i="18"/>
  <c r="J43" i="18"/>
  <c r="J79" i="18"/>
  <c r="J73" i="18"/>
  <c r="J76" i="18"/>
  <c r="J78" i="18"/>
  <c r="J61" i="18"/>
  <c r="J68" i="18"/>
  <c r="J67" i="18"/>
  <c r="J65" i="18"/>
  <c r="J74" i="18"/>
  <c r="J77" i="18"/>
  <c r="J53" i="18"/>
  <c r="J54" i="18"/>
  <c r="J58" i="18"/>
  <c r="J60" i="18"/>
  <c r="J55" i="18"/>
  <c r="J57" i="18"/>
  <c r="J56" i="18"/>
  <c r="J39" i="18"/>
  <c r="J42" i="18"/>
  <c r="J50" i="18"/>
  <c r="J51" i="18"/>
  <c r="J48" i="18"/>
  <c r="J52" i="18"/>
  <c r="J46" i="18"/>
  <c r="J49" i="1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2E6A13-3BFF-4F77-AA9A-029F95C009E0}" keepAlive="1" name="Consulta - BD PARADEROS" description="Conexión a la consulta 'BD PARADEROS' en el libro." type="5" refreshedVersion="8" background="1" saveData="1">
    <dbPr connection="Provider=Microsoft.Mashup.OleDb.1;Data Source=$Workbook$;Location=&quot;BD PARADEROS&quot;;Extended Properties=&quot;&quot;" command="SELECT * FROM [BD PARADERO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<sst xmlns="http://schemas.openxmlformats.org/spreadsheetml/2006/main" count="20273" uniqueCount="4758">
  <si>
    <t>CD</t>
  </si>
  <si>
    <t>USERID</t>
  </si>
  <si>
    <t>Nombres</t>
  </si>
  <si>
    <t>Primer apellido</t>
  </si>
  <si>
    <t>Segundo apellido</t>
  </si>
  <si>
    <t>Edad</t>
  </si>
  <si>
    <t>Empresa contratante</t>
  </si>
  <si>
    <t>Nombre de Ubicación</t>
  </si>
  <si>
    <t>Código de Posición</t>
  </si>
  <si>
    <t>Nombre de Posición</t>
  </si>
  <si>
    <t>Fecha de ingreso</t>
  </si>
  <si>
    <t>Estado de empleado</t>
  </si>
  <si>
    <t>Jefe Directo</t>
  </si>
  <si>
    <t>Jefe Directo USERID</t>
  </si>
  <si>
    <t>Tipo de Vía</t>
  </si>
  <si>
    <t>Nombre de Vía</t>
  </si>
  <si>
    <t>Tipo Zona</t>
  </si>
  <si>
    <t>Nombre de Zona</t>
  </si>
  <si>
    <t>Código postal</t>
  </si>
  <si>
    <t>Departamento</t>
  </si>
  <si>
    <t>Provincia</t>
  </si>
  <si>
    <t>Distrito</t>
  </si>
  <si>
    <t>Fecha del evento</t>
  </si>
  <si>
    <t>Ultima modificación por</t>
  </si>
  <si>
    <t>PE74178489</t>
  </si>
  <si>
    <t>Aldo Cesar</t>
  </si>
  <si>
    <t>Garcia</t>
  </si>
  <si>
    <t>Luna</t>
  </si>
  <si>
    <t>Hipermercado Tottus SA</t>
  </si>
  <si>
    <t>CP - Nieveria Cacum</t>
  </si>
  <si>
    <t>Operador 1</t>
  </si>
  <si>
    <t>Activo</t>
  </si>
  <si>
    <t>Juan Carlos Perales</t>
  </si>
  <si>
    <t>PE41029988</t>
  </si>
  <si>
    <t>Avenida</t>
  </si>
  <si>
    <t>Las Flores 21, Casuarinas De Martires</t>
  </si>
  <si>
    <t>Otros / No aplica</t>
  </si>
  <si>
    <t>Lima</t>
  </si>
  <si>
    <t>San Juan De Lurigancho</t>
  </si>
  <si>
    <t>PE75787501</t>
  </si>
  <si>
    <t>PE41674053</t>
  </si>
  <si>
    <t>Giovani Alexander</t>
  </si>
  <si>
    <t>Vasquez</t>
  </si>
  <si>
    <t>Lopez</t>
  </si>
  <si>
    <t>Operador 3</t>
  </si>
  <si>
    <t>Zapallal</t>
  </si>
  <si>
    <t>Nd</t>
  </si>
  <si>
    <t>Puente Piedra</t>
  </si>
  <si>
    <t>CL25714153</t>
  </si>
  <si>
    <t>PE47114524</t>
  </si>
  <si>
    <t>Gary Alexander</t>
  </si>
  <si>
    <t>Saavedra</t>
  </si>
  <si>
    <t>Cubas</t>
  </si>
  <si>
    <t>Jirón</t>
  </si>
  <si>
    <t>Simon Bolivar</t>
  </si>
  <si>
    <t>Coo. Cooperativa</t>
  </si>
  <si>
    <t>Santa Elena Santa Clara|</t>
  </si>
  <si>
    <t>Ate</t>
  </si>
  <si>
    <t>PE42438043</t>
  </si>
  <si>
    <t>Carlos Augusto</t>
  </si>
  <si>
    <t>Goicochea</t>
  </si>
  <si>
    <t>Chugnas</t>
  </si>
  <si>
    <t>Operador 2</t>
  </si>
  <si>
    <t>Renzo David Espinoza</t>
  </si>
  <si>
    <t>PE46362708</t>
  </si>
  <si>
    <t>Tusilagos Este</t>
  </si>
  <si>
    <t>U.V. Unidad Vecinal</t>
  </si>
  <si>
    <t>Inca Manco Capac</t>
  </si>
  <si>
    <t>PE72574950</t>
  </si>
  <si>
    <t>Ellen Karina</t>
  </si>
  <si>
    <t>Avila</t>
  </si>
  <si>
    <t>Huachopoma</t>
  </si>
  <si>
    <t>Cristian Andre Burga</t>
  </si>
  <si>
    <t>PE42576897</t>
  </si>
  <si>
    <t>La Campiã‘A</t>
  </si>
  <si>
    <t>Casa Huerta La Campiã‘A Sector B</t>
  </si>
  <si>
    <t>Lurigancho</t>
  </si>
  <si>
    <t>PE47623753</t>
  </si>
  <si>
    <t>PE46021159</t>
  </si>
  <si>
    <t>Aydee</t>
  </si>
  <si>
    <t>Pariona</t>
  </si>
  <si>
    <t>Berrocal</t>
  </si>
  <si>
    <t>Calle</t>
  </si>
  <si>
    <t>Los Rosales</t>
  </si>
  <si>
    <t>PE43999138</t>
  </si>
  <si>
    <t>Rosivel</t>
  </si>
  <si>
    <t>Guarniz</t>
  </si>
  <si>
    <t>Sanchez</t>
  </si>
  <si>
    <t>A.H. Asentamiento Humano</t>
  </si>
  <si>
    <t>Agru Familiar El Amanecer Nuevo Progreso</t>
  </si>
  <si>
    <t>PE71705884</t>
  </si>
  <si>
    <t>Shiomara Melina</t>
  </si>
  <si>
    <t>Ortega</t>
  </si>
  <si>
    <t>Cardenas</t>
  </si>
  <si>
    <t>Cajamarquilla Los Aviadores Lurigancho Chosica</t>
  </si>
  <si>
    <t>Los Aviadores</t>
  </si>
  <si>
    <t>PE47764747</t>
  </si>
  <si>
    <t>Enedina Reyna</t>
  </si>
  <si>
    <t>Ore</t>
  </si>
  <si>
    <t>Escobar</t>
  </si>
  <si>
    <t>Rolly Luis Marroquin</t>
  </si>
  <si>
    <t>PE41405126</t>
  </si>
  <si>
    <t>Esperanza</t>
  </si>
  <si>
    <t>Sector Oeste</t>
  </si>
  <si>
    <t>PE45631055</t>
  </si>
  <si>
    <t>Samuel Ovidio</t>
  </si>
  <si>
    <t>Cruz</t>
  </si>
  <si>
    <t>Mora</t>
  </si>
  <si>
    <t>Miguel Eduardo Zorochaqui</t>
  </si>
  <si>
    <t>PE44766700</t>
  </si>
  <si>
    <t>La Raucana O Tulipanes</t>
  </si>
  <si>
    <t>La Raucana</t>
  </si>
  <si>
    <t>PE72652053</t>
  </si>
  <si>
    <t>Jose Martin</t>
  </si>
  <si>
    <t>Segovia</t>
  </si>
  <si>
    <t>Montjoy</t>
  </si>
  <si>
    <t>Los Olivos</t>
  </si>
  <si>
    <t>Virgen De Fatima De Moron</t>
  </si>
  <si>
    <t>Chaclacayo</t>
  </si>
  <si>
    <t>PE76587097</t>
  </si>
  <si>
    <t>Jeffrey Anthony</t>
  </si>
  <si>
    <t>Rivas</t>
  </si>
  <si>
    <t>Palacios</t>
  </si>
  <si>
    <t>Inspector Calidad</t>
  </si>
  <si>
    <t>Juan Anthony Mendoza</t>
  </si>
  <si>
    <t>PE45536306</t>
  </si>
  <si>
    <t>Huancabamba</t>
  </si>
  <si>
    <t>Brena</t>
  </si>
  <si>
    <t>PE72565198</t>
  </si>
  <si>
    <t>Jhordan Michael</t>
  </si>
  <si>
    <t>Rosales</t>
  </si>
  <si>
    <t>Santos</t>
  </si>
  <si>
    <t>Peter Giancarlo Ramirez</t>
  </si>
  <si>
    <t>PE73083577</t>
  </si>
  <si>
    <t>San German</t>
  </si>
  <si>
    <t>PE74526714</t>
  </si>
  <si>
    <t>PE77042372</t>
  </si>
  <si>
    <t>Editha Pamela</t>
  </si>
  <si>
    <t>Quichca</t>
  </si>
  <si>
    <t>Zamora</t>
  </si>
  <si>
    <t>Jose Leal</t>
  </si>
  <si>
    <t>MARISCAL CACERES</t>
  </si>
  <si>
    <t>PE60770605</t>
  </si>
  <si>
    <t>David Jahair</t>
  </si>
  <si>
    <t>Raez</t>
  </si>
  <si>
    <t>Urbano</t>
  </si>
  <si>
    <t>Jose Antonio Hoyos</t>
  </si>
  <si>
    <t>PE72302797</t>
  </si>
  <si>
    <t>Pasaje</t>
  </si>
  <si>
    <t>Los Jazmines</t>
  </si>
  <si>
    <t>VILLA LOS ANDES</t>
  </si>
  <si>
    <t>PE77032425</t>
  </si>
  <si>
    <t>Victor Orlando</t>
  </si>
  <si>
    <t>Toledo</t>
  </si>
  <si>
    <t>Chagua</t>
  </si>
  <si>
    <t>Asistente Mantenimiento Industrial</t>
  </si>
  <si>
    <t>Mayron Alexander Rojas</t>
  </si>
  <si>
    <t>PE70436671</t>
  </si>
  <si>
    <t>Asoc. Valle Del Mantaro Mz F Lt 5 - Ate Vitarte</t>
  </si>
  <si>
    <t>Valle Del Mantaro</t>
  </si>
  <si>
    <t>PE40992819</t>
  </si>
  <si>
    <t>Fabiola Carmen</t>
  </si>
  <si>
    <t>Ledesma</t>
  </si>
  <si>
    <t>Ninahuanca</t>
  </si>
  <si>
    <t>George Frey Vega</t>
  </si>
  <si>
    <t>PE46310423</t>
  </si>
  <si>
    <t>La Campiña</t>
  </si>
  <si>
    <t>B La Campiña</t>
  </si>
  <si>
    <t>PE72838975</t>
  </si>
  <si>
    <t>Gabriela</t>
  </si>
  <si>
    <t>Ticlla</t>
  </si>
  <si>
    <t>Puente</t>
  </si>
  <si>
    <t>PE43001521</t>
  </si>
  <si>
    <t>Cesar Augusto</t>
  </si>
  <si>
    <t>Ancajima</t>
  </si>
  <si>
    <t>Giron</t>
  </si>
  <si>
    <t>Mariscal Caceres Ii Sector Piso 2</t>
  </si>
  <si>
    <t>C.H. Conjunto Habitacional</t>
  </si>
  <si>
    <t>PE47623997</t>
  </si>
  <si>
    <t>Olga Mary</t>
  </si>
  <si>
    <t>Carlos</t>
  </si>
  <si>
    <t>Cuadros</t>
  </si>
  <si>
    <t>Jefe Planeacion Y Control Produccion</t>
  </si>
  <si>
    <t>Oscar Guillermo Pablo Angeles</t>
  </si>
  <si>
    <t>PE09486444</t>
  </si>
  <si>
    <t>Javier Prado Este</t>
  </si>
  <si>
    <t>Urb. Urbanización</t>
  </si>
  <si>
    <t>Santa Catalina</t>
  </si>
  <si>
    <t>La Victoria</t>
  </si>
  <si>
    <t>PE77575477</t>
  </si>
  <si>
    <t>Karol Slonge</t>
  </si>
  <si>
    <t>Cordova</t>
  </si>
  <si>
    <t>Munive</t>
  </si>
  <si>
    <t>Jicamarca Anexo 8</t>
  </si>
  <si>
    <t>JICAMARCA. ANEXO 8</t>
  </si>
  <si>
    <t>Huarochiri</t>
  </si>
  <si>
    <t>San Antonio</t>
  </si>
  <si>
    <t>PE72243371</t>
  </si>
  <si>
    <t>Edsel Kevin</t>
  </si>
  <si>
    <t>Tello</t>
  </si>
  <si>
    <t>Espiritu</t>
  </si>
  <si>
    <t>36 F4 10C C.P.R.H Manchay|S</t>
  </si>
  <si>
    <t>L</t>
  </si>
  <si>
    <t>Pachacamac</t>
  </si>
  <si>
    <t>PE008146170</t>
  </si>
  <si>
    <t>Orlando Jose</t>
  </si>
  <si>
    <t>Salazar</t>
  </si>
  <si>
    <t>Cedeño</t>
  </si>
  <si>
    <t>La Florida</t>
  </si>
  <si>
    <t>Peru</t>
  </si>
  <si>
    <t>San Martin De Porres</t>
  </si>
  <si>
    <t>PE76686216</t>
  </si>
  <si>
    <t>Esvilda</t>
  </si>
  <si>
    <t>Romero</t>
  </si>
  <si>
    <t>Cerdan</t>
  </si>
  <si>
    <t>Jr Los Ceresos</t>
  </si>
  <si>
    <t>Tayacaja</t>
  </si>
  <si>
    <t>PE45338542</t>
  </si>
  <si>
    <t>Lidia</t>
  </si>
  <si>
    <t>Rodriguez</t>
  </si>
  <si>
    <t>Santa Cruz De Cajamarquilla</t>
  </si>
  <si>
    <t>Libertadores Los G -12-A.H Santa Cruz</t>
  </si>
  <si>
    <t>PE47620948</t>
  </si>
  <si>
    <t>Silvia Monica</t>
  </si>
  <si>
    <t>Noa</t>
  </si>
  <si>
    <t>Barros</t>
  </si>
  <si>
    <t>Asoc.Las Flores De Nieveria</t>
  </si>
  <si>
    <t>Huachipa</t>
  </si>
  <si>
    <t>PE71092924</t>
  </si>
  <si>
    <t>Christian Gerardo</t>
  </si>
  <si>
    <t>Huamani</t>
  </si>
  <si>
    <t>Calle Las Casuarinas</t>
  </si>
  <si>
    <t>Cerro San Martin De Porres</t>
  </si>
  <si>
    <t>PE45867198</t>
  </si>
  <si>
    <t>Gonzalo Ruben</t>
  </si>
  <si>
    <t>Aguero</t>
  </si>
  <si>
    <t>Mitma</t>
  </si>
  <si>
    <t>Auxiliar Ingenieria</t>
  </si>
  <si>
    <t>Caja Huerta</t>
  </si>
  <si>
    <t>PE73458942</t>
  </si>
  <si>
    <t>Adal Patrik</t>
  </si>
  <si>
    <t>Chavez</t>
  </si>
  <si>
    <t>Cuya</t>
  </si>
  <si>
    <t>13 De Junio</t>
  </si>
  <si>
    <t>Valle El Triunfo Jic</t>
  </si>
  <si>
    <t>PE40098888</t>
  </si>
  <si>
    <t>Jennifer Eulalia</t>
  </si>
  <si>
    <t>Villalta</t>
  </si>
  <si>
    <t>Salas De Llungo</t>
  </si>
  <si>
    <t>Los Eucaliptos</t>
  </si>
  <si>
    <t>La Floresta</t>
  </si>
  <si>
    <t>PE76126531</t>
  </si>
  <si>
    <t>Luis Fernando</t>
  </si>
  <si>
    <t>Damian</t>
  </si>
  <si>
    <t>Ferroñan</t>
  </si>
  <si>
    <t>Asociacion</t>
  </si>
  <si>
    <t>La Estrella De Santa Clara</t>
  </si>
  <si>
    <t>PE62174843</t>
  </si>
  <si>
    <t>Vicente</t>
  </si>
  <si>
    <t>Noriega</t>
  </si>
  <si>
    <t>Las Magnolias 3era</t>
  </si>
  <si>
    <t>CAJAMARQQUILLA HUACH</t>
  </si>
  <si>
    <t>PE46900554</t>
  </si>
  <si>
    <t>Kelly Tania</t>
  </si>
  <si>
    <t>Canto</t>
  </si>
  <si>
    <t>Espinoza</t>
  </si>
  <si>
    <t>Tecnico Investigacion y Desarrollo</t>
  </si>
  <si>
    <t>Nicolle Sandy Escobar</t>
  </si>
  <si>
    <t>PE77202016</t>
  </si>
  <si>
    <t>Bello Horizontesanta Eulalia</t>
  </si>
  <si>
    <t>PE70804370</t>
  </si>
  <si>
    <t>Cinthia</t>
  </si>
  <si>
    <t>Ataucusi</t>
  </si>
  <si>
    <t>De La Cruz</t>
  </si>
  <si>
    <t>De Los Comuneros De Jicamarca Baja</t>
  </si>
  <si>
    <t>PE75529792</t>
  </si>
  <si>
    <t>Maria Jose</t>
  </si>
  <si>
    <t>Gutierrez</t>
  </si>
  <si>
    <t>Machacuay</t>
  </si>
  <si>
    <t>Campoy</t>
  </si>
  <si>
    <t>Huaycoloro</t>
  </si>
  <si>
    <t>PE42163571</t>
  </si>
  <si>
    <t>Gabriela Carolina</t>
  </si>
  <si>
    <t>Liendo</t>
  </si>
  <si>
    <t>Grados</t>
  </si>
  <si>
    <t>Analista Investigacion Y Desarrollo</t>
  </si>
  <si>
    <t>Mirella Analy Chacon</t>
  </si>
  <si>
    <t>PE47486559</t>
  </si>
  <si>
    <t>Los Cipreses</t>
  </si>
  <si>
    <t>San Juan</t>
  </si>
  <si>
    <t>Huaura</t>
  </si>
  <si>
    <t>Vegueta</t>
  </si>
  <si>
    <t>PE40060146</t>
  </si>
  <si>
    <t>Claudio</t>
  </si>
  <si>
    <t>Farfan</t>
  </si>
  <si>
    <t>Navarro</t>
  </si>
  <si>
    <t>Comercial</t>
  </si>
  <si>
    <t>Micaela Bastidas Sector 1</t>
  </si>
  <si>
    <t>PE44755502</t>
  </si>
  <si>
    <t>Diana</t>
  </si>
  <si>
    <t>Cayetano</t>
  </si>
  <si>
    <t>Fuentes</t>
  </si>
  <si>
    <t>Jose Carlos Mariatequi</t>
  </si>
  <si>
    <t>Huascar</t>
  </si>
  <si>
    <t>PE41726567</t>
  </si>
  <si>
    <t>Juan Manuel</t>
  </si>
  <si>
    <t>Conde</t>
  </si>
  <si>
    <t>Lider Linea</t>
  </si>
  <si>
    <t>Sector 3</t>
  </si>
  <si>
    <t>Gru. Grupo</t>
  </si>
  <si>
    <t>Villa El Salvador</t>
  </si>
  <si>
    <t>PE72209198</t>
  </si>
  <si>
    <t>Luis Antonio</t>
  </si>
  <si>
    <t>Oscanoa</t>
  </si>
  <si>
    <t>Leon</t>
  </si>
  <si>
    <t>Ucv 138 Lt 51 Zona I</t>
  </si>
  <si>
    <t>Ucv 138</t>
  </si>
  <si>
    <t>PE62809492</t>
  </si>
  <si>
    <t>Adriano Jesus</t>
  </si>
  <si>
    <t>Castro</t>
  </si>
  <si>
    <t>Alva</t>
  </si>
  <si>
    <t>Av Tupac Amaru Mz V1 Lt 12</t>
  </si>
  <si>
    <t>Cerro Camote</t>
  </si>
  <si>
    <t>PE48744124</t>
  </si>
  <si>
    <t>Gabriel Marino</t>
  </si>
  <si>
    <t>Martinez</t>
  </si>
  <si>
    <t>Parra</t>
  </si>
  <si>
    <t>Analista Laboratorio</t>
  </si>
  <si>
    <t>Yuri Maikel Lopez</t>
  </si>
  <si>
    <t>PE43654482</t>
  </si>
  <si>
    <t>Asent. H. Upis Huascar De Canto Grande</t>
  </si>
  <si>
    <t>Upis Huascar De Canto Grande</t>
  </si>
  <si>
    <t>PE74395102</t>
  </si>
  <si>
    <t>Roman Orlando</t>
  </si>
  <si>
    <t>Llontop</t>
  </si>
  <si>
    <t>Arevalo</t>
  </si>
  <si>
    <t>Asistente Laboratorio</t>
  </si>
  <si>
    <t>Samillan Baca</t>
  </si>
  <si>
    <t>Cercado De Lambayequ</t>
  </si>
  <si>
    <t>Lambayeque</t>
  </si>
  <si>
    <t>PE70204815</t>
  </si>
  <si>
    <t>Mirla Lizet</t>
  </si>
  <si>
    <t>Roque</t>
  </si>
  <si>
    <t>Mendoza</t>
  </si>
  <si>
    <t>Supervisor Aseguramiento Calidad</t>
  </si>
  <si>
    <t>las llanuras</t>
  </si>
  <si>
    <t>las praderas</t>
  </si>
  <si>
    <t>El Agustino</t>
  </si>
  <si>
    <t>PE74889828</t>
  </si>
  <si>
    <t>Kevin Diomedes</t>
  </si>
  <si>
    <t>Sotelo</t>
  </si>
  <si>
    <t>San Valentin 2da</t>
  </si>
  <si>
    <t>PE76777653</t>
  </si>
  <si>
    <t>Lizbeth Vanesa</t>
  </si>
  <si>
    <t>Quisuruco</t>
  </si>
  <si>
    <t>Benito</t>
  </si>
  <si>
    <t>Berlinas</t>
  </si>
  <si>
    <t>PE75969412</t>
  </si>
  <si>
    <t>Ele Felipe</t>
  </si>
  <si>
    <t>Sihuin</t>
  </si>
  <si>
    <t>SANTA MARIA BAJA</t>
  </si>
  <si>
    <t>PE60240766</t>
  </si>
  <si>
    <t>Raul Richard</t>
  </si>
  <si>
    <t>Huaman</t>
  </si>
  <si>
    <t>Quispe</t>
  </si>
  <si>
    <t>Santa Aurelia</t>
  </si>
  <si>
    <t>SANTA AURELIA</t>
  </si>
  <si>
    <t>Santa Anita</t>
  </si>
  <si>
    <t>PE46942076</t>
  </si>
  <si>
    <t>Luis Jhordy</t>
  </si>
  <si>
    <t>Diaz</t>
  </si>
  <si>
    <t>Callalli</t>
  </si>
  <si>
    <t>Tecnico Mantenimiento Industrial</t>
  </si>
  <si>
    <t>Stewart Jefferson Lopez</t>
  </si>
  <si>
    <t>PE73572523</t>
  </si>
  <si>
    <t>Santa Eliza</t>
  </si>
  <si>
    <t>Stewart Jefferson</t>
  </si>
  <si>
    <t>Melendez</t>
  </si>
  <si>
    <t>Supervisor Mantenimiento Logistico</t>
  </si>
  <si>
    <t>Pedro Arturo Valdivia</t>
  </si>
  <si>
    <t>PE46578279</t>
  </si>
  <si>
    <t>El Portillo</t>
  </si>
  <si>
    <t>PE76688655</t>
  </si>
  <si>
    <t>Milagros</t>
  </si>
  <si>
    <t>Crisostomo</t>
  </si>
  <si>
    <t>Aliaga</t>
  </si>
  <si>
    <t>Santa Cruz De Cajamarquilla Calle Los Molles</t>
  </si>
  <si>
    <t>PE46103793</t>
  </si>
  <si>
    <t>Carmen Rosa</t>
  </si>
  <si>
    <t>Acha</t>
  </si>
  <si>
    <t>Llacsahuanga</t>
  </si>
  <si>
    <t>A.H Señor De Huanca</t>
  </si>
  <si>
    <t>PE70728601</t>
  </si>
  <si>
    <t>Adrian Alonso</t>
  </si>
  <si>
    <t>Raucana</t>
  </si>
  <si>
    <t>Rengifo</t>
  </si>
  <si>
    <t>Asociacion Vecinal 25 De Julio</t>
  </si>
  <si>
    <t>25 De Julio</t>
  </si>
  <si>
    <t>PE73781477</t>
  </si>
  <si>
    <t>Ariadna Antuane</t>
  </si>
  <si>
    <t>Cerron</t>
  </si>
  <si>
    <t>Pacheco</t>
  </si>
  <si>
    <t>Los Cedros Mz L6 Lt19 Anexo 08 Proyecto 2000</t>
  </si>
  <si>
    <t>PE45256672</t>
  </si>
  <si>
    <t>Beatriz</t>
  </si>
  <si>
    <t>Sulca</t>
  </si>
  <si>
    <t>Asoc.Monterrico</t>
  </si>
  <si>
    <t>PE47468354</t>
  </si>
  <si>
    <t>Angel David</t>
  </si>
  <si>
    <t>Aguilar</t>
  </si>
  <si>
    <t>Salas</t>
  </si>
  <si>
    <t>Corinto El Agustino</t>
  </si>
  <si>
    <t>Circunvalacion</t>
  </si>
  <si>
    <t>George Frey</t>
  </si>
  <si>
    <t>Vega</t>
  </si>
  <si>
    <t>Morales</t>
  </si>
  <si>
    <t>Supervisor Produccion</t>
  </si>
  <si>
    <t>Lorena Maria Mercedes Galvez</t>
  </si>
  <si>
    <t>PE44471630</t>
  </si>
  <si>
    <t>Heroismo</t>
  </si>
  <si>
    <t>Urb. Pro</t>
  </si>
  <si>
    <t>PE75585219</t>
  </si>
  <si>
    <t>Jennifer Carol</t>
  </si>
  <si>
    <t>Basilio</t>
  </si>
  <si>
    <t>Soncco</t>
  </si>
  <si>
    <t>AAHH Santa Maria</t>
  </si>
  <si>
    <t>SANTA MARIA</t>
  </si>
  <si>
    <t>PE60378508</t>
  </si>
  <si>
    <t>Julissa</t>
  </si>
  <si>
    <t>Pucllas</t>
  </si>
  <si>
    <t>Esteban</t>
  </si>
  <si>
    <t>Lurigaancho</t>
  </si>
  <si>
    <t>CASA HUERTA CAMPIÑA</t>
  </si>
  <si>
    <t>PE46470083</t>
  </si>
  <si>
    <t>David Lionel</t>
  </si>
  <si>
    <t>Muñoz</t>
  </si>
  <si>
    <t>Leoncio Prado Heroes Del Pacifico</t>
  </si>
  <si>
    <t>Parcela B</t>
  </si>
  <si>
    <t>PE74715510</t>
  </si>
  <si>
    <t>Dayanna Thifanny</t>
  </si>
  <si>
    <t>Tovar</t>
  </si>
  <si>
    <t>Av. Cajamarquilla</t>
  </si>
  <si>
    <t>Asociacion Nuevo Milenio</t>
  </si>
  <si>
    <t>PE75629498</t>
  </si>
  <si>
    <t>Francisco Lorenzo</t>
  </si>
  <si>
    <t>Churampi</t>
  </si>
  <si>
    <t>Vite</t>
  </si>
  <si>
    <t>Cajamarquila</t>
  </si>
  <si>
    <t>Villa Leticia</t>
  </si>
  <si>
    <t>PE70987322</t>
  </si>
  <si>
    <t>William Franz</t>
  </si>
  <si>
    <t>Rojas</t>
  </si>
  <si>
    <t>Gomez</t>
  </si>
  <si>
    <t>Nueva Esperanza, Amauta - Inmaculada Concepcion</t>
  </si>
  <si>
    <t>Cuba</t>
  </si>
  <si>
    <t>PE04085141</t>
  </si>
  <si>
    <t>Silvia Rosi</t>
  </si>
  <si>
    <t>Sarmiento</t>
  </si>
  <si>
    <t>San Antonio De Carapongo</t>
  </si>
  <si>
    <t>PE76375330</t>
  </si>
  <si>
    <t>Maria Elena</t>
  </si>
  <si>
    <t>Sutta</t>
  </si>
  <si>
    <t>Lapa</t>
  </si>
  <si>
    <t>Asoc.Cruz De Ate Vitarte</t>
  </si>
  <si>
    <t>Cruz De Ate</t>
  </si>
  <si>
    <t>PE75728108</t>
  </si>
  <si>
    <t>Alan</t>
  </si>
  <si>
    <t>Gonzales</t>
  </si>
  <si>
    <t>Sangama</t>
  </si>
  <si>
    <t>Santa Ines</t>
  </si>
  <si>
    <t>Tagore</t>
  </si>
  <si>
    <t>PE75793870</t>
  </si>
  <si>
    <t>Mercedes Anais</t>
  </si>
  <si>
    <t>Vejar</t>
  </si>
  <si>
    <t>Mz G Lt 16 Cajamarquilla</t>
  </si>
  <si>
    <t>Fame</t>
  </si>
  <si>
    <t>PE42461254</t>
  </si>
  <si>
    <t>Mersedes Digna</t>
  </si>
  <si>
    <t>Mejia</t>
  </si>
  <si>
    <t>Salinas</t>
  </si>
  <si>
    <t>Los Pinos</t>
  </si>
  <si>
    <t>PE71104458</t>
  </si>
  <si>
    <t>Julio Miguel</t>
  </si>
  <si>
    <t>Frias</t>
  </si>
  <si>
    <t>Ordinola</t>
  </si>
  <si>
    <t>Mariano Angulo</t>
  </si>
  <si>
    <t>PE71895664</t>
  </si>
  <si>
    <t>Abel</t>
  </si>
  <si>
    <t>Apasi</t>
  </si>
  <si>
    <t>Contreras</t>
  </si>
  <si>
    <t>Bio Huerto Avanza Pe</t>
  </si>
  <si>
    <t>C HUAYCAN</t>
  </si>
  <si>
    <t>PE45396352</t>
  </si>
  <si>
    <t>Jaime Jose</t>
  </si>
  <si>
    <t>Obregon</t>
  </si>
  <si>
    <t>Ucv 181</t>
  </si>
  <si>
    <t>Huaycan Zona O</t>
  </si>
  <si>
    <t>PE71927458</t>
  </si>
  <si>
    <t>Joaquin Aaron</t>
  </si>
  <si>
    <t>Gonza</t>
  </si>
  <si>
    <t>Hidalgo</t>
  </si>
  <si>
    <t>El Bosque</t>
  </si>
  <si>
    <t>PE70089440</t>
  </si>
  <si>
    <t>Isabel Luisa</t>
  </si>
  <si>
    <t>Orencio</t>
  </si>
  <si>
    <t>Paraiso De Cajamarquilla</t>
  </si>
  <si>
    <t>PE76345436</t>
  </si>
  <si>
    <t>Segundo Edinson</t>
  </si>
  <si>
    <t>Vela</t>
  </si>
  <si>
    <t>Las Brisas De Huachipa</t>
  </si>
  <si>
    <t>Brisas</t>
  </si>
  <si>
    <t>PE46410317</t>
  </si>
  <si>
    <t>Deyvi Estiben</t>
  </si>
  <si>
    <t>Salsavilca</t>
  </si>
  <si>
    <t>Marcelo</t>
  </si>
  <si>
    <t>Manuel Scorza</t>
  </si>
  <si>
    <t>PE42570586</t>
  </si>
  <si>
    <t>Guillermo</t>
  </si>
  <si>
    <t>Taylor</t>
  </si>
  <si>
    <t>Hinostroza</t>
  </si>
  <si>
    <t>Los Vencedores</t>
  </si>
  <si>
    <t>Santoyo</t>
  </si>
  <si>
    <t>PE46809991</t>
  </si>
  <si>
    <t>Richard Virgilio</t>
  </si>
  <si>
    <t>Chuquiyauri</t>
  </si>
  <si>
    <t>Sullca</t>
  </si>
  <si>
    <t>Jaime Zubieta</t>
  </si>
  <si>
    <t>Horacio Zevallos Games</t>
  </si>
  <si>
    <t>PE71149638</t>
  </si>
  <si>
    <t>Magda Amelia</t>
  </si>
  <si>
    <t>Ccencho</t>
  </si>
  <si>
    <t>Vargas</t>
  </si>
  <si>
    <t>Avenida La Union</t>
  </si>
  <si>
    <t>SANTA CRUZ</t>
  </si>
  <si>
    <t>PE43197972</t>
  </si>
  <si>
    <t>Alex Edwin</t>
  </si>
  <si>
    <t>Malpartida</t>
  </si>
  <si>
    <t>Los Olivos De Ate</t>
  </si>
  <si>
    <t>Los Olivos Tercera Etapa</t>
  </si>
  <si>
    <t>PE70164008</t>
  </si>
  <si>
    <t>Daniel</t>
  </si>
  <si>
    <t>Mallcco</t>
  </si>
  <si>
    <t>Urbanizacion</t>
  </si>
  <si>
    <t>PE70311310</t>
  </si>
  <si>
    <t>Yoliza</t>
  </si>
  <si>
    <t>Medina</t>
  </si>
  <si>
    <t>Casa Huerta La Campiã‘A Mz F Lote 26 Sector A</t>
  </si>
  <si>
    <t>PE72324950</t>
  </si>
  <si>
    <t>Moreli Marisol</t>
  </si>
  <si>
    <t>Mori</t>
  </si>
  <si>
    <t>Bardales</t>
  </si>
  <si>
    <t>Las Viñas</t>
  </si>
  <si>
    <t>San Antonio De Huarochiri</t>
  </si>
  <si>
    <t>PE40999549</t>
  </si>
  <si>
    <t>Karina Naismith</t>
  </si>
  <si>
    <t>Valverde</t>
  </si>
  <si>
    <t>Cochachi</t>
  </si>
  <si>
    <t>Av. Alfonzo Ugarte Asoc Paraiso Mz A Lt 4</t>
  </si>
  <si>
    <t>PE46598785</t>
  </si>
  <si>
    <t>Liz Marisol</t>
  </si>
  <si>
    <t>Tarazona</t>
  </si>
  <si>
    <t>Peña</t>
  </si>
  <si>
    <t>Ucv 159B Zona K Lt 77 Huaycan</t>
  </si>
  <si>
    <t>Ucv 159B</t>
  </si>
  <si>
    <t>PE74722949</t>
  </si>
  <si>
    <t>Kevin Yeyson</t>
  </si>
  <si>
    <t>Carhuas</t>
  </si>
  <si>
    <t>Zuñiga</t>
  </si>
  <si>
    <t>Carretera Central</t>
  </si>
  <si>
    <t>Los Pinos De San Jua</t>
  </si>
  <si>
    <t>PE75524430</t>
  </si>
  <si>
    <t>Ruth Vanessa</t>
  </si>
  <si>
    <t>Porras</t>
  </si>
  <si>
    <t>Lucas</t>
  </si>
  <si>
    <t>LOS OLIVOS</t>
  </si>
  <si>
    <t>PE45323773</t>
  </si>
  <si>
    <t>Yesica</t>
  </si>
  <si>
    <t>Cristobal</t>
  </si>
  <si>
    <t>Majino</t>
  </si>
  <si>
    <t>Las Lomas De Santa Clara</t>
  </si>
  <si>
    <t>Santa Clara</t>
  </si>
  <si>
    <t>PE77431695</t>
  </si>
  <si>
    <t>Emerson Uriel</t>
  </si>
  <si>
    <t>Sinche</t>
  </si>
  <si>
    <t>Brisas De Huachipa</t>
  </si>
  <si>
    <t>Las Brisas</t>
  </si>
  <si>
    <t>PE62670306</t>
  </si>
  <si>
    <t>Mayra Alexandra</t>
  </si>
  <si>
    <t>Ticllacuri</t>
  </si>
  <si>
    <t>Taype</t>
  </si>
  <si>
    <t>Asc. Las Casuarinas Niveria- Huachipa</t>
  </si>
  <si>
    <t>Las Casuarinas</t>
  </si>
  <si>
    <t>PE74701953</t>
  </si>
  <si>
    <t>Yony Cristhian</t>
  </si>
  <si>
    <t>Urb Progr. Los Aviadores 2Da. Etapa</t>
  </si>
  <si>
    <t>PE45335895</t>
  </si>
  <si>
    <t>Hilda Karinna</t>
  </si>
  <si>
    <t>Pinillos</t>
  </si>
  <si>
    <t>Meneses</t>
  </si>
  <si>
    <t>Asociacion Santa Rosa De Huamanga Mza B Lte 16</t>
  </si>
  <si>
    <t>PE75679877</t>
  </si>
  <si>
    <t>Julio Guillermo</t>
  </si>
  <si>
    <t>Zelaya</t>
  </si>
  <si>
    <t>Cacuna</t>
  </si>
  <si>
    <t>Asociacion La Floresta De Campoy</t>
  </si>
  <si>
    <t>PE47092259</t>
  </si>
  <si>
    <t>Vidal</t>
  </si>
  <si>
    <t>Alarcon</t>
  </si>
  <si>
    <t>Zona Q</t>
  </si>
  <si>
    <t>P.J. Pueblo Joven</t>
  </si>
  <si>
    <t>Huaycan Ucv 200C 4Ta Etapa</t>
  </si>
  <si>
    <t>PE75498331</t>
  </si>
  <si>
    <t>Luz Magdalena</t>
  </si>
  <si>
    <t>Vilca</t>
  </si>
  <si>
    <t>Hilario</t>
  </si>
  <si>
    <t>Pucallpa</t>
  </si>
  <si>
    <t>Julio C.Tello</t>
  </si>
  <si>
    <t>PE78008604</t>
  </si>
  <si>
    <t>Veronica Claudia</t>
  </si>
  <si>
    <t>Ccaico</t>
  </si>
  <si>
    <t>Jicamarca</t>
  </si>
  <si>
    <t>PE76165292</t>
  </si>
  <si>
    <t>Yubally Margarita</t>
  </si>
  <si>
    <t>Mallma</t>
  </si>
  <si>
    <t>Ventura</t>
  </si>
  <si>
    <t>Laureles</t>
  </si>
  <si>
    <t>CAMPIÑA</t>
  </si>
  <si>
    <t>PE40454895</t>
  </si>
  <si>
    <t>Jose Antonio</t>
  </si>
  <si>
    <t>Nuñez</t>
  </si>
  <si>
    <t>Galindo</t>
  </si>
  <si>
    <t>Las Torres</t>
  </si>
  <si>
    <t>14 De Febrero</t>
  </si>
  <si>
    <t>PE42524122</t>
  </si>
  <si>
    <t>David Samuel</t>
  </si>
  <si>
    <t>Argandoña</t>
  </si>
  <si>
    <t>Los Angeles Sec F Mz B Lt 35</t>
  </si>
  <si>
    <t>PE44516924</t>
  </si>
  <si>
    <t>Geison Jesus</t>
  </si>
  <si>
    <t>Coral</t>
  </si>
  <si>
    <t>Salcedo</t>
  </si>
  <si>
    <t>Jefe Gestion Humana Centros Log</t>
  </si>
  <si>
    <t>Guiselle Stephania Alatrista</t>
  </si>
  <si>
    <t>Res. Residencial</t>
  </si>
  <si>
    <t>Los Girasoles</t>
  </si>
  <si>
    <t>PE70851365</t>
  </si>
  <si>
    <t>Pamela Noemi</t>
  </si>
  <si>
    <t>Canta</t>
  </si>
  <si>
    <t>Pedro Sanchez</t>
  </si>
  <si>
    <t>Pedro Sánchez</t>
  </si>
  <si>
    <t>PE72925829</t>
  </si>
  <si>
    <t>Jhon Kenedy</t>
  </si>
  <si>
    <t>Juster</t>
  </si>
  <si>
    <t>Soto</t>
  </si>
  <si>
    <t>Ate Vitarte</t>
  </si>
  <si>
    <t>Vec 13 De Junio</t>
  </si>
  <si>
    <t>PE73469317</t>
  </si>
  <si>
    <t>Willy</t>
  </si>
  <si>
    <t>Jose Carlos Mariategui</t>
  </si>
  <si>
    <t>PE61106917</t>
  </si>
  <si>
    <t>Carlos Alberto</t>
  </si>
  <si>
    <t>Leyva</t>
  </si>
  <si>
    <t>Huamanta</t>
  </si>
  <si>
    <t>Psj Las Moras 197</t>
  </si>
  <si>
    <t>CALLE</t>
  </si>
  <si>
    <t>PE75534913</t>
  </si>
  <si>
    <t>Kiara Yommi</t>
  </si>
  <si>
    <t>Queki</t>
  </si>
  <si>
    <t>Los Lirios</t>
  </si>
  <si>
    <t>SAN PEDRO SAN PABLO</t>
  </si>
  <si>
    <t>PE60699021</t>
  </si>
  <si>
    <t>Kevin Percy</t>
  </si>
  <si>
    <t>Pando</t>
  </si>
  <si>
    <t>Ucv 23 B Lote 38 R</t>
  </si>
  <si>
    <t>Zona R</t>
  </si>
  <si>
    <t>PE46245212</t>
  </si>
  <si>
    <t>Jhon Kervin</t>
  </si>
  <si>
    <t>Pino</t>
  </si>
  <si>
    <t>Cabezas</t>
  </si>
  <si>
    <t>Ucv 200</t>
  </si>
  <si>
    <t>PE73181144</t>
  </si>
  <si>
    <t>Cristhina Del Rocio</t>
  </si>
  <si>
    <t>Castañeda</t>
  </si>
  <si>
    <t>Rodrigo</t>
  </si>
  <si>
    <t>Caudivilla</t>
  </si>
  <si>
    <t>Los Sauces De Caraba</t>
  </si>
  <si>
    <t>Carabayllo</t>
  </si>
  <si>
    <t>Juan Anthony</t>
  </si>
  <si>
    <t>Antunez</t>
  </si>
  <si>
    <t>Supervisor Control Calidad</t>
  </si>
  <si>
    <t>Eleazar Blanco 348</t>
  </si>
  <si>
    <t>Pueblo Libre</t>
  </si>
  <si>
    <t>PE70071585</t>
  </si>
  <si>
    <t>Xena Maribi</t>
  </si>
  <si>
    <t>Trigos</t>
  </si>
  <si>
    <t>Quirio Nicolas Pier</t>
  </si>
  <si>
    <t>QUIRIO</t>
  </si>
  <si>
    <t>PE48257849</t>
  </si>
  <si>
    <t>Wendily Shehila</t>
  </si>
  <si>
    <t>Merino</t>
  </si>
  <si>
    <t>Napoles</t>
  </si>
  <si>
    <t>SECTOR LOS OLIVOS</t>
  </si>
  <si>
    <t>PE71171923</t>
  </si>
  <si>
    <t>Gabriela Angely</t>
  </si>
  <si>
    <t>Amaya</t>
  </si>
  <si>
    <t>Huaycan</t>
  </si>
  <si>
    <t>ZONA Z</t>
  </si>
  <si>
    <t>PE72260448</t>
  </si>
  <si>
    <t>Diego Pastor</t>
  </si>
  <si>
    <t>Delgado</t>
  </si>
  <si>
    <t>Las Retamas</t>
  </si>
  <si>
    <t>Villa Rica</t>
  </si>
  <si>
    <t>PE72637076</t>
  </si>
  <si>
    <t>Jackeline Jelitza</t>
  </si>
  <si>
    <t>Torres</t>
  </si>
  <si>
    <t>Alvarez</t>
  </si>
  <si>
    <t>Jackeline Torres Alvarez</t>
  </si>
  <si>
    <t>Asc Casa Huertas Nin</t>
  </si>
  <si>
    <t>PE46935012</t>
  </si>
  <si>
    <t>Elsa</t>
  </si>
  <si>
    <t>Zamudio</t>
  </si>
  <si>
    <t>Quinto</t>
  </si>
  <si>
    <t>Casa Huerta La Campiã‘A</t>
  </si>
  <si>
    <t>PE76503729</t>
  </si>
  <si>
    <t>Hade Jimena</t>
  </si>
  <si>
    <t>Felix</t>
  </si>
  <si>
    <t>Zona E</t>
  </si>
  <si>
    <t>HUAYCAN</t>
  </si>
  <si>
    <t>PE62905266</t>
  </si>
  <si>
    <t>Sarvia Genesis</t>
  </si>
  <si>
    <t>Cuñaña</t>
  </si>
  <si>
    <t>Fortaleza</t>
  </si>
  <si>
    <t>ANDAHUAYLAS</t>
  </si>
  <si>
    <t>PE76283431</t>
  </si>
  <si>
    <t>Kevin Aldair</t>
  </si>
  <si>
    <t>Gasco</t>
  </si>
  <si>
    <t>Psj Brasil</t>
  </si>
  <si>
    <t>Aahh San Juan De Campoy</t>
  </si>
  <si>
    <t>PE44849229</t>
  </si>
  <si>
    <t>Carmen</t>
  </si>
  <si>
    <t>Eusebio</t>
  </si>
  <si>
    <t>Huisa</t>
  </si>
  <si>
    <t>Casa Huerta La Campiã‘A Mz N Lt 5</t>
  </si>
  <si>
    <t>PE75669413</t>
  </si>
  <si>
    <t>Vanessa</t>
  </si>
  <si>
    <t>Huallpa</t>
  </si>
  <si>
    <t>Pariansullca</t>
  </si>
  <si>
    <t>Casualidad Nieveria</t>
  </si>
  <si>
    <t>Nieveria</t>
  </si>
  <si>
    <t>PE47250935</t>
  </si>
  <si>
    <t>Yeslin Violeta</t>
  </si>
  <si>
    <t>Las Dalias</t>
  </si>
  <si>
    <t>Asoc.El Mirador</t>
  </si>
  <si>
    <t>PE44965701</t>
  </si>
  <si>
    <t>Dario</t>
  </si>
  <si>
    <t>Narciso</t>
  </si>
  <si>
    <t>Cespedes</t>
  </si>
  <si>
    <t>Pitajalla</t>
  </si>
  <si>
    <t>Cajamarquilla Lurigancho _Chosica</t>
  </si>
  <si>
    <t>Mirella Analy</t>
  </si>
  <si>
    <t>Chacon</t>
  </si>
  <si>
    <t>Jefe Investigacion y Desarrollo Planta</t>
  </si>
  <si>
    <t>Asoc.De Vivienda El Triunfo</t>
  </si>
  <si>
    <t>El Triunfo</t>
  </si>
  <si>
    <t>PE29559204</t>
  </si>
  <si>
    <t>Alexander Tony</t>
  </si>
  <si>
    <t>Ancco</t>
  </si>
  <si>
    <t>Caceres</t>
  </si>
  <si>
    <t>Los Geraneos De Huachipa</t>
  </si>
  <si>
    <t>PE71296175</t>
  </si>
  <si>
    <t>Miriam Andrea</t>
  </si>
  <si>
    <t>Rua</t>
  </si>
  <si>
    <t>Sector Jicamarca</t>
  </si>
  <si>
    <t>PE71897386</t>
  </si>
  <si>
    <t>Frank Anthony</t>
  </si>
  <si>
    <t>Laurente</t>
  </si>
  <si>
    <t>Lurigancho/ Chosica</t>
  </si>
  <si>
    <t>CAMPIÑA SECTOR A</t>
  </si>
  <si>
    <t>PE45130925</t>
  </si>
  <si>
    <t>Jose Luis</t>
  </si>
  <si>
    <t>Crespo</t>
  </si>
  <si>
    <t>Mercado</t>
  </si>
  <si>
    <t>Yanacoto</t>
  </si>
  <si>
    <t>PE40022634</t>
  </si>
  <si>
    <t>Abel Eduardo</t>
  </si>
  <si>
    <t>Diestra</t>
  </si>
  <si>
    <t>Moran</t>
  </si>
  <si>
    <t>San Martin</t>
  </si>
  <si>
    <t>Los Girasoles De Santa Clara</t>
  </si>
  <si>
    <t>PE73965881</t>
  </si>
  <si>
    <t>Betsy Gionna</t>
  </si>
  <si>
    <t>Yupanqui</t>
  </si>
  <si>
    <t>Javier</t>
  </si>
  <si>
    <t>Carretera</t>
  </si>
  <si>
    <t>Agrp Fam La Rinconada Antonio Nieveria</t>
  </si>
  <si>
    <t>PE75837729</t>
  </si>
  <si>
    <t>Jhordy Jheral</t>
  </si>
  <si>
    <t>Orihuela</t>
  </si>
  <si>
    <t>15 De Julio</t>
  </si>
  <si>
    <t>K</t>
  </si>
  <si>
    <t>PE77686297</t>
  </si>
  <si>
    <t>Claudia</t>
  </si>
  <si>
    <t>Portillo</t>
  </si>
  <si>
    <t>Santa Rosa</t>
  </si>
  <si>
    <t>Arena Santa Clara Ate</t>
  </si>
  <si>
    <t>PE73084080</t>
  </si>
  <si>
    <t>Guerra</t>
  </si>
  <si>
    <t>Los Jazmines De Jerusalen</t>
  </si>
  <si>
    <t>Canto Bello</t>
  </si>
  <si>
    <t>PE61037479</t>
  </si>
  <si>
    <t>Jicler</t>
  </si>
  <si>
    <t>Caritimari</t>
  </si>
  <si>
    <t>Yumbato</t>
  </si>
  <si>
    <t>Progresista</t>
  </si>
  <si>
    <t>Ceres Medio</t>
  </si>
  <si>
    <t>PE72182749</t>
  </si>
  <si>
    <t>Araceli Rosmery</t>
  </si>
  <si>
    <t>Asoc.Sol De Cajamarquilla Mz.N Lote 2</t>
  </si>
  <si>
    <t>Sol De Cajamarquilla</t>
  </si>
  <si>
    <t>PE73191823</t>
  </si>
  <si>
    <t>Andre David</t>
  </si>
  <si>
    <t>Evans</t>
  </si>
  <si>
    <t>Asistente Investigacion Y Desarrollo</t>
  </si>
  <si>
    <t>Nathaly Anabel Aguilar</t>
  </si>
  <si>
    <t>PE71036917</t>
  </si>
  <si>
    <t>JIRON RIOBAMBA 2065 URB PERU</t>
  </si>
  <si>
    <t>PE75129819</t>
  </si>
  <si>
    <t>Roberto Antonio</t>
  </si>
  <si>
    <t>Tapia</t>
  </si>
  <si>
    <t>Aahh</t>
  </si>
  <si>
    <t>Union Y Progreso 14 De Febrero</t>
  </si>
  <si>
    <t>PE75087893</t>
  </si>
  <si>
    <t>Juan Carlos</t>
  </si>
  <si>
    <t>Cabeza</t>
  </si>
  <si>
    <t>Santa Cruz</t>
  </si>
  <si>
    <t>PE72208946</t>
  </si>
  <si>
    <t>Maicol Emerson</t>
  </si>
  <si>
    <t>Casa</t>
  </si>
  <si>
    <t>Asoc.Prov.Vv.El Vallecito De Santa Clara</t>
  </si>
  <si>
    <t>Asoc.Pro.Viv.El Vallecito De Santa Clara</t>
  </si>
  <si>
    <t>PE74653336</t>
  </si>
  <si>
    <t>Nilton Arturo</t>
  </si>
  <si>
    <t>Mamani</t>
  </si>
  <si>
    <t>Coaquira</t>
  </si>
  <si>
    <t>Los Moros</t>
  </si>
  <si>
    <t>Ceres</t>
  </si>
  <si>
    <t>PE76272895</t>
  </si>
  <si>
    <t>Albert Jeanpoul</t>
  </si>
  <si>
    <t>Davila</t>
  </si>
  <si>
    <t>Pomalazo</t>
  </si>
  <si>
    <t>PE46062357</t>
  </si>
  <si>
    <t>Francesca Paola</t>
  </si>
  <si>
    <t>Retamozo</t>
  </si>
  <si>
    <t>7 De Abril</t>
  </si>
  <si>
    <t>PE74048181</t>
  </si>
  <si>
    <t>Jose Oswaldo</t>
  </si>
  <si>
    <t>Nueva Rinconada</t>
  </si>
  <si>
    <t>ALTO PROGRESO</t>
  </si>
  <si>
    <t>San Juan De Miraflores</t>
  </si>
  <si>
    <t>PE42483283</t>
  </si>
  <si>
    <t>Gina Elizabeth</t>
  </si>
  <si>
    <t>Lazo</t>
  </si>
  <si>
    <t>Ilucion</t>
  </si>
  <si>
    <t>T Ucv 219 Huaycan</t>
  </si>
  <si>
    <t>PE48640611</t>
  </si>
  <si>
    <t>Cristhian</t>
  </si>
  <si>
    <t>PE78288071</t>
  </si>
  <si>
    <t>German Yerely</t>
  </si>
  <si>
    <t>Rivadeneyra</t>
  </si>
  <si>
    <t>Heredia</t>
  </si>
  <si>
    <t>Av Los Constructores</t>
  </si>
  <si>
    <t>Asoc.Viv.Mar Pacifico.Avimapa</t>
  </si>
  <si>
    <t>Const. Del Callao</t>
  </si>
  <si>
    <t>Callao</t>
  </si>
  <si>
    <t>Ventanilla</t>
  </si>
  <si>
    <t>PE08887588</t>
  </si>
  <si>
    <t>Luis Alberto</t>
  </si>
  <si>
    <t>Allazo</t>
  </si>
  <si>
    <t>Cañari</t>
  </si>
  <si>
    <t>Alameda</t>
  </si>
  <si>
    <t>De La Rivera</t>
  </si>
  <si>
    <t>PE45637406</t>
  </si>
  <si>
    <t>Yesenia Del Pilar</t>
  </si>
  <si>
    <t>Valderrama</t>
  </si>
  <si>
    <t>Sandoval</t>
  </si>
  <si>
    <t>Ampliación Ciudad De Los Constructores</t>
  </si>
  <si>
    <t>PE72980391</t>
  </si>
  <si>
    <t>Jael Magdiel Sua</t>
  </si>
  <si>
    <t>Arroyo</t>
  </si>
  <si>
    <t>Ucv</t>
  </si>
  <si>
    <t>Huaycan Zona E</t>
  </si>
  <si>
    <t>PE46983190</t>
  </si>
  <si>
    <t>Roosevelt Sadit</t>
  </si>
  <si>
    <t>Mariategui</t>
  </si>
  <si>
    <t>PE72785693</t>
  </si>
  <si>
    <t>Alex Eduardo</t>
  </si>
  <si>
    <t>Aroste</t>
  </si>
  <si>
    <t>Los Claveles</t>
  </si>
  <si>
    <t>La Encalada</t>
  </si>
  <si>
    <t>Nicolle Sandy</t>
  </si>
  <si>
    <t>Tacna 1056</t>
  </si>
  <si>
    <t>PE75087899</t>
  </si>
  <si>
    <t>Melisa Talia</t>
  </si>
  <si>
    <t>Coronel</t>
  </si>
  <si>
    <t>PE70736207</t>
  </si>
  <si>
    <t>Jassmiel Jashiro</t>
  </si>
  <si>
    <t>Carhuancho</t>
  </si>
  <si>
    <t>Cotrina</t>
  </si>
  <si>
    <t>Jose Carlos Mariateg</t>
  </si>
  <si>
    <t>PE73782981</t>
  </si>
  <si>
    <t>Janeth</t>
  </si>
  <si>
    <t>Yaranga</t>
  </si>
  <si>
    <t>Huarocc</t>
  </si>
  <si>
    <t>Huachipa Jicamarca</t>
  </si>
  <si>
    <t>PE46684046</t>
  </si>
  <si>
    <t>Maria</t>
  </si>
  <si>
    <t>Miranda</t>
  </si>
  <si>
    <t>Huaycan Zona Z|</t>
  </si>
  <si>
    <t>PE41164847</t>
  </si>
  <si>
    <t>Escribas</t>
  </si>
  <si>
    <t>13 De Enero</t>
  </si>
  <si>
    <t>San Hilarion 2° Etapa</t>
  </si>
  <si>
    <t>PE47142539</t>
  </si>
  <si>
    <t>Luis Alejandro</t>
  </si>
  <si>
    <t>Criollo</t>
  </si>
  <si>
    <t>Arrieta</t>
  </si>
  <si>
    <t>Mz I Lt 11 Sec B Casa Huerta La Campiña</t>
  </si>
  <si>
    <t>PE70069599</t>
  </si>
  <si>
    <t>Jorge Luis</t>
  </si>
  <si>
    <t>Arismendiz</t>
  </si>
  <si>
    <t>Praderas De Huachipa</t>
  </si>
  <si>
    <t>Arco</t>
  </si>
  <si>
    <t>PE62670296</t>
  </si>
  <si>
    <t>Cristian Anibal</t>
  </si>
  <si>
    <t>Villegas</t>
  </si>
  <si>
    <t>Asent.H Valle El Triunfo</t>
  </si>
  <si>
    <t>Valle El Triunfo</t>
  </si>
  <si>
    <t>PE77320590</t>
  </si>
  <si>
    <t>Greys Evelyn</t>
  </si>
  <si>
    <t>Sollier</t>
  </si>
  <si>
    <t>Asociacion Las Gaviotas 3 Etapa</t>
  </si>
  <si>
    <t>PE45760211</t>
  </si>
  <si>
    <t>Ernesto Antonio</t>
  </si>
  <si>
    <t>Jauregui</t>
  </si>
  <si>
    <t>Los Varayoc</t>
  </si>
  <si>
    <t>Zarate</t>
  </si>
  <si>
    <t>PE44565016</t>
  </si>
  <si>
    <t>Beatriz Sonia</t>
  </si>
  <si>
    <t>Susanibar</t>
  </si>
  <si>
    <t>Yauri</t>
  </si>
  <si>
    <t>Terrazas De Carapongo</t>
  </si>
  <si>
    <t>Cara</t>
  </si>
  <si>
    <t>PE44937300</t>
  </si>
  <si>
    <t>Haydee Virginia</t>
  </si>
  <si>
    <t>Asco A.H Alfa Omega</t>
  </si>
  <si>
    <t>ALFA Y OMEGA</t>
  </si>
  <si>
    <t>PE48248126</t>
  </si>
  <si>
    <t>Junior Brayan</t>
  </si>
  <si>
    <t>Olaya</t>
  </si>
  <si>
    <t>Chirinos</t>
  </si>
  <si>
    <t>Ovalo</t>
  </si>
  <si>
    <t>Jose Rodriguez De Mendoza 192</t>
  </si>
  <si>
    <t>PE76925137</t>
  </si>
  <si>
    <t>Luis Elmer</t>
  </si>
  <si>
    <t>Carranza</t>
  </si>
  <si>
    <t>Lulichac</t>
  </si>
  <si>
    <t>Asociación Las Brisas De Huachipa</t>
  </si>
  <si>
    <t>PE71630665</t>
  </si>
  <si>
    <t>Waldo Joel</t>
  </si>
  <si>
    <t>Elme</t>
  </si>
  <si>
    <t>San Pedro La Capitana</t>
  </si>
  <si>
    <t>PE43005721</t>
  </si>
  <si>
    <t>Renzo David</t>
  </si>
  <si>
    <t>Roca</t>
  </si>
  <si>
    <t>Taya</t>
  </si>
  <si>
    <t>Asoc. Las Gardenias 2Da Etapa</t>
  </si>
  <si>
    <t>Las Gardenias</t>
  </si>
  <si>
    <t>PE72452502</t>
  </si>
  <si>
    <t>Melissa Cristina</t>
  </si>
  <si>
    <t>Macavilca</t>
  </si>
  <si>
    <t>Crespo Y Castillo</t>
  </si>
  <si>
    <t>Mirones Bajo</t>
  </si>
  <si>
    <t>PE41927341</t>
  </si>
  <si>
    <t>Samuel Antonio</t>
  </si>
  <si>
    <t>Solis</t>
  </si>
  <si>
    <t>Hernandez</t>
  </si>
  <si>
    <t>Industrial 39 Int J</t>
  </si>
  <si>
    <t>PE70545383</t>
  </si>
  <si>
    <t>Danitza Lisbeth</t>
  </si>
  <si>
    <t>Vilchez</t>
  </si>
  <si>
    <t>Chiroque</t>
  </si>
  <si>
    <t>Las Flores</t>
  </si>
  <si>
    <t>PE60090229</t>
  </si>
  <si>
    <t>Mark Diego</t>
  </si>
  <si>
    <t>Tapara</t>
  </si>
  <si>
    <t>Horacio Zeballos</t>
  </si>
  <si>
    <t>SAN FRANCISCO</t>
  </si>
  <si>
    <t>PE42342558</t>
  </si>
  <si>
    <t>Walter Waldo</t>
  </si>
  <si>
    <t>Milla</t>
  </si>
  <si>
    <t>Ramos</t>
  </si>
  <si>
    <t>Pasaje N° 3</t>
  </si>
  <si>
    <t>San Lorenzo Ii</t>
  </si>
  <si>
    <t>PE71710106</t>
  </si>
  <si>
    <t>Jhoel Yoseyhin</t>
  </si>
  <si>
    <t>Cansinos</t>
  </si>
  <si>
    <t>Mz F Lt 5 Urb Fundo La Estrella</t>
  </si>
  <si>
    <t>Hoyos</t>
  </si>
  <si>
    <t>Sinchi</t>
  </si>
  <si>
    <t>Canto Chico</t>
  </si>
  <si>
    <t>PE74102087</t>
  </si>
  <si>
    <t>Greidy Stefanny Kiara</t>
  </si>
  <si>
    <t>Basilio Auqui</t>
  </si>
  <si>
    <t>PE41120784</t>
  </si>
  <si>
    <t>Nora Elizabeth</t>
  </si>
  <si>
    <t>Calzada</t>
  </si>
  <si>
    <t>Asoc. Flor De Las Magnolias</t>
  </si>
  <si>
    <t>Cajamarquilla</t>
  </si>
  <si>
    <t>PE47240682</t>
  </si>
  <si>
    <t>Lucila</t>
  </si>
  <si>
    <t>Guzman</t>
  </si>
  <si>
    <t>La Torre</t>
  </si>
  <si>
    <t>Av. Circunvalacion Mz. L Lote 17 C</t>
  </si>
  <si>
    <t>La Capitana</t>
  </si>
  <si>
    <t>PE44643643</t>
  </si>
  <si>
    <t>Katherin Lisbeth</t>
  </si>
  <si>
    <t>San Marcos</t>
  </si>
  <si>
    <t>Av San Marcos</t>
  </si>
  <si>
    <t>PE61090937</t>
  </si>
  <si>
    <t>Maria Milagros</t>
  </si>
  <si>
    <t>Sotomayor</t>
  </si>
  <si>
    <t>Las Moras</t>
  </si>
  <si>
    <t>AV. LOS CLAVELES</t>
  </si>
  <si>
    <t>PE70064273</t>
  </si>
  <si>
    <t>Pedro Jorge</t>
  </si>
  <si>
    <t>Parraga</t>
  </si>
  <si>
    <t>Suazo</t>
  </si>
  <si>
    <t>San Fernando Bajo</t>
  </si>
  <si>
    <t>CHOSICA</t>
  </si>
  <si>
    <t>PE76327834</t>
  </si>
  <si>
    <t>Araceli</t>
  </si>
  <si>
    <t>Carrion</t>
  </si>
  <si>
    <t>Cedroz</t>
  </si>
  <si>
    <t>EL BOSQUE</t>
  </si>
  <si>
    <t>PE60789464</t>
  </si>
  <si>
    <t>Lizeth Estefany</t>
  </si>
  <si>
    <t>La Rosa</t>
  </si>
  <si>
    <t>Cahuana</t>
  </si>
  <si>
    <t>Casa Huerta La Campiã‘A Mz R Lt 8 Sector B</t>
  </si>
  <si>
    <t>La Campiã‘A Sector B</t>
  </si>
  <si>
    <t>PE48682978</t>
  </si>
  <si>
    <t>Jhosselyn Sheyla</t>
  </si>
  <si>
    <t>Tomi</t>
  </si>
  <si>
    <t>Av.Circunvalacion</t>
  </si>
  <si>
    <t>Z.I. Zona Industrial</t>
  </si>
  <si>
    <t>Capitana</t>
  </si>
  <si>
    <t>PE42129576</t>
  </si>
  <si>
    <t>Edwin Alexander</t>
  </si>
  <si>
    <t>Solano</t>
  </si>
  <si>
    <t>Alayo</t>
  </si>
  <si>
    <t>Gabriela Carolina Liendo</t>
  </si>
  <si>
    <t>S/N</t>
  </si>
  <si>
    <t>Cristian Andre</t>
  </si>
  <si>
    <t>Burga</t>
  </si>
  <si>
    <t>Gunther Alfredo Flores</t>
  </si>
  <si>
    <t>PE10687724</t>
  </si>
  <si>
    <t>Sucre</t>
  </si>
  <si>
    <t>Magdalena Del Mar</t>
  </si>
  <si>
    <t>PE47686453</t>
  </si>
  <si>
    <t>Cesia Liz</t>
  </si>
  <si>
    <t>Valdivia</t>
  </si>
  <si>
    <t>Parcela Del Fundo Ni</t>
  </si>
  <si>
    <t>PE70515770</t>
  </si>
  <si>
    <t>July Elizabeth</t>
  </si>
  <si>
    <t>Montalban</t>
  </si>
  <si>
    <t>PE46455639</t>
  </si>
  <si>
    <t>Alicia Milagros</t>
  </si>
  <si>
    <t>Chinguel</t>
  </si>
  <si>
    <t>Calderon</t>
  </si>
  <si>
    <t>05 De Enero Horacio Zevallos</t>
  </si>
  <si>
    <t>5 De Enero</t>
  </si>
  <si>
    <t>PE40516669</t>
  </si>
  <si>
    <t>Lourdes</t>
  </si>
  <si>
    <t>Guisado</t>
  </si>
  <si>
    <t>Prado</t>
  </si>
  <si>
    <t>San Carlos</t>
  </si>
  <si>
    <t>PE46946603</t>
  </si>
  <si>
    <t>Cilicia</t>
  </si>
  <si>
    <t>Bautista</t>
  </si>
  <si>
    <t>Huachipa Nieveria</t>
  </si>
  <si>
    <t>PE76727001</t>
  </si>
  <si>
    <t>Alan Brandon</t>
  </si>
  <si>
    <t>Atoche</t>
  </si>
  <si>
    <t>Real Felipe</t>
  </si>
  <si>
    <t>Independencia</t>
  </si>
  <si>
    <t>PE74609855</t>
  </si>
  <si>
    <t>Thaira Zaory</t>
  </si>
  <si>
    <t>Manrique</t>
  </si>
  <si>
    <t>Cunyas</t>
  </si>
  <si>
    <t>San Juan De Cajamarquilla Mz B Lt 5, El Ayllu</t>
  </si>
  <si>
    <t>PE70528274</t>
  </si>
  <si>
    <t>William Giovany</t>
  </si>
  <si>
    <t>Vigo</t>
  </si>
  <si>
    <t>Horacio Zevallos -Ate</t>
  </si>
  <si>
    <t>Grupo E</t>
  </si>
  <si>
    <t>PE76042446</t>
  </si>
  <si>
    <t>Martel</t>
  </si>
  <si>
    <t>Ucv 84 Lt 56 Zona E</t>
  </si>
  <si>
    <t>PE72946654</t>
  </si>
  <si>
    <t>Arget Eduardo</t>
  </si>
  <si>
    <t>Belisario Suarez</t>
  </si>
  <si>
    <t>LOS CONSTRUCTORES</t>
  </si>
  <si>
    <t>PE45768792</t>
  </si>
  <si>
    <t>Anatolia</t>
  </si>
  <si>
    <t>Lanazca</t>
  </si>
  <si>
    <t>Los Laureles</t>
  </si>
  <si>
    <t>San Pedro Y San Pablo</t>
  </si>
  <si>
    <t>PE77551505</t>
  </si>
  <si>
    <t>Ana Cecilia</t>
  </si>
  <si>
    <t>Salhuana</t>
  </si>
  <si>
    <t>Chota</t>
  </si>
  <si>
    <t>Asociacion Casa Huerta 1Ro De Mayo , Jicarmarca An</t>
  </si>
  <si>
    <t>Asociacion 1Ro De Mayo</t>
  </si>
  <si>
    <t>PE75678858</t>
  </si>
  <si>
    <t>Jhojan Antonio</t>
  </si>
  <si>
    <t>Amasifuen</t>
  </si>
  <si>
    <t>PE72452065</t>
  </si>
  <si>
    <t>Deicy Noemi</t>
  </si>
  <si>
    <t>Quiroz</t>
  </si>
  <si>
    <t>Inga</t>
  </si>
  <si>
    <t>Oswaldo Burga Saldañ</t>
  </si>
  <si>
    <t>CANTUTA</t>
  </si>
  <si>
    <t>PE76228397</t>
  </si>
  <si>
    <t>Jean Alex</t>
  </si>
  <si>
    <t>Casabona</t>
  </si>
  <si>
    <t>16 De Mayo</t>
  </si>
  <si>
    <t>PE76184466</t>
  </si>
  <si>
    <t>Jackeline Vilma</t>
  </si>
  <si>
    <t>Rosas</t>
  </si>
  <si>
    <t>Guardian</t>
  </si>
  <si>
    <t>San Antonio De Jicamarca</t>
  </si>
  <si>
    <t>PE74762407</t>
  </si>
  <si>
    <t>Elizabeth</t>
  </si>
  <si>
    <t>Lliuyacc</t>
  </si>
  <si>
    <t>Sin Numero</t>
  </si>
  <si>
    <t>PE63726028</t>
  </si>
  <si>
    <t>Cristhian Yerico</t>
  </si>
  <si>
    <t>Chaupis</t>
  </si>
  <si>
    <t>Los Cedros</t>
  </si>
  <si>
    <t>Campiã‘A</t>
  </si>
  <si>
    <t>PE71029740</t>
  </si>
  <si>
    <t>Clever</t>
  </si>
  <si>
    <t>Tangoa</t>
  </si>
  <si>
    <t>Oroche</t>
  </si>
  <si>
    <t>Amauta</t>
  </si>
  <si>
    <t>PE73024198</t>
  </si>
  <si>
    <t>Orlando Erick</t>
  </si>
  <si>
    <t>Avendaño</t>
  </si>
  <si>
    <t>Calle Centauro</t>
  </si>
  <si>
    <t>Urb .Sol De Vitarte</t>
  </si>
  <si>
    <t>PE75072910</t>
  </si>
  <si>
    <t>Adali Deina</t>
  </si>
  <si>
    <t>Baltazar</t>
  </si>
  <si>
    <t>Lucero</t>
  </si>
  <si>
    <t>Aa.Hh Casa Huerta</t>
  </si>
  <si>
    <t>ETAPA A MZ K LT 7</t>
  </si>
  <si>
    <t>PE73583261</t>
  </si>
  <si>
    <t>Efrain</t>
  </si>
  <si>
    <t>Carlo</t>
  </si>
  <si>
    <t>Brillantes Capitana</t>
  </si>
  <si>
    <t>CAPITANA</t>
  </si>
  <si>
    <t>PE74375396</t>
  </si>
  <si>
    <t>Edgar Eloy</t>
  </si>
  <si>
    <t>Tincopa</t>
  </si>
  <si>
    <t>Casa Huerta La Campiã‘A Lurigancho Chosica</t>
  </si>
  <si>
    <t>PE77157283</t>
  </si>
  <si>
    <t>Miriam</t>
  </si>
  <si>
    <t>Chipana</t>
  </si>
  <si>
    <t>La Union Santa Cruz</t>
  </si>
  <si>
    <t>PE72951717</t>
  </si>
  <si>
    <t>Liliana</t>
  </si>
  <si>
    <t>Monjorte</t>
  </si>
  <si>
    <t>Caballero</t>
  </si>
  <si>
    <t>Ucv 183 Huaycan</t>
  </si>
  <si>
    <t>O</t>
  </si>
  <si>
    <t>PE79625543</t>
  </si>
  <si>
    <t>Deyci Evelyn</t>
  </si>
  <si>
    <t>Huayra</t>
  </si>
  <si>
    <t>Los Triunfadores Asoc De Viv Virgen De Cocharcas D</t>
  </si>
  <si>
    <t>Lo Triunfadores</t>
  </si>
  <si>
    <t>PE74830670</t>
  </si>
  <si>
    <t>Nissa Desire De Los Angeles</t>
  </si>
  <si>
    <t>Adrianzen</t>
  </si>
  <si>
    <t>Mzb Lt12 Miguel Grau</t>
  </si>
  <si>
    <t>Miguel Grau</t>
  </si>
  <si>
    <t>PE42782723</t>
  </si>
  <si>
    <t>Luis Miguel</t>
  </si>
  <si>
    <t>Amapolas</t>
  </si>
  <si>
    <t>Amigos De La Paz</t>
  </si>
  <si>
    <t>PE10389370</t>
  </si>
  <si>
    <t>Coveñas</t>
  </si>
  <si>
    <t>Quintana</t>
  </si>
  <si>
    <t>Paramonga Paraiso Dorado 2Da Etapa</t>
  </si>
  <si>
    <t>Paraiso Dorado</t>
  </si>
  <si>
    <t>PE74717910</t>
  </si>
  <si>
    <t>Carolina Esther</t>
  </si>
  <si>
    <t>Olga Mary Carlos</t>
  </si>
  <si>
    <t>El Bosque Lurigancho Chosica</t>
  </si>
  <si>
    <t>PE46646345</t>
  </si>
  <si>
    <t>Hugo Jonatan</t>
  </si>
  <si>
    <t>Barturen</t>
  </si>
  <si>
    <t>Ruiz</t>
  </si>
  <si>
    <t>10 De Octubre</t>
  </si>
  <si>
    <t>PE45481423</t>
  </si>
  <si>
    <t>Manuel Alcides</t>
  </si>
  <si>
    <t>Condori</t>
  </si>
  <si>
    <t>Alameda De Ñaña</t>
  </si>
  <si>
    <t>PE72755783</t>
  </si>
  <si>
    <t>Estefani Josselin</t>
  </si>
  <si>
    <t>Valenzuela</t>
  </si>
  <si>
    <t>Cosme</t>
  </si>
  <si>
    <t>Lomas De Los Angeles</t>
  </si>
  <si>
    <t>PE48237226</t>
  </si>
  <si>
    <t>Milagros Katty</t>
  </si>
  <si>
    <t>Inocente</t>
  </si>
  <si>
    <t>La Campiã‘A Sector A</t>
  </si>
  <si>
    <t>Mercado Campiã‘A</t>
  </si>
  <si>
    <t>PE72030514</t>
  </si>
  <si>
    <t>John Gustavo</t>
  </si>
  <si>
    <t>Godoy</t>
  </si>
  <si>
    <t>Tumbes</t>
  </si>
  <si>
    <t>PE46690311</t>
  </si>
  <si>
    <t>Frank Wagner</t>
  </si>
  <si>
    <t>Flores</t>
  </si>
  <si>
    <t>Trujillo</t>
  </si>
  <si>
    <t>Supervisor Sst</t>
  </si>
  <si>
    <t>Raul Ernesto Delgado</t>
  </si>
  <si>
    <t>Los Jacintos</t>
  </si>
  <si>
    <t>PE60380737</t>
  </si>
  <si>
    <t>Arimuya</t>
  </si>
  <si>
    <t>Aquituari</t>
  </si>
  <si>
    <t>PE43974214</t>
  </si>
  <si>
    <t>Victor Angel</t>
  </si>
  <si>
    <t>Mallqui</t>
  </si>
  <si>
    <t>Asc.Residencial Las Palmeras</t>
  </si>
  <si>
    <t>Yuri Maikel</t>
  </si>
  <si>
    <t>Pelayo</t>
  </si>
  <si>
    <t>Jefe Calidad Complejo Logistico</t>
  </si>
  <si>
    <t>Paola Aurora Fano</t>
  </si>
  <si>
    <t>Godofredo Garcia</t>
  </si>
  <si>
    <t>Panamericana Norte</t>
  </si>
  <si>
    <t>PE46433609</t>
  </si>
  <si>
    <t>Ruben David</t>
  </si>
  <si>
    <t>Niño Jesus 2Da Etp Santa Clara</t>
  </si>
  <si>
    <t>PE47921369</t>
  </si>
  <si>
    <t>Judith Melissa</t>
  </si>
  <si>
    <t>Palomino</t>
  </si>
  <si>
    <t>Cajamarquilla, Paraiso</t>
  </si>
  <si>
    <t>PE75562445</t>
  </si>
  <si>
    <t>Belinda Clohe</t>
  </si>
  <si>
    <t>Orosco</t>
  </si>
  <si>
    <t>Valerio</t>
  </si>
  <si>
    <t>PE60699206</t>
  </si>
  <si>
    <t>Indira Liessel</t>
  </si>
  <si>
    <t>Carrasco</t>
  </si>
  <si>
    <t>Zona N</t>
  </si>
  <si>
    <t>PE46957386</t>
  </si>
  <si>
    <t>Katherine</t>
  </si>
  <si>
    <t>Macha</t>
  </si>
  <si>
    <t>Cantaro</t>
  </si>
  <si>
    <t>Tanque De Agua</t>
  </si>
  <si>
    <t>PE73085324</t>
  </si>
  <si>
    <t>Edelmira Judith</t>
  </si>
  <si>
    <t>Vivienda Hubert Lanssier</t>
  </si>
  <si>
    <t>PE70696215</t>
  </si>
  <si>
    <t>Sofia Esther</t>
  </si>
  <si>
    <t>Laura</t>
  </si>
  <si>
    <t>5 De Agosto</t>
  </si>
  <si>
    <t>A</t>
  </si>
  <si>
    <t>PE48803911</t>
  </si>
  <si>
    <t>Richard Paul</t>
  </si>
  <si>
    <t>Zegarra</t>
  </si>
  <si>
    <t>Nuevo Horizonte</t>
  </si>
  <si>
    <t>PE77683567</t>
  </si>
  <si>
    <t>Nicole Estefany</t>
  </si>
  <si>
    <t>Virgen Carmen 4ta</t>
  </si>
  <si>
    <t>LA ERA</t>
  </si>
  <si>
    <t>PE47169854</t>
  </si>
  <si>
    <t>Carla Raquel</t>
  </si>
  <si>
    <t>Palma</t>
  </si>
  <si>
    <t>Verastegui</t>
  </si>
  <si>
    <t>Las Flores De Nieveria</t>
  </si>
  <si>
    <t>Nuevo Paraiso</t>
  </si>
  <si>
    <t>Ancash</t>
  </si>
  <si>
    <t>Santa</t>
  </si>
  <si>
    <t>Coishco</t>
  </si>
  <si>
    <t>PE75229184</t>
  </si>
  <si>
    <t>Yennifer</t>
  </si>
  <si>
    <t>Quilca</t>
  </si>
  <si>
    <t>Curo</t>
  </si>
  <si>
    <t>Calle Rosas De Saraon</t>
  </si>
  <si>
    <t>Campiña</t>
  </si>
  <si>
    <t>PE72953326</t>
  </si>
  <si>
    <t>Dany Gustavo</t>
  </si>
  <si>
    <t>Montes</t>
  </si>
  <si>
    <t>Zona</t>
  </si>
  <si>
    <t>J Ucv 141 Huaycan</t>
  </si>
  <si>
    <t>PE44610810</t>
  </si>
  <si>
    <t>Fely</t>
  </si>
  <si>
    <t>Machaca</t>
  </si>
  <si>
    <t>Central</t>
  </si>
  <si>
    <t>PE46601905</t>
  </si>
  <si>
    <t>Audin Justiniano</t>
  </si>
  <si>
    <t>Las Palmeras</t>
  </si>
  <si>
    <t>Miguel Eduardo</t>
  </si>
  <si>
    <t>Zorochaqui</t>
  </si>
  <si>
    <t>Mayta</t>
  </si>
  <si>
    <t>Calle Luis García Ruiz 294</t>
  </si>
  <si>
    <t>Risso</t>
  </si>
  <si>
    <t>San Miguel</t>
  </si>
  <si>
    <t>PE43389365</t>
  </si>
  <si>
    <t>Rodolfo</t>
  </si>
  <si>
    <t>Peralta</t>
  </si>
  <si>
    <t>Perales</t>
  </si>
  <si>
    <t>Bolivar</t>
  </si>
  <si>
    <t>Jose Antonio Tello</t>
  </si>
  <si>
    <t>PE40054380</t>
  </si>
  <si>
    <t>I-2 Lt.18</t>
  </si>
  <si>
    <t>Jose Boterin</t>
  </si>
  <si>
    <t>PE16175778</t>
  </si>
  <si>
    <t>Alex Antonio</t>
  </si>
  <si>
    <t>Osorio</t>
  </si>
  <si>
    <t>Maria Parado De Bellido</t>
  </si>
  <si>
    <t>PE75716743</t>
  </si>
  <si>
    <t>PE42153002</t>
  </si>
  <si>
    <t>Tommy Lee</t>
  </si>
  <si>
    <t>Andia</t>
  </si>
  <si>
    <t>Pillman</t>
  </si>
  <si>
    <t>Agua Marina</t>
  </si>
  <si>
    <t>La Huayrona</t>
  </si>
  <si>
    <t>PE76181446</t>
  </si>
  <si>
    <t>Jean Pier</t>
  </si>
  <si>
    <t>Talexio</t>
  </si>
  <si>
    <t>Aso.Hubert Lanssier</t>
  </si>
  <si>
    <t>Parque De Hubert Lanssier</t>
  </si>
  <si>
    <t>PE74809677</t>
  </si>
  <si>
    <t>Lady Maura</t>
  </si>
  <si>
    <t>Mochicas</t>
  </si>
  <si>
    <t>TAHUANTINSUYO</t>
  </si>
  <si>
    <t>PE61078765</t>
  </si>
  <si>
    <t>Nayely Mara</t>
  </si>
  <si>
    <t>Los Cipreces</t>
  </si>
  <si>
    <t>JICAMARCA ANEXO 8</t>
  </si>
  <si>
    <t>PE71418925</t>
  </si>
  <si>
    <t>Mijael Joaquin</t>
  </si>
  <si>
    <t>Pereira</t>
  </si>
  <si>
    <t>Calle Rio Pampas</t>
  </si>
  <si>
    <t>RIO PAMPAS</t>
  </si>
  <si>
    <t>PE72853578</t>
  </si>
  <si>
    <t>Aaron</t>
  </si>
  <si>
    <t>Ordaya</t>
  </si>
  <si>
    <t>PE77390300</t>
  </si>
  <si>
    <t>Jose Ivan</t>
  </si>
  <si>
    <t>Alejandria</t>
  </si>
  <si>
    <t>Alfonso Ugarte</t>
  </si>
  <si>
    <t>Oscar Guillermo Pablo</t>
  </si>
  <si>
    <t>Angeles</t>
  </si>
  <si>
    <t>Nano</t>
  </si>
  <si>
    <t>Gerente Produccion</t>
  </si>
  <si>
    <t>Jose Christian Higa</t>
  </si>
  <si>
    <t>General Luis La Puerta</t>
  </si>
  <si>
    <t>Liguria</t>
  </si>
  <si>
    <t>Santiago De Surco</t>
  </si>
  <si>
    <t>PE72281084</t>
  </si>
  <si>
    <t>Mauryz Raul</t>
  </si>
  <si>
    <t>Echeandia</t>
  </si>
  <si>
    <t>Lima Sur</t>
  </si>
  <si>
    <t>Santa Isabel</t>
  </si>
  <si>
    <t>PE76187804</t>
  </si>
  <si>
    <t>Ana Nayelly</t>
  </si>
  <si>
    <t>Viza</t>
  </si>
  <si>
    <t>Niveria</t>
  </si>
  <si>
    <t>Casuarinas</t>
  </si>
  <si>
    <t>PE60789687</t>
  </si>
  <si>
    <t>Pablo Angel</t>
  </si>
  <si>
    <t>Llaccta</t>
  </si>
  <si>
    <t>Paquiyauri</t>
  </si>
  <si>
    <t>PE70616944</t>
  </si>
  <si>
    <t>Cesar Antonio</t>
  </si>
  <si>
    <t>Maccapa</t>
  </si>
  <si>
    <t>Manihuari</t>
  </si>
  <si>
    <t>Flor De Las Magnolias</t>
  </si>
  <si>
    <t>Rios</t>
  </si>
  <si>
    <t>Supervisor Almacen De Produccion</t>
  </si>
  <si>
    <t>Paseo Del Bosque</t>
  </si>
  <si>
    <t>San Borja</t>
  </si>
  <si>
    <t>PE76555745</t>
  </si>
  <si>
    <t>Nicole Ivonne</t>
  </si>
  <si>
    <t>PE74863196</t>
  </si>
  <si>
    <t>Marumy Dayana</t>
  </si>
  <si>
    <t>Bonilla</t>
  </si>
  <si>
    <t>Yangali</t>
  </si>
  <si>
    <t>Las Americas</t>
  </si>
  <si>
    <t>LAS AMERICAS</t>
  </si>
  <si>
    <t>Lorena Maria Mercedes</t>
  </si>
  <si>
    <t>Galvez</t>
  </si>
  <si>
    <t>Wilson</t>
  </si>
  <si>
    <t>Jefe Pasteleria</t>
  </si>
  <si>
    <t>San Lorenzo</t>
  </si>
  <si>
    <t>Barrio Medico</t>
  </si>
  <si>
    <t>Surquillo</t>
  </si>
  <si>
    <t>Peter Giancarlo</t>
  </si>
  <si>
    <t>Ramirez</t>
  </si>
  <si>
    <t>Tanta</t>
  </si>
  <si>
    <t>Corregidor</t>
  </si>
  <si>
    <t>Las Praderas</t>
  </si>
  <si>
    <t>La Molina</t>
  </si>
  <si>
    <t>PE75629483</t>
  </si>
  <si>
    <t>Angel Andres</t>
  </si>
  <si>
    <t>Rimachi</t>
  </si>
  <si>
    <t>Ñavez</t>
  </si>
  <si>
    <t>Los Gladiolos</t>
  </si>
  <si>
    <t>Ferreteria</t>
  </si>
  <si>
    <t>PE75510863</t>
  </si>
  <si>
    <t>Antoni</t>
  </si>
  <si>
    <t>Pisco</t>
  </si>
  <si>
    <t>PE007422534</t>
  </si>
  <si>
    <t>Luis David</t>
  </si>
  <si>
    <t>Patiño</t>
  </si>
  <si>
    <t>Gonzalez</t>
  </si>
  <si>
    <t>Casa Huerta La Campi</t>
  </si>
  <si>
    <t>PE71322909</t>
  </si>
  <si>
    <t>Brayan Mijail</t>
  </si>
  <si>
    <t>Practicante Profesional</t>
  </si>
  <si>
    <t>PE44746948</t>
  </si>
  <si>
    <t>Ronel Armando</t>
  </si>
  <si>
    <t>Ariche</t>
  </si>
  <si>
    <t>Canchan</t>
  </si>
  <si>
    <t>Micaela Bastidas</t>
  </si>
  <si>
    <t>Los Rosales De Basil</t>
  </si>
  <si>
    <t>PE41046483</t>
  </si>
  <si>
    <t>Yslin Wescomen</t>
  </si>
  <si>
    <t>El Trabajo</t>
  </si>
  <si>
    <t>El Olivar De Vitarte</t>
  </si>
  <si>
    <t>PE75366801</t>
  </si>
  <si>
    <t>Lealiz Milagros</t>
  </si>
  <si>
    <t>Solorzano</t>
  </si>
  <si>
    <t>Huamancha</t>
  </si>
  <si>
    <t>Analista Costos Y Presupuestos - Centros</t>
  </si>
  <si>
    <t>Diego Ricardo Lara</t>
  </si>
  <si>
    <t>San Pedro De Carabayllo</t>
  </si>
  <si>
    <t>La Aldea</t>
  </si>
  <si>
    <t>PE73267495</t>
  </si>
  <si>
    <t>Ulises Gonzalo</t>
  </si>
  <si>
    <t>Calizaya</t>
  </si>
  <si>
    <t>Raul Porras Y Bar</t>
  </si>
  <si>
    <t>VIÑA SAN FRANCISCO</t>
  </si>
  <si>
    <t>PE70253555</t>
  </si>
  <si>
    <t>Silvia</t>
  </si>
  <si>
    <t>Ccorahua</t>
  </si>
  <si>
    <t>Ucv 55 Huaycan</t>
  </si>
  <si>
    <t>C</t>
  </si>
  <si>
    <t>PE41392310</t>
  </si>
  <si>
    <t>Yeni Consuelo</t>
  </si>
  <si>
    <t>Huatuco</t>
  </si>
  <si>
    <t>Aninida Jaime Zaviela Calderon</t>
  </si>
  <si>
    <t>Horacio Zevallos</t>
  </si>
  <si>
    <t>PE73110275</t>
  </si>
  <si>
    <t>Johan Brayan</t>
  </si>
  <si>
    <t>Panduro</t>
  </si>
  <si>
    <t>UCV. 62</t>
  </si>
  <si>
    <t>PE70275578</t>
  </si>
  <si>
    <t>Margberth Carla</t>
  </si>
  <si>
    <t>Valencia</t>
  </si>
  <si>
    <t>Asistente Administrativo Gh</t>
  </si>
  <si>
    <t>Geison Jesus Coral</t>
  </si>
  <si>
    <t>Cabo Gutarra</t>
  </si>
  <si>
    <t>PE74063119</t>
  </si>
  <si>
    <t>Mishel Karen</t>
  </si>
  <si>
    <t>Jorge</t>
  </si>
  <si>
    <t>Av. Circunvalacion A36A La Capitana</t>
  </si>
  <si>
    <t>PE10251953</t>
  </si>
  <si>
    <t>Roxana Janet</t>
  </si>
  <si>
    <t>Corazon De Jesus</t>
  </si>
  <si>
    <t>GLORIA GRANDE</t>
  </si>
  <si>
    <t>PE73592552</t>
  </si>
  <si>
    <t>Victor Hugo</t>
  </si>
  <si>
    <t>CAJAMARQUILLA</t>
  </si>
  <si>
    <t>PE75805873</t>
  </si>
  <si>
    <t>Elder Teoladio</t>
  </si>
  <si>
    <t>Castrejon</t>
  </si>
  <si>
    <t>Urbanizacion San Antonio</t>
  </si>
  <si>
    <t>PE42111683</t>
  </si>
  <si>
    <t>Miriam Lidyana</t>
  </si>
  <si>
    <t>Yañac</t>
  </si>
  <si>
    <t>Ucv 109 Lt 57 Zona G Pj Huaycan</t>
  </si>
  <si>
    <t>PE76609461</t>
  </si>
  <si>
    <t>Jose Felipe</t>
  </si>
  <si>
    <t>Tafur</t>
  </si>
  <si>
    <t>Azcarrunz</t>
  </si>
  <si>
    <t>PE75112751</t>
  </si>
  <si>
    <t>Thais Maritza</t>
  </si>
  <si>
    <t>Villar</t>
  </si>
  <si>
    <t>Arias</t>
  </si>
  <si>
    <t>La Mar</t>
  </si>
  <si>
    <t>Villa Maria Del Triunfo</t>
  </si>
  <si>
    <t>PE71311830</t>
  </si>
  <si>
    <t>Jueliet Malu</t>
  </si>
  <si>
    <t>Balarezo</t>
  </si>
  <si>
    <t>Lazaro</t>
  </si>
  <si>
    <t>Primavera</t>
  </si>
  <si>
    <t>PRIMAVERA</t>
  </si>
  <si>
    <t>PE41289964</t>
  </si>
  <si>
    <t>Alex Eliaquin</t>
  </si>
  <si>
    <t>Postigo</t>
  </si>
  <si>
    <t>Santa Juana De Copacabana</t>
  </si>
  <si>
    <t>PE40169609</t>
  </si>
  <si>
    <t>Jimmy Francis</t>
  </si>
  <si>
    <t>Beteta</t>
  </si>
  <si>
    <t>Rioblanco</t>
  </si>
  <si>
    <t>Los Angeles</t>
  </si>
  <si>
    <t>PE63348619</t>
  </si>
  <si>
    <t>Dorio</t>
  </si>
  <si>
    <t>Ahuanari</t>
  </si>
  <si>
    <t>Garate</t>
  </si>
  <si>
    <t>Asoc Las Gaviotas De Nieveria Mz A Lt 8</t>
  </si>
  <si>
    <t>Nathaly Anabel</t>
  </si>
  <si>
    <t>Melo</t>
  </si>
  <si>
    <t>Calle 4 169 Chalet 1 Edif 1</t>
  </si>
  <si>
    <t>Residencial Alameda</t>
  </si>
  <si>
    <t>PE60447651</t>
  </si>
  <si>
    <t>Jeanella Siomara</t>
  </si>
  <si>
    <t>Casas</t>
  </si>
  <si>
    <t>Roma</t>
  </si>
  <si>
    <t>PE76904999</t>
  </si>
  <si>
    <t>Kevin Andy</t>
  </si>
  <si>
    <t>Sector B La Campiña</t>
  </si>
  <si>
    <t>PE77255887</t>
  </si>
  <si>
    <t>Milagros Nayeli</t>
  </si>
  <si>
    <t>Torpoco</t>
  </si>
  <si>
    <t>Durand</t>
  </si>
  <si>
    <t>Sr.Muruhuay</t>
  </si>
  <si>
    <t>SR.MURUHUAY</t>
  </si>
  <si>
    <t>PE42771640</t>
  </si>
  <si>
    <t>Marcos</t>
  </si>
  <si>
    <t>Horacio Zevallos Gamez</t>
  </si>
  <si>
    <t>PE75973268</t>
  </si>
  <si>
    <t>Judith Roxana</t>
  </si>
  <si>
    <t>Crispin</t>
  </si>
  <si>
    <t>La CampiñA</t>
  </si>
  <si>
    <t>Asociacion De Pobladores Casa Huerta</t>
  </si>
  <si>
    <t>PE46481152</t>
  </si>
  <si>
    <t>Dennis Jhon</t>
  </si>
  <si>
    <t>Tiahuanaco</t>
  </si>
  <si>
    <t>PE42829599</t>
  </si>
  <si>
    <t>Charles</t>
  </si>
  <si>
    <t>Mozombite</t>
  </si>
  <si>
    <t>Huani</t>
  </si>
  <si>
    <t>Los Pinos Agrup.Vecinal Del Bosque De Jicamarca An</t>
  </si>
  <si>
    <t>PE47006137</t>
  </si>
  <si>
    <t>Jordan Luis Ediñho</t>
  </si>
  <si>
    <t>Figueroa</t>
  </si>
  <si>
    <t>Las Droseras</t>
  </si>
  <si>
    <t>Los Jardines De San Juan</t>
  </si>
  <si>
    <t>PE61066393</t>
  </si>
  <si>
    <t>Julissa Judith</t>
  </si>
  <si>
    <t>Chujutalli</t>
  </si>
  <si>
    <t>Sector 7</t>
  </si>
  <si>
    <t>PE62046710</t>
  </si>
  <si>
    <t>Deyler Joel</t>
  </si>
  <si>
    <t>Chucos</t>
  </si>
  <si>
    <t>Gaspar</t>
  </si>
  <si>
    <t>Av. Villa Esperanza Mz. H Lt. 13</t>
  </si>
  <si>
    <t>Villa Esperanza</t>
  </si>
  <si>
    <t>PE48319005</t>
  </si>
  <si>
    <t>Junior</t>
  </si>
  <si>
    <t>Barboza</t>
  </si>
  <si>
    <t>Juarez</t>
  </si>
  <si>
    <t>La Estrella Santa Clara</t>
  </si>
  <si>
    <t>PE47407107</t>
  </si>
  <si>
    <t>Jherry Edilberto</t>
  </si>
  <si>
    <t>Huachipa La Capitana</t>
  </si>
  <si>
    <t>PE74923456</t>
  </si>
  <si>
    <t>Edward Gustavo</t>
  </si>
  <si>
    <t>Peñafiel</t>
  </si>
  <si>
    <t>Ccoycca</t>
  </si>
  <si>
    <t>Huanuco lt 1 mz b1</t>
  </si>
  <si>
    <t>PE40254795</t>
  </si>
  <si>
    <t>Maria Isabel</t>
  </si>
  <si>
    <t>Mollocondo</t>
  </si>
  <si>
    <t>Simeon</t>
  </si>
  <si>
    <t>PE42327945</t>
  </si>
  <si>
    <t>Nalia</t>
  </si>
  <si>
    <t>Escriba</t>
  </si>
  <si>
    <t>Lujan</t>
  </si>
  <si>
    <t>Asoc. La Huerta De Nieveria</t>
  </si>
  <si>
    <t>NIEVERIA</t>
  </si>
  <si>
    <t>PE72201200</t>
  </si>
  <si>
    <t>Josue Sebastian</t>
  </si>
  <si>
    <t>Benites</t>
  </si>
  <si>
    <t>Analista Planeacion y Control Produccion</t>
  </si>
  <si>
    <t>LEONCIO PRADO</t>
  </si>
  <si>
    <t>Rimac</t>
  </si>
  <si>
    <t>PE42193030</t>
  </si>
  <si>
    <t>Paulino</t>
  </si>
  <si>
    <t>Canchari</t>
  </si>
  <si>
    <t>Ccenta</t>
  </si>
  <si>
    <t>Horacios Zevallos</t>
  </si>
  <si>
    <t>PE44182991</t>
  </si>
  <si>
    <t>Nieverica</t>
  </si>
  <si>
    <t>PE74838142</t>
  </si>
  <si>
    <t>Huayllani</t>
  </si>
  <si>
    <t>Parque</t>
  </si>
  <si>
    <t>Sector A</t>
  </si>
  <si>
    <t>PE43661526</t>
  </si>
  <si>
    <t>Proyecto 2000 Jicamarca Anexo 8|</t>
  </si>
  <si>
    <t>PE75877855</t>
  </si>
  <si>
    <t>Bryan Jesus</t>
  </si>
  <si>
    <t>Villanueva</t>
  </si>
  <si>
    <t>Calle 8 - Campoy</t>
  </si>
  <si>
    <t>PE72670517</t>
  </si>
  <si>
    <t>Freddy William</t>
  </si>
  <si>
    <t>Asoc Bello Horizonte</t>
  </si>
  <si>
    <t>Santa Eulalia</t>
  </si>
  <si>
    <t>Rolly Luis</t>
  </si>
  <si>
    <t>Marroquin</t>
  </si>
  <si>
    <t>San Diego De Alcala</t>
  </si>
  <si>
    <t>Condominio San Diego De Alcala</t>
  </si>
  <si>
    <t>PE76012863</t>
  </si>
  <si>
    <t>Romario</t>
  </si>
  <si>
    <t>Santana</t>
  </si>
  <si>
    <t>Irrazabal</t>
  </si>
  <si>
    <t>San Francisco Pariac</t>
  </si>
  <si>
    <t>PE45859975</t>
  </si>
  <si>
    <t>Luis Enrique</t>
  </si>
  <si>
    <t>Bayobar</t>
  </si>
  <si>
    <t>I</t>
  </si>
  <si>
    <t>PE40913766</t>
  </si>
  <si>
    <t>Fernando Roberto</t>
  </si>
  <si>
    <t>Yalle</t>
  </si>
  <si>
    <t>Paucar</t>
  </si>
  <si>
    <t>Zn Ucv 121  Lt 37</t>
  </si>
  <si>
    <t>PE74071012</t>
  </si>
  <si>
    <t>Meisu Karina</t>
  </si>
  <si>
    <t>Berrospi</t>
  </si>
  <si>
    <t>Lavado</t>
  </si>
  <si>
    <t>PE72534550</t>
  </si>
  <si>
    <t>Deysi Martha</t>
  </si>
  <si>
    <t>Quiñones</t>
  </si>
  <si>
    <t>Rivera</t>
  </si>
  <si>
    <t>Mirla Lizet Roque</t>
  </si>
  <si>
    <t>Los Cabildantes</t>
  </si>
  <si>
    <t>Villa Fatima</t>
  </si>
  <si>
    <t>PE71903055</t>
  </si>
  <si>
    <t>Sandra Fiorella</t>
  </si>
  <si>
    <t>Eslava</t>
  </si>
  <si>
    <t>Av. Huancaray 241</t>
  </si>
  <si>
    <t>SAN MARCOS</t>
  </si>
  <si>
    <t>PE42869236</t>
  </si>
  <si>
    <t>Los Paujiles</t>
  </si>
  <si>
    <t>PE72290420</t>
  </si>
  <si>
    <t>Ronaldo</t>
  </si>
  <si>
    <t>Chosica Alta</t>
  </si>
  <si>
    <t>Mayron Alexander</t>
  </si>
  <si>
    <t>Na</t>
  </si>
  <si>
    <t>Santa Maria</t>
  </si>
  <si>
    <t>PE73874244</t>
  </si>
  <si>
    <t>Anderson</t>
  </si>
  <si>
    <t>Limachi</t>
  </si>
  <si>
    <t>Ramiro Priale</t>
  </si>
  <si>
    <t>Puente Huachipa</t>
  </si>
  <si>
    <t>PE72321225</t>
  </si>
  <si>
    <t>Arturo Klivert</t>
  </si>
  <si>
    <t>Condor</t>
  </si>
  <si>
    <t>PE75526731</t>
  </si>
  <si>
    <t>Milagros Giovanna</t>
  </si>
  <si>
    <t>Meza</t>
  </si>
  <si>
    <t>Huarcaya</t>
  </si>
  <si>
    <t>Las Peras</t>
  </si>
  <si>
    <t>PE74599210</t>
  </si>
  <si>
    <t>Miguel Angel</t>
  </si>
  <si>
    <t>Hm</t>
  </si>
  <si>
    <t>PE60843335</t>
  </si>
  <si>
    <t>Nicol Lorena</t>
  </si>
  <si>
    <t>Adiche</t>
  </si>
  <si>
    <t>Madrid</t>
  </si>
  <si>
    <t>PE70716625</t>
  </si>
  <si>
    <t>Rodrigo Ronaldo</t>
  </si>
  <si>
    <t>Celis</t>
  </si>
  <si>
    <t>Las Begonias</t>
  </si>
  <si>
    <t>LAS BEGONIAS</t>
  </si>
  <si>
    <t>Gunther Alfredo</t>
  </si>
  <si>
    <t>Alzamora</t>
  </si>
  <si>
    <t>Jefe Produccion Platos Preparados</t>
  </si>
  <si>
    <t>Los Limoncillos</t>
  </si>
  <si>
    <t>Covida 3 Era Etapa</t>
  </si>
  <si>
    <t>PE46606373</t>
  </si>
  <si>
    <t>Frank Emerson</t>
  </si>
  <si>
    <t>Loja</t>
  </si>
  <si>
    <t>PE42954649</t>
  </si>
  <si>
    <t>Giannina Deborah Janeth</t>
  </si>
  <si>
    <t>PE75442869</t>
  </si>
  <si>
    <t>Nicole Magdyel</t>
  </si>
  <si>
    <t>x</t>
  </si>
  <si>
    <t>Jorge Chaves</t>
  </si>
  <si>
    <t>PE77010306</t>
  </si>
  <si>
    <t>PE75798076</t>
  </si>
  <si>
    <t>Yubiri Nayely</t>
  </si>
  <si>
    <t>Obispo</t>
  </si>
  <si>
    <t>Bramon</t>
  </si>
  <si>
    <t>Casa Puerta La Campiña</t>
  </si>
  <si>
    <t>PE76881331</t>
  </si>
  <si>
    <t>15 De Junio - Horacio Zeballoz</t>
  </si>
  <si>
    <t>PE42276080</t>
  </si>
  <si>
    <t>Vladimyr Franklyn</t>
  </si>
  <si>
    <t>Haytara</t>
  </si>
  <si>
    <t>Cuzco</t>
  </si>
  <si>
    <t>La F</t>
  </si>
  <si>
    <t>PE75430890</t>
  </si>
  <si>
    <t>Moises Alberto</t>
  </si>
  <si>
    <t>Yapo</t>
  </si>
  <si>
    <t>Los Molles</t>
  </si>
  <si>
    <t>PE44875247</t>
  </si>
  <si>
    <t>Doris Maribel</t>
  </si>
  <si>
    <t>Panpas Los Olivares Villa Leticia</t>
  </si>
  <si>
    <t>Chosica</t>
  </si>
  <si>
    <t>PE72234101</t>
  </si>
  <si>
    <t>Carlos David</t>
  </si>
  <si>
    <t>Isidro</t>
  </si>
  <si>
    <t>Vivienda Taller</t>
  </si>
  <si>
    <t>PE04072140</t>
  </si>
  <si>
    <t>Walter</t>
  </si>
  <si>
    <t>Salvador</t>
  </si>
  <si>
    <t>Casimiro</t>
  </si>
  <si>
    <t>13 De Julio</t>
  </si>
  <si>
    <t>Anexo 8 Jicamarca</t>
  </si>
  <si>
    <t>PE42319614</t>
  </si>
  <si>
    <t>Brasil</t>
  </si>
  <si>
    <t>PE74894870</t>
  </si>
  <si>
    <t>Melany Consuelo</t>
  </si>
  <si>
    <t>Ratto</t>
  </si>
  <si>
    <t>Union</t>
  </si>
  <si>
    <t>Moron Grande</t>
  </si>
  <si>
    <t>Pedro Arturo</t>
  </si>
  <si>
    <t>Magallanes</t>
  </si>
  <si>
    <t>Jefe Mantenimiento</t>
  </si>
  <si>
    <t>Manuel Ricardo Belaochaga</t>
  </si>
  <si>
    <t>Santa Cruz De Pachacutec</t>
  </si>
  <si>
    <t>Urbanizacion Villa Los Angeles</t>
  </si>
  <si>
    <t>PE45110176</t>
  </si>
  <si>
    <t>Karin Yunet</t>
  </si>
  <si>
    <t>Las Colinas</t>
  </si>
  <si>
    <t>LAS COLINAS</t>
  </si>
  <si>
    <t>PE72171268</t>
  </si>
  <si>
    <t>Vinic Vicencio</t>
  </si>
  <si>
    <t>Roman</t>
  </si>
  <si>
    <t>Chambergo</t>
  </si>
  <si>
    <t>Cocharcas Mz D Lt 1</t>
  </si>
  <si>
    <t>ate</t>
  </si>
  <si>
    <t>PE75086685</t>
  </si>
  <si>
    <t>Juliana Maricielo</t>
  </si>
  <si>
    <t>Nole</t>
  </si>
  <si>
    <t>Jaramillo</t>
  </si>
  <si>
    <t>PE63725967</t>
  </si>
  <si>
    <t>Soledad</t>
  </si>
  <si>
    <t>Frutales</t>
  </si>
  <si>
    <t>PE70923237</t>
  </si>
  <si>
    <t>Jesus Victor</t>
  </si>
  <si>
    <t>Velasquez</t>
  </si>
  <si>
    <t>Jose Santos Chocano</t>
  </si>
  <si>
    <t>Pueblo Nuevo Buenos Aires</t>
  </si>
  <si>
    <t>PE45637607</t>
  </si>
  <si>
    <t>Marco Antonio</t>
  </si>
  <si>
    <t>Chamorro</t>
  </si>
  <si>
    <t>Los Angeles Mz J Lote 18</t>
  </si>
  <si>
    <t>PE70422587</t>
  </si>
  <si>
    <t>Yhelitza Angela</t>
  </si>
  <si>
    <t>Matos</t>
  </si>
  <si>
    <t>Los Incas</t>
  </si>
  <si>
    <t>Los Rosales De Basilio Auqui</t>
  </si>
  <si>
    <t>PE44835193</t>
  </si>
  <si>
    <t>Olinda</t>
  </si>
  <si>
    <t>Lastra</t>
  </si>
  <si>
    <t>Asc De Pobladores Huarochiri Mzh Lt1</t>
  </si>
  <si>
    <t>PE47995517</t>
  </si>
  <si>
    <t>Cinthian</t>
  </si>
  <si>
    <t>Guerrero</t>
  </si>
  <si>
    <t>Nicolas De Ayllon</t>
  </si>
  <si>
    <t>Av Las Torres</t>
  </si>
  <si>
    <t>PE78129096</t>
  </si>
  <si>
    <t>Angelina Mirel</t>
  </si>
  <si>
    <t>Luis Pardo</t>
  </si>
  <si>
    <t>PE61107396</t>
  </si>
  <si>
    <t>Mayumy</t>
  </si>
  <si>
    <t>Buendia</t>
  </si>
  <si>
    <t>Ticse</t>
  </si>
  <si>
    <t>Calle 9</t>
  </si>
  <si>
    <t>MIRASOL DE HUANPANI</t>
  </si>
  <si>
    <t>PE62816275</t>
  </si>
  <si>
    <t>Garilia</t>
  </si>
  <si>
    <t>Inca</t>
  </si>
  <si>
    <t>Puga</t>
  </si>
  <si>
    <t>Sol De Chambala, Cajamarquilla</t>
  </si>
  <si>
    <t>Chambala</t>
  </si>
  <si>
    <t>PE77140572</t>
  </si>
  <si>
    <t>Rocio Noemi</t>
  </si>
  <si>
    <t>Painado</t>
  </si>
  <si>
    <t>Usco</t>
  </si>
  <si>
    <t>PE74763174</t>
  </si>
  <si>
    <t>Jorge Anthony</t>
  </si>
  <si>
    <t>Huaringa</t>
  </si>
  <si>
    <t>PE46128338</t>
  </si>
  <si>
    <t>Deili Loydi</t>
  </si>
  <si>
    <t>Nina</t>
  </si>
  <si>
    <t>Lurin</t>
  </si>
  <si>
    <t>PE77439972</t>
  </si>
  <si>
    <t>Ana Maria</t>
  </si>
  <si>
    <t>Casa Huerta La Campiña Lurigancho Chosica Mz Ch3 L</t>
  </si>
  <si>
    <t>Casa Huerta</t>
  </si>
  <si>
    <t>PE46955443</t>
  </si>
  <si>
    <t>Armando Frank</t>
  </si>
  <si>
    <t>Maravi</t>
  </si>
  <si>
    <t>Dominguez</t>
  </si>
  <si>
    <t>Coop. Viv. Alfa Y Omega</t>
  </si>
  <si>
    <t>Alfa Y Omega</t>
  </si>
  <si>
    <t>PE76327581</t>
  </si>
  <si>
    <t>Jose Diego</t>
  </si>
  <si>
    <t>Señor De Los Milagro</t>
  </si>
  <si>
    <t>PE73639239</t>
  </si>
  <si>
    <t>Cristhian Vieri</t>
  </si>
  <si>
    <t>Collahuacho</t>
  </si>
  <si>
    <t>Mzglt9 Haras El Huayco Pampachiri</t>
  </si>
  <si>
    <t>Haras El Huayco</t>
  </si>
  <si>
    <t>PE44582582</t>
  </si>
  <si>
    <t>Leonel</t>
  </si>
  <si>
    <t>Camarena</t>
  </si>
  <si>
    <t>Clemente</t>
  </si>
  <si>
    <t>Fiori</t>
  </si>
  <si>
    <t>PE73186025</t>
  </si>
  <si>
    <t>Joselyn Dreida</t>
  </si>
  <si>
    <t>Lozano</t>
  </si>
  <si>
    <t>Amuta 1</t>
  </si>
  <si>
    <t>PE46712561</t>
  </si>
  <si>
    <t>Jose Vino</t>
  </si>
  <si>
    <t>Jimenez</t>
  </si>
  <si>
    <t>Santa Maria De Vitarte</t>
  </si>
  <si>
    <t>PE72376347</t>
  </si>
  <si>
    <t>Yonatan Willian</t>
  </si>
  <si>
    <t>Onofre</t>
  </si>
  <si>
    <t>Agrup. Union Colectora Nieveria Etapa Ii Mz. A Lo</t>
  </si>
  <si>
    <t>Nieveria - Los Hayala- Altiplano</t>
  </si>
  <si>
    <t>PE70649015</t>
  </si>
  <si>
    <t>Bairon Gian Paul</t>
  </si>
  <si>
    <t>Huaraca</t>
  </si>
  <si>
    <t>Los Molles Paraiso</t>
  </si>
  <si>
    <t>FERRETERIA</t>
  </si>
  <si>
    <t>PE72959247</t>
  </si>
  <si>
    <t>Anthony Jeanrier</t>
  </si>
  <si>
    <t>Pacotaipe</t>
  </si>
  <si>
    <t>Paita</t>
  </si>
  <si>
    <t>Ucv63 Lote 9 Zona D</t>
  </si>
  <si>
    <t>D</t>
  </si>
  <si>
    <t>PE74476430</t>
  </si>
  <si>
    <t>Abollaneda</t>
  </si>
  <si>
    <t>Gallegos</t>
  </si>
  <si>
    <t>Nieveria . San Francisco</t>
  </si>
  <si>
    <t>PE005779825</t>
  </si>
  <si>
    <t>Omar Enrique</t>
  </si>
  <si>
    <t>Tamoy</t>
  </si>
  <si>
    <t>Urb Los Huertos</t>
  </si>
  <si>
    <t>SANTIAGO</t>
  </si>
  <si>
    <t>Ica</t>
  </si>
  <si>
    <t>PE73779723</t>
  </si>
  <si>
    <t>Victor Manuel</t>
  </si>
  <si>
    <t>EX FUNDO NIEVERIA</t>
  </si>
  <si>
    <t>PE43329423</t>
  </si>
  <si>
    <t>Mayra Ivonne</t>
  </si>
  <si>
    <t>Vila Rica</t>
  </si>
  <si>
    <t>PE74388060</t>
  </si>
  <si>
    <t>Leonardo Gabriel</t>
  </si>
  <si>
    <t>Quicaño</t>
  </si>
  <si>
    <t>Cevilla</t>
  </si>
  <si>
    <t>SAN MIGUEL</t>
  </si>
  <si>
    <t>PE45191599</t>
  </si>
  <si>
    <t>Christian Jonel</t>
  </si>
  <si>
    <t>Curi</t>
  </si>
  <si>
    <t>Asociacion 13 De Febrero|</t>
  </si>
  <si>
    <t>PE71032485</t>
  </si>
  <si>
    <t>Zavala</t>
  </si>
  <si>
    <t>Robles</t>
  </si>
  <si>
    <t>177 Lote 22 Zona N</t>
  </si>
  <si>
    <t>PE004105696</t>
  </si>
  <si>
    <t>Mykell Davis Junior</t>
  </si>
  <si>
    <t>Palencia</t>
  </si>
  <si>
    <t>PE60820562</t>
  </si>
  <si>
    <t>Jose Eduardo</t>
  </si>
  <si>
    <t>Moena</t>
  </si>
  <si>
    <t>Asoc. Nuevo Amanecer</t>
  </si>
  <si>
    <t>PE40447274</t>
  </si>
  <si>
    <t>Marielena</t>
  </si>
  <si>
    <t>Hurtado</t>
  </si>
  <si>
    <t>Los Chasquis</t>
  </si>
  <si>
    <t>PE75194121</t>
  </si>
  <si>
    <t>Shirley Nicol</t>
  </si>
  <si>
    <t>Cabrera</t>
  </si>
  <si>
    <t>Ucv 192</t>
  </si>
  <si>
    <t>Zona P</t>
  </si>
  <si>
    <t>PE76882727</t>
  </si>
  <si>
    <t>Stefany</t>
  </si>
  <si>
    <t>Aa.Hh. Las Praderas</t>
  </si>
  <si>
    <t>HUACHIPA</t>
  </si>
  <si>
    <t>Jefe Produccion Panaderia</t>
  </si>
  <si>
    <t>Marquez</t>
  </si>
  <si>
    <t>PE73163464</t>
  </si>
  <si>
    <t>Jerico</t>
  </si>
  <si>
    <t>X</t>
  </si>
  <si>
    <t>Bayovar</t>
  </si>
  <si>
    <t>PE77222478</t>
  </si>
  <si>
    <t>Freddy</t>
  </si>
  <si>
    <t>Cancho</t>
  </si>
  <si>
    <t>Encalada</t>
  </si>
  <si>
    <t>PE75486841</t>
  </si>
  <si>
    <t>Karen</t>
  </si>
  <si>
    <t>Mzy Lt13 Los Molles Cajamarquilla Paraiso</t>
  </si>
  <si>
    <t>PE79191066</t>
  </si>
  <si>
    <t>Esther Rebeca</t>
  </si>
  <si>
    <t>Fernandez</t>
  </si>
  <si>
    <t>Simon</t>
  </si>
  <si>
    <t>Av.Niño Jesus 1Era Etapa</t>
  </si>
  <si>
    <t>Santa Clara - Niño J</t>
  </si>
  <si>
    <t>PE005305222</t>
  </si>
  <si>
    <t>Hernan Yosbel</t>
  </si>
  <si>
    <t>La Capitana Huachipa</t>
  </si>
  <si>
    <t>PE44676854</t>
  </si>
  <si>
    <t>Mayra Carina</t>
  </si>
  <si>
    <t>Asociacion Los Alamos De Nieveria</t>
  </si>
  <si>
    <t>PE74596102</t>
  </si>
  <si>
    <t>Jerzon Sergio</t>
  </si>
  <si>
    <t>San Juan De Lurigancho De Canto Chico</t>
  </si>
  <si>
    <t>Agrupacion .Familia.</t>
  </si>
  <si>
    <t>PE72355562</t>
  </si>
  <si>
    <t>Geraldine Dayana</t>
  </si>
  <si>
    <t>Mauricio</t>
  </si>
  <si>
    <t>Del Pozo</t>
  </si>
  <si>
    <t>Huancayo</t>
  </si>
  <si>
    <t>San Antonio De Jicam</t>
  </si>
  <si>
    <t>PE75828801</t>
  </si>
  <si>
    <t>PE70637876</t>
  </si>
  <si>
    <t>Bayron Omar</t>
  </si>
  <si>
    <t>Vilcabana</t>
  </si>
  <si>
    <t>Calle 44</t>
  </si>
  <si>
    <t>San Antonio De Carap</t>
  </si>
  <si>
    <t>PE46940673</t>
  </si>
  <si>
    <t>Erika Roxana</t>
  </si>
  <si>
    <t>Jara</t>
  </si>
  <si>
    <t>Aurora</t>
  </si>
  <si>
    <t>0</t>
  </si>
  <si>
    <t>DNI</t>
  </si>
  <si>
    <t>APELLIDOS Y NOMBRES</t>
  </si>
  <si>
    <t>Nº de Vía</t>
  </si>
  <si>
    <t>Apartamento</t>
  </si>
  <si>
    <t>Interior</t>
  </si>
  <si>
    <t>Lote</t>
  </si>
  <si>
    <t>Manzana</t>
  </si>
  <si>
    <t>Morales Manzano Juan Sergio</t>
  </si>
  <si>
    <t>Sub Gerente Logistica Operaciones</t>
  </si>
  <si>
    <t>General Salaverry</t>
  </si>
  <si>
    <t>3590</t>
  </si>
  <si>
    <t/>
  </si>
  <si>
    <t>San Isidro</t>
  </si>
  <si>
    <t>Huaman Peñaloza William Aldair</t>
  </si>
  <si>
    <t>Auxiliar Logistico</t>
  </si>
  <si>
    <t>Asoc Esmeralda De Jicamarca</t>
  </si>
  <si>
    <t>15</t>
  </si>
  <si>
    <t>B</t>
  </si>
  <si>
    <t>San Francisco</t>
  </si>
  <si>
    <t>Laime Ccaccro Omar Alejandro</t>
  </si>
  <si>
    <t>Asistente Control Gestion</t>
  </si>
  <si>
    <t>Urb. Nieveria Cajarquilla</t>
  </si>
  <si>
    <t>Huamani Centeno Rosa Maria</t>
  </si>
  <si>
    <t>Huarangos</t>
  </si>
  <si>
    <t>6</t>
  </si>
  <si>
    <t>S1</t>
  </si>
  <si>
    <t>CASA HUAERTA LA CAMP</t>
  </si>
  <si>
    <t>Nuñez Mendoza Jhadira Madhury</t>
  </si>
  <si>
    <t>123</t>
  </si>
  <si>
    <t>20</t>
  </si>
  <si>
    <t>J</t>
  </si>
  <si>
    <t>VILLA LETICIA</t>
  </si>
  <si>
    <t>Mendoza Yahuana Hernan Javier</t>
  </si>
  <si>
    <t>Mariscal Caceres</t>
  </si>
  <si>
    <t>4613</t>
  </si>
  <si>
    <t>36</t>
  </si>
  <si>
    <t>F11</t>
  </si>
  <si>
    <t>Monteluis Huaratapairo Allen Lenin</t>
  </si>
  <si>
    <t>1</t>
  </si>
  <si>
    <t>2</t>
  </si>
  <si>
    <t>CAJA DE AGUA</t>
  </si>
  <si>
    <t>Miranda Ricaldi Greyci</t>
  </si>
  <si>
    <t>Asociacion Nueva America</t>
  </si>
  <si>
    <t>Yacha Gomez Joseph Gabriel</t>
  </si>
  <si>
    <t>Operador Montacarga 2</t>
  </si>
  <si>
    <t>San Hilarion Alto</t>
  </si>
  <si>
    <t>27</t>
  </si>
  <si>
    <t>Comite 60</t>
  </si>
  <si>
    <t>Huaman Tocto Nancy Esterfilia</t>
  </si>
  <si>
    <t>Auxiliar Control De Existencias</t>
  </si>
  <si>
    <t>Las Galaxias</t>
  </si>
  <si>
    <t>2558</t>
  </si>
  <si>
    <t>Av Los Angeles</t>
  </si>
  <si>
    <t>Huamayalli Vasquez Edith Mery</t>
  </si>
  <si>
    <t>Union Santa Cruz</t>
  </si>
  <si>
    <t>Isidro Yañacc Angelica</t>
  </si>
  <si>
    <t>Rosas De Saraon</t>
  </si>
  <si>
    <t>Shuña Noa Jofre Andriy</t>
  </si>
  <si>
    <t>Asoc Portales De Basilio Auqui Poblete Vidal</t>
  </si>
  <si>
    <t>Sandon Mamani Carlos Manuel</t>
  </si>
  <si>
    <t>Ticllacuri Arana Mirian Aracely</t>
  </si>
  <si>
    <t>Asoc De De Prop De Viv Esmeralda De Jicamarca</t>
  </si>
  <si>
    <t>E</t>
  </si>
  <si>
    <t>Asoc De De Prop De V</t>
  </si>
  <si>
    <t>Huaman Mendoza Angielo</t>
  </si>
  <si>
    <t>Union Santa Cruz De Cajamarquilla</t>
  </si>
  <si>
    <t>Fernandez Aponte Julio Walter</t>
  </si>
  <si>
    <t>Pobladores La Huerta</t>
  </si>
  <si>
    <t>Flores Mendoza Leydidiana</t>
  </si>
  <si>
    <t>Javier Heraud Ii Etapa</t>
  </si>
  <si>
    <t>Contreras Payano Jhulyana Lizet</t>
  </si>
  <si>
    <t>Mz. F1 Lt. 32 Asoc De Vivienda Union Rpogreso Caja</t>
  </si>
  <si>
    <t>Union Progreso Cajamarquilla</t>
  </si>
  <si>
    <t>Ramirez Huamani Eduardo Josue</t>
  </si>
  <si>
    <t>Asistente Logistica</t>
  </si>
  <si>
    <t>Jose.A.Quiñones Mz C1 Lt.12A</t>
  </si>
  <si>
    <t>Abelino Caceres</t>
  </si>
  <si>
    <t>Chorrillos</t>
  </si>
  <si>
    <t>Fernandez Cubas Jhonatan</t>
  </si>
  <si>
    <t>Arequipa</t>
  </si>
  <si>
    <t>Santa Rosa De Huachipa</t>
  </si>
  <si>
    <t>Huaman Rivera Mirean</t>
  </si>
  <si>
    <t>Agrp.Fm.06 De Febrer</t>
  </si>
  <si>
    <t>Tellez Ancasi Karina Leoncia</t>
  </si>
  <si>
    <t>Jefe Logistica</t>
  </si>
  <si>
    <t>Iquitos Mza E Lote 16 Urb. Santa Rosa</t>
  </si>
  <si>
    <t>Urb Santa Rosa</t>
  </si>
  <si>
    <t>Daniel Quispe Ederson Dario</t>
  </si>
  <si>
    <t>Asistente Planificacion Operacional</t>
  </si>
  <si>
    <t>Paraã�So De Cajamarquilla</t>
  </si>
  <si>
    <t>Ilave Carrasco Grek</t>
  </si>
  <si>
    <t>Huaylas</t>
  </si>
  <si>
    <t>31</t>
  </si>
  <si>
    <t>Laura Caller Iberico</t>
  </si>
  <si>
    <t>Vargas Umeres Kiara</t>
  </si>
  <si>
    <t>12</t>
  </si>
  <si>
    <t>21</t>
  </si>
  <si>
    <t>SOL DE CHAMBALA</t>
  </si>
  <si>
    <t>Jorge Avellaneda Jhonnathan Samuel</t>
  </si>
  <si>
    <t>Loayza Solorzano Maria Elena</t>
  </si>
  <si>
    <t>Andres A. Caceres</t>
  </si>
  <si>
    <t>7</t>
  </si>
  <si>
    <t>PRIALE</t>
  </si>
  <si>
    <t>Asencio Rodrigo Giancarlo Johnny</t>
  </si>
  <si>
    <t>29</t>
  </si>
  <si>
    <t>47</t>
  </si>
  <si>
    <t>Villanueva Cruz Keller Jair</t>
  </si>
  <si>
    <t>Asistente Adquisiciones Logistico</t>
  </si>
  <si>
    <t>Mz D Lt 30 Cristo Rey</t>
  </si>
  <si>
    <t>Casa Blanca</t>
  </si>
  <si>
    <t>Gastelu Rua Miguel Angel</t>
  </si>
  <si>
    <t>Aa.Hh Cerro Cruz Santa Elena</t>
  </si>
  <si>
    <t>Silva Acosta David Sebastian</t>
  </si>
  <si>
    <t>Asistente Logistica Proveedores</t>
  </si>
  <si>
    <t>Los Condores Con Los Sorsales</t>
  </si>
  <si>
    <t>Cooperativa Huancayo</t>
  </si>
  <si>
    <t>Paredes Martinez Luis Fernando</t>
  </si>
  <si>
    <t>Espaã‘A</t>
  </si>
  <si>
    <t>Coop. San Jose De Mangomarca</t>
  </si>
  <si>
    <t>Flores Suarez Jose Luis</t>
  </si>
  <si>
    <t>Las Nieves</t>
  </si>
  <si>
    <t>HUBERT LANSSIER</t>
  </si>
  <si>
    <t>Espiritu Barja Gianpier Pool</t>
  </si>
  <si>
    <t>La Pradera Pariachi</t>
  </si>
  <si>
    <t>1056</t>
  </si>
  <si>
    <t>G</t>
  </si>
  <si>
    <t>ENTRADA HUAYCAN</t>
  </si>
  <si>
    <t>Diaz Carhuaricra Jaydi Betsy</t>
  </si>
  <si>
    <t>2Da Etapa, Virgen Del Carmen</t>
  </si>
  <si>
    <t>9</t>
  </si>
  <si>
    <t>A1</t>
  </si>
  <si>
    <t>Virgen Del Carmen La</t>
  </si>
  <si>
    <t>Rosales Martinez Angel Eduardo</t>
  </si>
  <si>
    <t>Niño Jesus Ii Etapa</t>
  </si>
  <si>
    <t>Campos Landeo Antuaneth Yasira</t>
  </si>
  <si>
    <t>Etapa 2</t>
  </si>
  <si>
    <t>56</t>
  </si>
  <si>
    <t>TERRAZAS CARAPONGUIL</t>
  </si>
  <si>
    <t>Delgado Salaverry Raul Ernesto</t>
  </si>
  <si>
    <t>Sub Gerente Sst</t>
  </si>
  <si>
    <t>Hillman</t>
  </si>
  <si>
    <t>144</t>
  </si>
  <si>
    <t>403</t>
  </si>
  <si>
    <t>La Calera De La Merced</t>
  </si>
  <si>
    <t>Palomino Calderon Jimmy Junior</t>
  </si>
  <si>
    <t>O2</t>
  </si>
  <si>
    <t>Cabaza Reyes Cristian Miguel</t>
  </si>
  <si>
    <t>Asent. H. Las Casuarinas De Jicamarca Mz. D1 Lt. 0</t>
  </si>
  <si>
    <t>Las Casuarinas De Jicamarca</t>
  </si>
  <si>
    <t>Flores Rios Jorge Armando</t>
  </si>
  <si>
    <t>Ucv 189 Lt 19 Zona P Huaycan</t>
  </si>
  <si>
    <t>19</t>
  </si>
  <si>
    <t>Guizado Aguilar Vilma</t>
  </si>
  <si>
    <t>Sin Nombre</t>
  </si>
  <si>
    <t>La Rivera</t>
  </si>
  <si>
    <t>Accilio Leandro Idalia Yasmith</t>
  </si>
  <si>
    <t>Chosica San Antonio</t>
  </si>
  <si>
    <t>10</t>
  </si>
  <si>
    <t>Olivos</t>
  </si>
  <si>
    <t>Castro Javier Lenin Aldair</t>
  </si>
  <si>
    <t>Magnolias</t>
  </si>
  <si>
    <t>5</t>
  </si>
  <si>
    <t>Paraiso De Cajamarqu</t>
  </si>
  <si>
    <t>Suarez Vega Frank</t>
  </si>
  <si>
    <t>Chauca Espinoza Rayda</t>
  </si>
  <si>
    <t>Yañe Aquise Jacob</t>
  </si>
  <si>
    <t>San Antonio De Jicamarca Ane - Lurigancho Chosica</t>
  </si>
  <si>
    <t>90</t>
  </si>
  <si>
    <t>Cerro</t>
  </si>
  <si>
    <t>Guerrero Cahuana Adrian Alexander</t>
  </si>
  <si>
    <t>Av. Los Angeles 3324</t>
  </si>
  <si>
    <t>Hijos De Apurimac</t>
  </si>
  <si>
    <t>Chuco Quintana Abilio</t>
  </si>
  <si>
    <t>Supervisor Logistica</t>
  </si>
  <si>
    <t>Calle Alameda</t>
  </si>
  <si>
    <t>Palmeras De Frontera</t>
  </si>
  <si>
    <t>Huanca Mamani Elmer Alex</t>
  </si>
  <si>
    <t>Mz C Lot 08 Aaff Nuevo Belen</t>
  </si>
  <si>
    <t>Comuna 13</t>
  </si>
  <si>
    <t>Huaman Reque Yassumy Xiomara</t>
  </si>
  <si>
    <t>Ampliacion 1Ro De Agosto-Santa Maria</t>
  </si>
  <si>
    <t>Aa.Hh</t>
  </si>
  <si>
    <t>Perez Sanchez Elias Moises</t>
  </si>
  <si>
    <t>Paradero Aurora</t>
  </si>
  <si>
    <t>1246</t>
  </si>
  <si>
    <t>Zona J Ate Huaycan</t>
  </si>
  <si>
    <t>Leonardo Armas Miguel Enrique</t>
  </si>
  <si>
    <t>Eliam Dulce Amanecer Nieveria</t>
  </si>
  <si>
    <t>Cabrera Mio Alexis Miguel</t>
  </si>
  <si>
    <t>Quillca Sauñe Delia Maribel</t>
  </si>
  <si>
    <t>Tito Cañabi Diego Anthony</t>
  </si>
  <si>
    <t>Agr.Fam La Rinconada San Antonio De Niveria Jicama</t>
  </si>
  <si>
    <t>Pasaje Las Flojeres</t>
  </si>
  <si>
    <t>Chura Cervantes Laura Bertha</t>
  </si>
  <si>
    <t>Supervisor Transporte</t>
  </si>
  <si>
    <t>136</t>
  </si>
  <si>
    <t>Tarazona Orue Miguel Angel</t>
  </si>
  <si>
    <t>4567</t>
  </si>
  <si>
    <t>D14</t>
  </si>
  <si>
    <t>Esquivel Murga Deysi Nataly</t>
  </si>
  <si>
    <t>Nuevo Amanecer</t>
  </si>
  <si>
    <t>FAME</t>
  </si>
  <si>
    <t>Yañe Aquise Oswaldo</t>
  </si>
  <si>
    <t>Saenz Torres Joel David</t>
  </si>
  <si>
    <t>14</t>
  </si>
  <si>
    <t>Torres Saravia Luis Anghelo</t>
  </si>
  <si>
    <t>Alto Perú</t>
  </si>
  <si>
    <t>39</t>
  </si>
  <si>
    <t>Ñaña</t>
  </si>
  <si>
    <t>Ocampo Melendez Kate Lucero</t>
  </si>
  <si>
    <t>Buenos Aires Comite 1</t>
  </si>
  <si>
    <t>13</t>
  </si>
  <si>
    <t>Anco Mendieta Miguel Denis</t>
  </si>
  <si>
    <t>Sol De Jicamarca</t>
  </si>
  <si>
    <t>3</t>
  </si>
  <si>
    <t>R</t>
  </si>
  <si>
    <t>SAN ANTONIO ANEXO 8</t>
  </si>
  <si>
    <t>Trejo Meza Sebastian</t>
  </si>
  <si>
    <t>Tacna</t>
  </si>
  <si>
    <t>CANTO CHICO</t>
  </si>
  <si>
    <t>Yance Lliuyacc Cristian Franco</t>
  </si>
  <si>
    <t>9837</t>
  </si>
  <si>
    <t>3RA ETAPA</t>
  </si>
  <si>
    <t>Espinoza Obregon Emely Yenifer</t>
  </si>
  <si>
    <t>SAN ROQUE</t>
  </si>
  <si>
    <t>Chauca Capac Luis Oswaldo</t>
  </si>
  <si>
    <t>Praderas Pariachi</t>
  </si>
  <si>
    <t>P</t>
  </si>
  <si>
    <t>PRADERAS DE PARIACHI</t>
  </si>
  <si>
    <t>Leguia Vasquez Carlos Andres</t>
  </si>
  <si>
    <t>A.V Lima Sur</t>
  </si>
  <si>
    <t>1489</t>
  </si>
  <si>
    <t>Lurigancho-Chosica</t>
  </si>
  <si>
    <t>Martinez Soto Valeria Tifani</t>
  </si>
  <si>
    <t>Calle Progreso</t>
  </si>
  <si>
    <t>26</t>
  </si>
  <si>
    <t>Nicolas De Pierola</t>
  </si>
  <si>
    <t>Bautista Melgar Ricardina</t>
  </si>
  <si>
    <t>Verona</t>
  </si>
  <si>
    <t>N</t>
  </si>
  <si>
    <t>LOS OLIVOS JICAMARCA</t>
  </si>
  <si>
    <t>Salvador Beltran Marco Antonio</t>
  </si>
  <si>
    <t>Pizango Sanchez Ruy Miki</t>
  </si>
  <si>
    <t>Asoc Nuevo Amanecer</t>
  </si>
  <si>
    <t>ASOC. NUEVO AMANECER</t>
  </si>
  <si>
    <t>Amarillo Llanos Marco Antonio</t>
  </si>
  <si>
    <t>11</t>
  </si>
  <si>
    <t>Galvez Gonzales Erik Jonathan</t>
  </si>
  <si>
    <t>ASOC VIVIEND RAUCANA</t>
  </si>
  <si>
    <t>Jove Curo Gladys Ludina</t>
  </si>
  <si>
    <t>Mza1 Lt21 Calle 7</t>
  </si>
  <si>
    <t>San Genaro</t>
  </si>
  <si>
    <t>Galarza Quiroz Diego Estefano</t>
  </si>
  <si>
    <t>Seã‘Or De Muruhuay Mz.N Lt.9 Comite 4</t>
  </si>
  <si>
    <t>Sierra Limeña</t>
  </si>
  <si>
    <t>Castro Taipe Ruth Belen</t>
  </si>
  <si>
    <t>Huaycan Ate</t>
  </si>
  <si>
    <t>Zona K</t>
  </si>
  <si>
    <t>Velasquez Barrios Rodrigo</t>
  </si>
  <si>
    <t>Cabanillas Paucar Christian Manuel</t>
  </si>
  <si>
    <t>Av. Los Alamos Mz. J2 Lt. 28</t>
  </si>
  <si>
    <t>Av. Los Alamos</t>
  </si>
  <si>
    <t>Meza Inga Jakelin</t>
  </si>
  <si>
    <t>Asociacion De Vivienda Los Lirios</t>
  </si>
  <si>
    <t>Zona F</t>
  </si>
  <si>
    <t>Lopez Celis Deninson Mauricio</t>
  </si>
  <si>
    <t>Basadre Este</t>
  </si>
  <si>
    <t>578</t>
  </si>
  <si>
    <t>503</t>
  </si>
  <si>
    <t>Calle Piedra Luna</t>
  </si>
  <si>
    <t>Granados Acuña Willy Arturo</t>
  </si>
  <si>
    <t>Predro Ruiz Gallo 131 Dpto A 507</t>
  </si>
  <si>
    <t>Pillaca Huaman Andony</t>
  </si>
  <si>
    <t>3Ra .Etapa Campoy</t>
  </si>
  <si>
    <t>351</t>
  </si>
  <si>
    <t>La Estacion 31</t>
  </si>
  <si>
    <t>Caller Cconcha Diego Enrique</t>
  </si>
  <si>
    <t>Urb. Flor De Amancaes</t>
  </si>
  <si>
    <t>Olortin Silverio Estefany Shirley</t>
  </si>
  <si>
    <t>Asistente Transporte</t>
  </si>
  <si>
    <t>Ayacucho</t>
  </si>
  <si>
    <t>Huascar 3</t>
  </si>
  <si>
    <t>Rojas Jauregui Junior Ponciano</t>
  </si>
  <si>
    <t>San Antonio 5</t>
  </si>
  <si>
    <t>San Andres</t>
  </si>
  <si>
    <t>Sanchez Arroyo Saul Obed</t>
  </si>
  <si>
    <t>Evelyn Ilda Arroyo Guzman</t>
  </si>
  <si>
    <t>9320</t>
  </si>
  <si>
    <t>Martinez Chuchon Juan Manuel</t>
  </si>
  <si>
    <t>Asociacion Hijos De Apurimac Manzana V2 Lote 18-Sa</t>
  </si>
  <si>
    <t>Ordoñez Angulo Paolo Antonio</t>
  </si>
  <si>
    <t>Señor De La Exaltacion</t>
  </si>
  <si>
    <t>23</t>
  </si>
  <si>
    <t>Zapata Hinostroza Gina Maria</t>
  </si>
  <si>
    <t>Los Calculistas</t>
  </si>
  <si>
    <t>132</t>
  </si>
  <si>
    <t>Urb Santa Patricia</t>
  </si>
  <si>
    <t>Aguilar Pereda Santa Clara</t>
  </si>
  <si>
    <t>Lopez Ayon Stephany Carol</t>
  </si>
  <si>
    <t>Analista Control De Gestion E Indicadores</t>
  </si>
  <si>
    <t>Rodrigo Franco</t>
  </si>
  <si>
    <t>De La Cruz Velasquez Omar Alfredo</t>
  </si>
  <si>
    <t>Terrazas De Carapong</t>
  </si>
  <si>
    <t>Ortiz Levano Paolo Martin</t>
  </si>
  <si>
    <t>Argentina</t>
  </si>
  <si>
    <t>Vasquez Plaza Shirley</t>
  </si>
  <si>
    <t>Los Rosal Mz G Lt 8</t>
  </si>
  <si>
    <t>8</t>
  </si>
  <si>
    <t>HORACIO ZEBALLOS</t>
  </si>
  <si>
    <t>Ortiz Astuhuaman Danilo Ignacio</t>
  </si>
  <si>
    <t>La Nueva Ahurora</t>
  </si>
  <si>
    <t>1546</t>
  </si>
  <si>
    <t>SARACOTO</t>
  </si>
  <si>
    <t>Lima Chingay Ivan Geronimo</t>
  </si>
  <si>
    <t>Av La Paz 38B</t>
  </si>
  <si>
    <t>38</t>
  </si>
  <si>
    <t>Pizarro Lazo Susan Leyly</t>
  </si>
  <si>
    <t>Andres Avelino Caceres</t>
  </si>
  <si>
    <t>32</t>
  </si>
  <si>
    <t>Cardenas Vasquez Sergio Manuel</t>
  </si>
  <si>
    <t>Centinela 48</t>
  </si>
  <si>
    <t>480</t>
  </si>
  <si>
    <t>34</t>
  </si>
  <si>
    <t>Villa Mangomarca</t>
  </si>
  <si>
    <t>Altamirano Dominguez Mario Renzo</t>
  </si>
  <si>
    <t>Antunez De Mayolo</t>
  </si>
  <si>
    <t>22</t>
  </si>
  <si>
    <t>Q</t>
  </si>
  <si>
    <t>Ciudad De Los Constr</t>
  </si>
  <si>
    <t>Nieves Espinoza Ivan Camilo</t>
  </si>
  <si>
    <t>Cipreses</t>
  </si>
  <si>
    <t>18</t>
  </si>
  <si>
    <t>Paraiso</t>
  </si>
  <si>
    <t>Garcia Vilchez Johan Alezandro</t>
  </si>
  <si>
    <t>Asistente Negociacion Logistica</t>
  </si>
  <si>
    <t>Huanuco</t>
  </si>
  <si>
    <t>1511</t>
  </si>
  <si>
    <t>103</t>
  </si>
  <si>
    <t>No Aplica</t>
  </si>
  <si>
    <t>Santisteban Yarasca Angel Camep</t>
  </si>
  <si>
    <t>B1</t>
  </si>
  <si>
    <t>Rosales Nuñez Danitza Gabriela</t>
  </si>
  <si>
    <t>Virgen Del Carmen La Era</t>
  </si>
  <si>
    <t>Presentacion Carlos Admer Deivis</t>
  </si>
  <si>
    <t>Jr. Jorge Chavez Mz. A Lt. 6B. Sector Norte. Cer|0</t>
  </si>
  <si>
    <t>San Antonio Jicamarca</t>
  </si>
  <si>
    <t>Carhuatanta Perez Jesus</t>
  </si>
  <si>
    <t>Zapallanga</t>
  </si>
  <si>
    <t>ZAPALLANGA</t>
  </si>
  <si>
    <t>Vargas Cabeza Nancy Milagros</t>
  </si>
  <si>
    <t>Sta Cruz Mz H Lt 27.</t>
  </si>
  <si>
    <t>37</t>
  </si>
  <si>
    <t>H</t>
  </si>
  <si>
    <t>LA CUEVA</t>
  </si>
  <si>
    <t>Guevara Estela Angela Zarahi</t>
  </si>
  <si>
    <t>Av.Rio Perene</t>
  </si>
  <si>
    <t>601</t>
  </si>
  <si>
    <t>METROPOLITANA</t>
  </si>
  <si>
    <t>Gonzales Espinoza Michael Alexander</t>
  </si>
  <si>
    <t>Los Platos</t>
  </si>
  <si>
    <t>Villarroel Ochoa Alexander David</t>
  </si>
  <si>
    <t>Cruz De Huañec</t>
  </si>
  <si>
    <t>CRUZ DE HUAÑEC</t>
  </si>
  <si>
    <t>Leon Peceros Martha</t>
  </si>
  <si>
    <t>Casacas De Javier Pr</t>
  </si>
  <si>
    <t>M</t>
  </si>
  <si>
    <t>CASCADAS JAVIER PRAD</t>
  </si>
  <si>
    <t>Chempen Agurto Ruth</t>
  </si>
  <si>
    <t>Los Granates</t>
  </si>
  <si>
    <t>545</t>
  </si>
  <si>
    <t>Los Jardines</t>
  </si>
  <si>
    <t>Mamani Carrion David</t>
  </si>
  <si>
    <t>La Nueva Democracia</t>
  </si>
  <si>
    <t>Micaela Bastidas 1</t>
  </si>
  <si>
    <t>Cancho Medina Nataly Xiomara</t>
  </si>
  <si>
    <t>Cjamarquilla</t>
  </si>
  <si>
    <t>PROP RES. CAJAMARQUI</t>
  </si>
  <si>
    <t>Camaco Arias Maryorid Alexandra</t>
  </si>
  <si>
    <t>San Cristobal Mzg1 Lt4</t>
  </si>
  <si>
    <t>Moyopampa</t>
  </si>
  <si>
    <t>Yupanqui Palomino Maritza</t>
  </si>
  <si>
    <t>Sn</t>
  </si>
  <si>
    <t>17</t>
  </si>
  <si>
    <t>T</t>
  </si>
  <si>
    <t>Lomas Ushuñahua Carmen Luisa Brillith</t>
  </si>
  <si>
    <t>Mz.Ct.7Asoc.Las Gardenias</t>
  </si>
  <si>
    <t>Rodriguez Elguera Estefany Mirza</t>
  </si>
  <si>
    <t>V Ucv 224 Huaycan</t>
  </si>
  <si>
    <t>Ramos Gutierrez Julio Cesar</t>
  </si>
  <si>
    <t>Canto Grande</t>
  </si>
  <si>
    <t>4</t>
  </si>
  <si>
    <t>El Arenal</t>
  </si>
  <si>
    <t>Ortiz Cardenas Michell Maykel</t>
  </si>
  <si>
    <t>Villa Jardin</t>
  </si>
  <si>
    <t>Fuentes Mendoza Jack Niels</t>
  </si>
  <si>
    <t>A.H El Paraiso De Cajamarquilla</t>
  </si>
  <si>
    <t>Av Los Lirios</t>
  </si>
  <si>
    <t>Sanchez Acho Jean Franco</t>
  </si>
  <si>
    <t>Las Poncianas</t>
  </si>
  <si>
    <t>Suarez Doroteo Estefany Del Carmen</t>
  </si>
  <si>
    <t>Ramon Castilla</t>
  </si>
  <si>
    <t>504</t>
  </si>
  <si>
    <t>Flores Gutierrez Yim Kevin</t>
  </si>
  <si>
    <t>15A</t>
  </si>
  <si>
    <t>Camargo Cayo Samuel</t>
  </si>
  <si>
    <t>Las Praderas De Huachipa</t>
  </si>
  <si>
    <t>Chumpitaz Moreno Luis Gustavo</t>
  </si>
  <si>
    <t>Rio Amazona</t>
  </si>
  <si>
    <t>3331</t>
  </si>
  <si>
    <t>Canto Rey</t>
  </si>
  <si>
    <t>Flores Ochoa Angelica</t>
  </si>
  <si>
    <t>Hidalgo Casaño Edith Patty</t>
  </si>
  <si>
    <t>Amauta B Vitarte</t>
  </si>
  <si>
    <t>45</t>
  </si>
  <si>
    <t>Amauta B</t>
  </si>
  <si>
    <t>Paredes Atachagua Dorka Davita</t>
  </si>
  <si>
    <t>Philadelfia</t>
  </si>
  <si>
    <t>Esquema Pariachi</t>
  </si>
  <si>
    <t>Gamarra Alarcon Lian Marium</t>
  </si>
  <si>
    <t>Av. Santa Rosa De Lima 1786</t>
  </si>
  <si>
    <t>1786</t>
  </si>
  <si>
    <t>Meza Inga Sonali Alejandrina</t>
  </si>
  <si>
    <t>Asoc.De Vivienda Los Lirios De Huaycan</t>
  </si>
  <si>
    <t>F</t>
  </si>
  <si>
    <t>Palomino Plasencia Veronika Guadalupe</t>
  </si>
  <si>
    <t>Gerente Control Logistico</t>
  </si>
  <si>
    <t>Joaquin Capelo</t>
  </si>
  <si>
    <t>320</t>
  </si>
  <si>
    <t>Miraflores</t>
  </si>
  <si>
    <t>Arica Gatillon Ariana Tiaret</t>
  </si>
  <si>
    <t>Las Gaviotas</t>
  </si>
  <si>
    <t>Sauce Grande</t>
  </si>
  <si>
    <t>Samaniego Inga Jhony Uber</t>
  </si>
  <si>
    <t>Callupe Nuñez Anderson Esnayder</t>
  </si>
  <si>
    <t>Bodega Cindy</t>
  </si>
  <si>
    <t>1104</t>
  </si>
  <si>
    <t>53</t>
  </si>
  <si>
    <t>Huaman Alania Jhonn Samir</t>
  </si>
  <si>
    <t>Vasquez Ramos Noemi Elisa</t>
  </si>
  <si>
    <t>El Lucumo Ate Vitarte</t>
  </si>
  <si>
    <t>El Lucumo</t>
  </si>
  <si>
    <t>Ramirez Landeo Emily Neysi</t>
  </si>
  <si>
    <t>V2</t>
  </si>
  <si>
    <t>San Antonio De Huaro</t>
  </si>
  <si>
    <t>Roman Payano Luz Maria</t>
  </si>
  <si>
    <t>Grupo 3</t>
  </si>
  <si>
    <t>16</t>
  </si>
  <si>
    <t>Posta</t>
  </si>
  <si>
    <t>Jimenez Garcia Piero Alexandro</t>
  </si>
  <si>
    <t>Rosales Cartagena Ruth Jaret</t>
  </si>
  <si>
    <t>Santa Cruz De Cajama</t>
  </si>
  <si>
    <t>SANTA CRUZ CAJAMARQ</t>
  </si>
  <si>
    <t>Charri Valerio Nahely Summy</t>
  </si>
  <si>
    <t>Las Caobas</t>
  </si>
  <si>
    <t>C6</t>
  </si>
  <si>
    <t>PROYECTO 2000</t>
  </si>
  <si>
    <t>Solis Peña Abiel Obed</t>
  </si>
  <si>
    <t>De La Paz</t>
  </si>
  <si>
    <t>LA MENACHO</t>
  </si>
  <si>
    <t>Torres Chuque Nelly Mayte</t>
  </si>
  <si>
    <t>Mayhualla Ravello Eduardo Jesus</t>
  </si>
  <si>
    <t>Horacio Zeballos Gam</t>
  </si>
  <si>
    <t>HORACIO ZEBALLOS GAM</t>
  </si>
  <si>
    <t>Teccsi Soca Flor Rocio</t>
  </si>
  <si>
    <t>Supervisor Control Existencias</t>
  </si>
  <si>
    <t>Jose Olaya</t>
  </si>
  <si>
    <t>Linares Clemente Sheyla</t>
  </si>
  <si>
    <t>Galarza Alarcon Lisseth</t>
  </si>
  <si>
    <t>Quichca Taipe Jhoferson Ruiz</t>
  </si>
  <si>
    <t>Huaycan Usv195_B Zona P Manzana Blote2</t>
  </si>
  <si>
    <t>Trujillo Vicencio Dayan Angelica</t>
  </si>
  <si>
    <t>Coop. Alfa Y Omega</t>
  </si>
  <si>
    <t>Ate- Vitarte</t>
  </si>
  <si>
    <t>Rocha Tito Josue</t>
  </si>
  <si>
    <t>Agrup Familiar La Ri</t>
  </si>
  <si>
    <t>Ortega Turco Gian Pierre Sebastian</t>
  </si>
  <si>
    <t>4Ta Zona</t>
  </si>
  <si>
    <t>Asoc. Hijos De Apurimac</t>
  </si>
  <si>
    <t>Lanazca Roman Abigail Laura</t>
  </si>
  <si>
    <t>Anexo 8</t>
  </si>
  <si>
    <t>Banco</t>
  </si>
  <si>
    <t>Padilla Bedon Juan Alexis</t>
  </si>
  <si>
    <t>Libreria Bazar</t>
  </si>
  <si>
    <t>Castro Alva Ulises Cristiano</t>
  </si>
  <si>
    <t>Av.Tupac Amaru C.C Jicamarca Anexo 8 Mz. V1 Lt. 12</t>
  </si>
  <si>
    <t>A Tupac Amaru Lt 12</t>
  </si>
  <si>
    <t>Cisneros Gonzales Wily</t>
  </si>
  <si>
    <t>Asent.H.Santa Maria</t>
  </si>
  <si>
    <t>Huillca Loayza Johel</t>
  </si>
  <si>
    <t>Casa Huerta La Campiiña Sector B - Lurigancho Chos</t>
  </si>
  <si>
    <t>Astulle Izquierdo Marco Antonio</t>
  </si>
  <si>
    <t>Santa Mercedez</t>
  </si>
  <si>
    <t>Yapura Yapura Fabricio Gabriel</t>
  </si>
  <si>
    <t>46</t>
  </si>
  <si>
    <t>Obispo Gonzales Wilder Aldahir</t>
  </si>
  <si>
    <t>Las Mercedes</t>
  </si>
  <si>
    <t>Fuentes Vicente Jorge Guillermo</t>
  </si>
  <si>
    <t>Zona Z</t>
  </si>
  <si>
    <t>233</t>
  </si>
  <si>
    <t>UCV</t>
  </si>
  <si>
    <t>Pelaez Borjas Ken Bruce</t>
  </si>
  <si>
    <t>Cruz De Huanchihuaylas</t>
  </si>
  <si>
    <t>127</t>
  </si>
  <si>
    <t>Huanchihuaylas</t>
  </si>
  <si>
    <t>Vega Alarcon Fabiola Trayce</t>
  </si>
  <si>
    <t>4096</t>
  </si>
  <si>
    <t>Urpi</t>
  </si>
  <si>
    <t>Saldaña Manuyama Keyla Vianey</t>
  </si>
  <si>
    <t>Asc. De Villa La Encantada De Cajamarquilla</t>
  </si>
  <si>
    <t>Torres Chuque Jose Omar</t>
  </si>
  <si>
    <t>Los Sauces</t>
  </si>
  <si>
    <t>PARAISO DE CAJAMARQ</t>
  </si>
  <si>
    <t>Huayta Gamboa Katherine Violeta Maxi</t>
  </si>
  <si>
    <t>Alameda Ñaña Condominio Mirador Del Golf</t>
  </si>
  <si>
    <t>501</t>
  </si>
  <si>
    <t>Mirador Del Golf</t>
  </si>
  <si>
    <t>Yapo Soto Jorge Luis</t>
  </si>
  <si>
    <t>Los Frutales</t>
  </si>
  <si>
    <t>Garay Rodriguez Edwin Miguel</t>
  </si>
  <si>
    <t>Supervisor Prevencion Logistico</t>
  </si>
  <si>
    <t>Jirón el Roble Mz. J. lote 2 Urbanización el Olivar. Callao</t>
  </si>
  <si>
    <t>Urb. El Olivar</t>
  </si>
  <si>
    <t>Pariona Tincopa Adbel Claudio</t>
  </si>
  <si>
    <t>Casa Huerta La Canpiã‘A</t>
  </si>
  <si>
    <t>Canpiã‘A</t>
  </si>
  <si>
    <t>Aguado Pahuacho Rosario Daniela</t>
  </si>
  <si>
    <t>Entrada Huachipa</t>
  </si>
  <si>
    <t>25</t>
  </si>
  <si>
    <t>VIRGEN DE COCHARCAS</t>
  </si>
  <si>
    <t>Machado Solis Moises Aaron</t>
  </si>
  <si>
    <t>Progreso</t>
  </si>
  <si>
    <t>648</t>
  </si>
  <si>
    <t>SANTA ROSITA</t>
  </si>
  <si>
    <t>Chauca Mendoza Kiara Nicoll</t>
  </si>
  <si>
    <t>Los Robles</t>
  </si>
  <si>
    <t>B2</t>
  </si>
  <si>
    <t>PARAISO CAJAMARQUILA</t>
  </si>
  <si>
    <t>Huaynamarca Almonacid Cristhell Sheyla</t>
  </si>
  <si>
    <t>Huascata</t>
  </si>
  <si>
    <t>U3</t>
  </si>
  <si>
    <t>CERRO VECIN HUASCATA</t>
  </si>
  <si>
    <t>Guillermo Aguirre Galvarino Eduardo</t>
  </si>
  <si>
    <t>Av. Los Claveles</t>
  </si>
  <si>
    <t>Chipana Maldonado Sarela Yessenia</t>
  </si>
  <si>
    <t>Piroxenitas</t>
  </si>
  <si>
    <t>247</t>
  </si>
  <si>
    <t>San Miguel De Pedregal</t>
  </si>
  <si>
    <t>Huaynalaya Coronel Fatima Meliza</t>
  </si>
  <si>
    <t>W1</t>
  </si>
  <si>
    <t>VILLA ESPERANZA</t>
  </si>
  <si>
    <t>Canchari Palomino David Paul</t>
  </si>
  <si>
    <t>Jefe Zonal Control Existencias</t>
  </si>
  <si>
    <t>Costanera</t>
  </si>
  <si>
    <t>2200</t>
  </si>
  <si>
    <t>301</t>
  </si>
  <si>
    <t>Condominio Panoramic</t>
  </si>
  <si>
    <t>Hernandez Silvestre Sintia Anali</t>
  </si>
  <si>
    <t>Nevado Coropuna</t>
  </si>
  <si>
    <t>Santa Elizabeth</t>
  </si>
  <si>
    <t>Bonifacio Silva Erica Kazandra</t>
  </si>
  <si>
    <t>Virgen De Fatima Moron</t>
  </si>
  <si>
    <t>Avila Yshuiza Smith</t>
  </si>
  <si>
    <t>Asociación Laderas De Campoy</t>
  </si>
  <si>
    <t>Laderas De Campoy</t>
  </si>
  <si>
    <t>Crisostomo Herrera Maria Del Carmen</t>
  </si>
  <si>
    <t>Aahh. Violeta Correa De Belaunde</t>
  </si>
  <si>
    <t>Carlos Quinto Danny Maycol</t>
  </si>
  <si>
    <t>Los Canarios</t>
  </si>
  <si>
    <t>101</t>
  </si>
  <si>
    <t>El Rosal</t>
  </si>
  <si>
    <t>Gamboa Jaico Geidy Julia</t>
  </si>
  <si>
    <t>Santa Maria Ampliacion</t>
  </si>
  <si>
    <t>Ampliacion</t>
  </si>
  <si>
    <t>Montes Trujillo David Darwind</t>
  </si>
  <si>
    <t>Otros</t>
  </si>
  <si>
    <t>Bardales Ahuanari Jarrinson Joel</t>
  </si>
  <si>
    <t>El Paraiso</t>
  </si>
  <si>
    <t>48</t>
  </si>
  <si>
    <t>Asentamiento Humano</t>
  </si>
  <si>
    <t>Toribio Perez Kimberly</t>
  </si>
  <si>
    <t>Julio C Tello</t>
  </si>
  <si>
    <t>Panez De La Cruz Angelo Jojhan</t>
  </si>
  <si>
    <t>Mayta Luyo Nedia</t>
  </si>
  <si>
    <t>9899</t>
  </si>
  <si>
    <t>Ruiz Aviles Daniel Alejandro</t>
  </si>
  <si>
    <t>Ingeniero Planificacion Operacional</t>
  </si>
  <si>
    <t>Tomás Marsano</t>
  </si>
  <si>
    <t>2026</t>
  </si>
  <si>
    <t>La Aurora</t>
  </si>
  <si>
    <t>Palomino Canchari Daysi Yoselina</t>
  </si>
  <si>
    <t>Las Magnolias</t>
  </si>
  <si>
    <t>Villaroel Legua Melani Yasuri</t>
  </si>
  <si>
    <t>Flores Espinoza Yerson</t>
  </si>
  <si>
    <t>Vista Hermosa</t>
  </si>
  <si>
    <t>Castellares Condor Kennedy Gerardo</t>
  </si>
  <si>
    <t>Serin Villanueva Johan Stanik</t>
  </si>
  <si>
    <t>Los Alamos</t>
  </si>
  <si>
    <t>Robles Auqui Ruth Evelyn</t>
  </si>
  <si>
    <t>Carapongo</t>
  </si>
  <si>
    <t>Medina Ramos Jose Manuel</t>
  </si>
  <si>
    <t>Supervisor Transporte Tiendas</t>
  </si>
  <si>
    <t>Alfonso Cobian</t>
  </si>
  <si>
    <t>Huanaco Zuniga Carmen Rosa</t>
  </si>
  <si>
    <t>Petramas</t>
  </si>
  <si>
    <t>HUERTOS DE NIEVERIA</t>
  </si>
  <si>
    <t>De La Cruz Pinado Maria Teresa</t>
  </si>
  <si>
    <t>Micaela1 Pasaje</t>
  </si>
  <si>
    <t>MICAELA 1</t>
  </si>
  <si>
    <t>Guerra Castro Jeyson Antonio</t>
  </si>
  <si>
    <t>Mz 22Lt2A Cmt 15</t>
  </si>
  <si>
    <t>Nicolás de Piérola</t>
  </si>
  <si>
    <t>Estrada Chacon Renato Del Piero</t>
  </si>
  <si>
    <t>Huaycan-Ate Zona B Lote 14</t>
  </si>
  <si>
    <t>Zona B</t>
  </si>
  <si>
    <t>Rojas Bazalar Gian Pierre Steven</t>
  </si>
  <si>
    <t>CAMPOY CHALAN</t>
  </si>
  <si>
    <t>Paucar Mendoza Nestor Manuel Rumi</t>
  </si>
  <si>
    <t>Ayala Pastor Ubert Moises</t>
  </si>
  <si>
    <t>Algarroboz</t>
  </si>
  <si>
    <t>Huarhua Paredes Viviana</t>
  </si>
  <si>
    <t>Cora Cora</t>
  </si>
  <si>
    <t>LOT</t>
  </si>
  <si>
    <t>CORA CORA</t>
  </si>
  <si>
    <t>Araoz Toledano Leandro Estefano</t>
  </si>
  <si>
    <t>Ucv 179 Lt 42 Zona O</t>
  </si>
  <si>
    <t>179</t>
  </si>
  <si>
    <t>Rojas Manuyama Victor Manuel</t>
  </si>
  <si>
    <t>Las Poncanas</t>
  </si>
  <si>
    <t>Ingaruca Supho Edwin David</t>
  </si>
  <si>
    <t>Asoc. De Vivienda</t>
  </si>
  <si>
    <t>205</t>
  </si>
  <si>
    <t>EL PORTILLO I ETAPA</t>
  </si>
  <si>
    <t>Mamani Huillca Rut Helen</t>
  </si>
  <si>
    <t>LAS PALMERAS</t>
  </si>
  <si>
    <t>Anco Berrocal Edwin Miguel</t>
  </si>
  <si>
    <t>Campiña Mz N6 Lt7</t>
  </si>
  <si>
    <t>LA CAMPIÑA</t>
  </si>
  <si>
    <t>Mendoza Medina Richard Leonardo</t>
  </si>
  <si>
    <t>Carreter Petramax</t>
  </si>
  <si>
    <t>VILLA TOVAR</t>
  </si>
  <si>
    <t>Quispe Salazar Diana</t>
  </si>
  <si>
    <t>Los Viñedos De San A</t>
  </si>
  <si>
    <t>Uzco Arotengo Cristopher Jesus</t>
  </si>
  <si>
    <t>Carapongo Los Tulipanes</t>
  </si>
  <si>
    <t>Huamani Munares Gisela</t>
  </si>
  <si>
    <t>Gisela Huamani Munates</t>
  </si>
  <si>
    <t>Muñoz Nuñez Jhon Alex</t>
  </si>
  <si>
    <t>Asoc. Viv.Jardines De Horacio Zevallos</t>
  </si>
  <si>
    <t>Los Jardines De Horacio Zevallos</t>
  </si>
  <si>
    <t>Aija</t>
  </si>
  <si>
    <t>La Merced</t>
  </si>
  <si>
    <t>Chavez Torres Jose Antonio</t>
  </si>
  <si>
    <t>Quispe Ticllasuca Yamely Nagelyn</t>
  </si>
  <si>
    <t>13 De Septiembre</t>
  </si>
  <si>
    <t>5086</t>
  </si>
  <si>
    <t>Mesias Maravi Richard</t>
  </si>
  <si>
    <t>Corbeta La Union</t>
  </si>
  <si>
    <t>150</t>
  </si>
  <si>
    <t>404</t>
  </si>
  <si>
    <t>Praderas De Surco</t>
  </si>
  <si>
    <t>Pareja Medina Nick</t>
  </si>
  <si>
    <t>Moscu</t>
  </si>
  <si>
    <t>Hospital Del Niñ</t>
  </si>
  <si>
    <t>Jara Villalobos Diego Armando</t>
  </si>
  <si>
    <t>Zamudio Huarcaya Ruth Mery</t>
  </si>
  <si>
    <t>Las Palmeras Ii Etapa Gloria Baja Ate</t>
  </si>
  <si>
    <t>Lizana Loayza Michael Jerry</t>
  </si>
  <si>
    <t>Analista de Inventario</t>
  </si>
  <si>
    <t>33</t>
  </si>
  <si>
    <t>Asociacion Tradiciones Ricardo Palma</t>
  </si>
  <si>
    <t>Zapata Roman Jasmin Milagros</t>
  </si>
  <si>
    <t>Analista Calidad</t>
  </si>
  <si>
    <t>Asent.H San Juan Bautista Lll</t>
  </si>
  <si>
    <t>Juan Bautista</t>
  </si>
  <si>
    <t>Comas</t>
  </si>
  <si>
    <t>Rimachi Quispe Frank Kevin</t>
  </si>
  <si>
    <t>Asoc. Wayta Wasi</t>
  </si>
  <si>
    <t>40</t>
  </si>
  <si>
    <t>.</t>
  </si>
  <si>
    <t>Oblitas Curo Josue Benjamin Gabriel</t>
  </si>
  <si>
    <t>Ortiz Salas Anthony Alessio</t>
  </si>
  <si>
    <t>Humbold</t>
  </si>
  <si>
    <t>G1</t>
  </si>
  <si>
    <t>Ceres 2Da Etapa</t>
  </si>
  <si>
    <t>Jimenez Arapa Maria Alejandra</t>
  </si>
  <si>
    <t>1005</t>
  </si>
  <si>
    <t>B8</t>
  </si>
  <si>
    <t>Ciriaco Soto Carlos Daniel</t>
  </si>
  <si>
    <t>MZ. A LT.07 A.H SMP</t>
  </si>
  <si>
    <t>Cusihuaman Morales Jorge Luis Gregorio</t>
  </si>
  <si>
    <t>Aria Rivera</t>
  </si>
  <si>
    <t>PARIACHI</t>
  </si>
  <si>
    <t>Herrera Infantes Zenaida Endira</t>
  </si>
  <si>
    <t>121</t>
  </si>
  <si>
    <t>A14</t>
  </si>
  <si>
    <t>KORI ANCHA</t>
  </si>
  <si>
    <t>Ataucusi Daniel Pamela Alexandra</t>
  </si>
  <si>
    <t>1548</t>
  </si>
  <si>
    <t>Alburuqueque Yllanes Dayan Derian</t>
  </si>
  <si>
    <t>43</t>
  </si>
  <si>
    <t>HUASCATA</t>
  </si>
  <si>
    <t>Blas Huachaca Jose Juvenal</t>
  </si>
  <si>
    <t>Asistente Soporte Sistemas</t>
  </si>
  <si>
    <t>Agrup. Fam. Ampl. Vista Alegre Mz. V Lt.</t>
  </si>
  <si>
    <t>Oscanoa Pongo Rudy Frank</t>
  </si>
  <si>
    <t>A. Cobian</t>
  </si>
  <si>
    <t>Mz.H Lt.6</t>
  </si>
  <si>
    <t>Zambrano Chumbe Ruth Jimena</t>
  </si>
  <si>
    <t>Las Viñas De Paraiso</t>
  </si>
  <si>
    <t>Chavez Crispin Renzo Osmar</t>
  </si>
  <si>
    <t>7001</t>
  </si>
  <si>
    <t>Las Torres De Santa</t>
  </si>
  <si>
    <t>Miranda Ortega Masiel Miluska</t>
  </si>
  <si>
    <t>Asoc. Los Jazmines De Cajamarquilla</t>
  </si>
  <si>
    <t>114</t>
  </si>
  <si>
    <t>Pumahuacre Diaz Pedro Luis</t>
  </si>
  <si>
    <t>Calle Los Cedros</t>
  </si>
  <si>
    <t>L6</t>
  </si>
  <si>
    <t>NO HAY</t>
  </si>
  <si>
    <t>Velasquez Calderon Alvaro</t>
  </si>
  <si>
    <t>Asistente Proyectos Logisticos</t>
  </si>
  <si>
    <t>Jr Calendulas</t>
  </si>
  <si>
    <t>1333</t>
  </si>
  <si>
    <t>201</t>
  </si>
  <si>
    <t>Yovera Yovera Josue Caleb</t>
  </si>
  <si>
    <t>Tarapaca Belen</t>
  </si>
  <si>
    <t>TARAPACA BELEN</t>
  </si>
  <si>
    <t>Galicio Aurora Maryoret Deyanira Yamilet</t>
  </si>
  <si>
    <t>Topacios</t>
  </si>
  <si>
    <t>MARIA HERRERA ACOSTA</t>
  </si>
  <si>
    <t>Huaycha Tucno Jackelin Milagros</t>
  </si>
  <si>
    <t>51</t>
  </si>
  <si>
    <t>UCV 48 ZONA C</t>
  </si>
  <si>
    <t>Minaya Gavilan Jenny Criselda</t>
  </si>
  <si>
    <t>Casa Huerta La Campiña</t>
  </si>
  <si>
    <t>Aranda Salis Jean Paul Vincen</t>
  </si>
  <si>
    <t>Villa Union Jicamarca Anexo 8 .Mz. U5 Lt. 2</t>
  </si>
  <si>
    <t>Jicamarca Anexo 8, Lurigancho-Chosica</t>
  </si>
  <si>
    <t>Leon Chavez Diego Alexander</t>
  </si>
  <si>
    <t>san Antonio De Carap</t>
  </si>
  <si>
    <t>S</t>
  </si>
  <si>
    <t>SAN ANTONIO DE CARAP</t>
  </si>
  <si>
    <t>Onsihuay Vilchez Esther Olivia</t>
  </si>
  <si>
    <t>Tupac Amaru</t>
  </si>
  <si>
    <t>Q1</t>
  </si>
  <si>
    <t>CENTRO JICAMARCA</t>
  </si>
  <si>
    <t>Huamali Osorio Lizet</t>
  </si>
  <si>
    <t>K2</t>
  </si>
  <si>
    <t>ASOC LOS PORTALES</t>
  </si>
  <si>
    <t>Guillermo Quispe Nilo Leocadio</t>
  </si>
  <si>
    <t>27 De Marzo</t>
  </si>
  <si>
    <t>El Sol</t>
  </si>
  <si>
    <t>Mestanza Quispe Jose Luis</t>
  </si>
  <si>
    <t>Anselmo Gonzales Willian David</t>
  </si>
  <si>
    <t>Pista Nueva</t>
  </si>
  <si>
    <t>Km 12</t>
  </si>
  <si>
    <t>Rosado Ricci Giancarlos Victor</t>
  </si>
  <si>
    <t>Asociasion Hijos De Apurimac</t>
  </si>
  <si>
    <t>5Ta Zona</t>
  </si>
  <si>
    <t>Chuñoca Cahuana Claudia Zarita</t>
  </si>
  <si>
    <t>San Antonio De Padua</t>
  </si>
  <si>
    <t>Amauta A</t>
  </si>
  <si>
    <t>Gutierrez Quispes Dilan Aramiz</t>
  </si>
  <si>
    <t>A. H. 25 De Julio</t>
  </si>
  <si>
    <t>Pinedo Huancho Darlin Orlando</t>
  </si>
  <si>
    <t>Darlin Orlando Pinedo Huacho</t>
  </si>
  <si>
    <t>9005</t>
  </si>
  <si>
    <t>Travezaño Vasquez Christiam Rigoberto</t>
  </si>
  <si>
    <t>Caballo Blanco Mz 19Lt Cp Jicamarca</t>
  </si>
  <si>
    <t>Moquegua</t>
  </si>
  <si>
    <t>Mariscal Nieto</t>
  </si>
  <si>
    <t>Matias Palacios Vicky</t>
  </si>
  <si>
    <t>Asoc.Vivienda Raucana Mz D Lote 30</t>
  </si>
  <si>
    <t>Ore Chate Jossef Yamil</t>
  </si>
  <si>
    <t>Asentamiento Humano Pampa Los Olivares</t>
  </si>
  <si>
    <t>Arias Taipe Jhon Smith</t>
  </si>
  <si>
    <t>Huancavelica</t>
  </si>
  <si>
    <t>Las Riveras De Cajamarquilla</t>
  </si>
  <si>
    <t>Castro Cruz Kriztian Yorde</t>
  </si>
  <si>
    <t>Virgen Del Carmen</t>
  </si>
  <si>
    <t>Calsina Tuni Janeth Jessica</t>
  </si>
  <si>
    <t>Asoc Pro Vivienda Chavin De Huantar</t>
  </si>
  <si>
    <t>131</t>
  </si>
  <si>
    <t>San Juan De Luriganc</t>
  </si>
  <si>
    <t>Arboleda Vasquez Aldhair Farid</t>
  </si>
  <si>
    <t>Mz Q Lte 22 Urb. Mariscal Caceres</t>
  </si>
  <si>
    <t>Santa Maria Ruiz Luis Antonio</t>
  </si>
  <si>
    <t>Asoc. Nueva Primavera</t>
  </si>
  <si>
    <t>Lara Hayball Diego Ricardo</t>
  </si>
  <si>
    <t>Jefe Control Gastos e Indicadores</t>
  </si>
  <si>
    <t>Echenique</t>
  </si>
  <si>
    <t>767</t>
  </si>
  <si>
    <t>Mosayhuate Rivas Orlando Gabriel</t>
  </si>
  <si>
    <t>Coordinador Transporte</t>
  </si>
  <si>
    <t>1055</t>
  </si>
  <si>
    <t>Jesus Maria</t>
  </si>
  <si>
    <t>Palomino Cancho Edu Miguel</t>
  </si>
  <si>
    <t>ZONA L</t>
  </si>
  <si>
    <t>Ramirez Rojas Nicolas Rony</t>
  </si>
  <si>
    <t>Ucv. 129</t>
  </si>
  <si>
    <t>129</t>
  </si>
  <si>
    <t>Palomino Huaman Roxana</t>
  </si>
  <si>
    <t>Nuevo Americas</t>
  </si>
  <si>
    <t>4482</t>
  </si>
  <si>
    <t>Arena</t>
  </si>
  <si>
    <t>Almonacid Caja Rosel Jassmin</t>
  </si>
  <si>
    <t>No</t>
  </si>
  <si>
    <t>Zuñiga Vasquez Ted</t>
  </si>
  <si>
    <t>Aa Hh Jose Carlos Mariategui</t>
  </si>
  <si>
    <t>P6</t>
  </si>
  <si>
    <t>Espalda Mariategui</t>
  </si>
  <si>
    <t>Salgado Ramirez Ana Elisa</t>
  </si>
  <si>
    <t>671</t>
  </si>
  <si>
    <t>Truinfo</t>
  </si>
  <si>
    <t>Rivera Lescano Jackeline Lidia</t>
  </si>
  <si>
    <t>Gloria Alcanfores</t>
  </si>
  <si>
    <t>GLORIA ALCANFORES</t>
  </si>
  <si>
    <t>Chamuli Huillca Miguel Angel</t>
  </si>
  <si>
    <t>Sinchiroca</t>
  </si>
  <si>
    <t>145</t>
  </si>
  <si>
    <t>Camarena Salvador Alexander Percy</t>
  </si>
  <si>
    <t>595</t>
  </si>
  <si>
    <t>Los Chancas De Andahualias</t>
  </si>
  <si>
    <t>Hidalgo Hidalgo Brandon Arturo</t>
  </si>
  <si>
    <t>Raymundo Contreras Mariela Heidy</t>
  </si>
  <si>
    <t>La Era Ñaña</t>
  </si>
  <si>
    <t>C3</t>
  </si>
  <si>
    <t>Gutierrez Loayza Jean Carlos</t>
  </si>
  <si>
    <t>341</t>
  </si>
  <si>
    <t>Buleje Salcedo Carlos Richard</t>
  </si>
  <si>
    <t>Lider Proyecto</t>
  </si>
  <si>
    <t>Tnte Cnel Aurelio Valentin</t>
  </si>
  <si>
    <t>Santa Rosa Pachacutec</t>
  </si>
  <si>
    <t>Moleros Condori Yajhaira Sheyla</t>
  </si>
  <si>
    <t>Begonias</t>
  </si>
  <si>
    <t>EL SOL DE JICAMARCA</t>
  </si>
  <si>
    <t>Cirineo Puris Freddy Franz</t>
  </si>
  <si>
    <t>Ascanoa Huaman Victoria Linda</t>
  </si>
  <si>
    <t>Terrazas Carap Lt 7</t>
  </si>
  <si>
    <t>9806</t>
  </si>
  <si>
    <t>TERRAZAS DE CARAPON</t>
  </si>
  <si>
    <t>Gutierrez Rafael Lucas Rolando</t>
  </si>
  <si>
    <t>Principal</t>
  </si>
  <si>
    <t>Azañero Vidal Oscar Jhonatan</t>
  </si>
  <si>
    <t>Asco. Prop. El Refugio</t>
  </si>
  <si>
    <t>El Refugio</t>
  </si>
  <si>
    <t>Salazar Clemente Patricia Fiorella</t>
  </si>
  <si>
    <t>1Â° De Mayo</t>
  </si>
  <si>
    <t>Los Jazmines Mz</t>
  </si>
  <si>
    <t>Aguirre Caycho Matilde Ysabel</t>
  </si>
  <si>
    <t>Atiz Salazar Luis Enrique</t>
  </si>
  <si>
    <t>Jr Pinos</t>
  </si>
  <si>
    <t>Las Viã‘As</t>
  </si>
  <si>
    <t>Cadenas Ezcurra Jair Nelson</t>
  </si>
  <si>
    <t>198</t>
  </si>
  <si>
    <t>Jimenez Quispe Juan Bryan</t>
  </si>
  <si>
    <t>Juan Jose Poblete Vidal</t>
  </si>
  <si>
    <t>1545</t>
  </si>
  <si>
    <t>Gutierrez Ortiz Richard</t>
  </si>
  <si>
    <t>La Union</t>
  </si>
  <si>
    <t>Vilca Almendre Ronald Felipe</t>
  </si>
  <si>
    <t>Asociacion De Vivienda</t>
  </si>
  <si>
    <t>Porras De La Cruz Diego Anderson</t>
  </si>
  <si>
    <t>Ventura Prado Diego Daniel</t>
  </si>
  <si>
    <t>Agrup.Fam.6 De Febrero</t>
  </si>
  <si>
    <t>La Cruz De Canto Chico</t>
  </si>
  <si>
    <t>Justo Rafael Yicendia Rozaria</t>
  </si>
  <si>
    <t>Los Pelicanos</t>
  </si>
  <si>
    <t>Moreno Santisteban Ronald Miguel</t>
  </si>
  <si>
    <t>Canaan</t>
  </si>
  <si>
    <t>Malpartida Bones Jack Brando</t>
  </si>
  <si>
    <t>Quiliche Cruzado Jorge Luis</t>
  </si>
  <si>
    <t>Rio Tarica</t>
  </si>
  <si>
    <t>5637</t>
  </si>
  <si>
    <t>Villa Del Norte - Los Olivos</t>
  </si>
  <si>
    <t>Zapata Ruiz Rudy Jeanpiere</t>
  </si>
  <si>
    <t>Misionero Salas</t>
  </si>
  <si>
    <t>529</t>
  </si>
  <si>
    <t>104</t>
  </si>
  <si>
    <t>Febres De La Cruz Nayely Maylen</t>
  </si>
  <si>
    <t>Las Tunas</t>
  </si>
  <si>
    <t>H3</t>
  </si>
  <si>
    <t>Salazar Mendoza Antuan Darner Bill</t>
  </si>
  <si>
    <t>A.A H.H La Libertad</t>
  </si>
  <si>
    <t>5D</t>
  </si>
  <si>
    <t>LURIGANCHO CHOSICA</t>
  </si>
  <si>
    <t>Julian Flores Giovana Milagros</t>
  </si>
  <si>
    <t>Las Azucenas</t>
  </si>
  <si>
    <t>M1</t>
  </si>
  <si>
    <t>Centro Poblado Virge</t>
  </si>
  <si>
    <t>Ramos Carhuacusma Angely</t>
  </si>
  <si>
    <t>F1</t>
  </si>
  <si>
    <t>Hermoza Carpio Sara Ester</t>
  </si>
  <si>
    <t>Calle Berlin</t>
  </si>
  <si>
    <t>O1</t>
  </si>
  <si>
    <t>Este</t>
  </si>
  <si>
    <t>Trinidad Ajama Shamira Nicole</t>
  </si>
  <si>
    <t>Ucv 21 Lote 71 Zona S Huaycan</t>
  </si>
  <si>
    <t>71</t>
  </si>
  <si>
    <t>Soto Suarez Maycol Stiwart</t>
  </si>
  <si>
    <t>Niveria-Casuarinas</t>
  </si>
  <si>
    <t>Briceño Leon Niunier David</t>
  </si>
  <si>
    <t>Practicante Pre Profesional</t>
  </si>
  <si>
    <t>Oscar De La Barrera</t>
  </si>
  <si>
    <t>458</t>
  </si>
  <si>
    <t>Zona Urbana</t>
  </si>
  <si>
    <t>Mostorino Heredia Leandro Enmanuel</t>
  </si>
  <si>
    <t>Las Terrazas Nieveri</t>
  </si>
  <si>
    <t>TERRAZAS</t>
  </si>
  <si>
    <t>Barbaran Alarcon Magdiel Nicole</t>
  </si>
  <si>
    <t>Virgen De Cocharcas</t>
  </si>
  <si>
    <t>Moscoso Silva Monica Esperanza</t>
  </si>
  <si>
    <t>Av Ate</t>
  </si>
  <si>
    <t>147</t>
  </si>
  <si>
    <t>146</t>
  </si>
  <si>
    <t>AV ATE</t>
  </si>
  <si>
    <t>Moran Loayza Zinedine Luis</t>
  </si>
  <si>
    <t>28 De Julio Mz 6 Lt5</t>
  </si>
  <si>
    <t>T6</t>
  </si>
  <si>
    <t>SAN ANTONIO DE JICAM</t>
  </si>
  <si>
    <t>Navarro Pacheco Vicente</t>
  </si>
  <si>
    <t>Vicente Navarro Pach</t>
  </si>
  <si>
    <t>9512</t>
  </si>
  <si>
    <t>VICENTELO BAJO</t>
  </si>
  <si>
    <t>Fernandez Ticllacuri Yessenia</t>
  </si>
  <si>
    <t>MZ6</t>
  </si>
  <si>
    <t>Huiman Romero William Alberto</t>
  </si>
  <si>
    <t>Asoc. Viv. Maria Auxiliadora Mz. 3 Lt. 12</t>
  </si>
  <si>
    <t>Asoc. Viv. Maria Auxiliadora</t>
  </si>
  <si>
    <t>Yupa Garcia Jose Luis</t>
  </si>
  <si>
    <t>Andres Pineiro Mz A</t>
  </si>
  <si>
    <t>Alvites Caysahuana Sylvia Lisseth</t>
  </si>
  <si>
    <t>Prolongación</t>
  </si>
  <si>
    <t>50</t>
  </si>
  <si>
    <t>Contreras Espinoza April Naomi Katty</t>
  </si>
  <si>
    <t>Juan Velasco Alvarad</t>
  </si>
  <si>
    <t>SAN ANDRES</t>
  </si>
  <si>
    <t>Cirineo Durand Gisela Maritza</t>
  </si>
  <si>
    <t>Sol De Vitarte Sector 6</t>
  </si>
  <si>
    <t>Sol De Vitarte</t>
  </si>
  <si>
    <t>Galarza Galves Viviana Yasmin</t>
  </si>
  <si>
    <t>Zona H</t>
  </si>
  <si>
    <t>Mori Salas Angelo Renato</t>
  </si>
  <si>
    <t>Venus</t>
  </si>
  <si>
    <t>126</t>
  </si>
  <si>
    <t>Rosado Montes Abel</t>
  </si>
  <si>
    <t>Cerro Los Angeles</t>
  </si>
  <si>
    <t>Capcha Javier Regina Modesta</t>
  </si>
  <si>
    <t>Avenida Santa Rosa De Lima</t>
  </si>
  <si>
    <t>Urb Semi Rustica De Canto Grande</t>
  </si>
  <si>
    <t>Robles Rivadeneira Elmer Junior</t>
  </si>
  <si>
    <t>Sector Los Carrizale</t>
  </si>
  <si>
    <t>Cabello Picoy Saul</t>
  </si>
  <si>
    <t>Ca Moras, Las A-9D 4 Asoc Moras , Las - E</t>
  </si>
  <si>
    <t>Asociacion De Vivienda Las Moras</t>
  </si>
  <si>
    <t>Quispe Coa Wilmer Abel</t>
  </si>
  <si>
    <t>Ucv 79 Lote 20 Zona E</t>
  </si>
  <si>
    <t>Laura Munaylla Christian Jefferson</t>
  </si>
  <si>
    <t>23 De Septiembre</t>
  </si>
  <si>
    <t>Asociacion Agropecuaria Haras El Huayco</t>
  </si>
  <si>
    <t>Rubio Rivera Cesar Luis</t>
  </si>
  <si>
    <t>Calle Paraíso</t>
  </si>
  <si>
    <t>Ñaña Paraíso</t>
  </si>
  <si>
    <t>Llungo Villalta Bryan Eduardo</t>
  </si>
  <si>
    <t>Malteria</t>
  </si>
  <si>
    <t>Espinoza Rodriguez Max Michel</t>
  </si>
  <si>
    <t>Las Gardeniaz</t>
  </si>
  <si>
    <t>Horizonte De Zarate</t>
  </si>
  <si>
    <t>Olcese Carrera Renzo Oscar</t>
  </si>
  <si>
    <t>Analista Logistica Proveedores</t>
  </si>
  <si>
    <t>Orejuelas</t>
  </si>
  <si>
    <t>229</t>
  </si>
  <si>
    <t>Turpo Leon Lidy Laura</t>
  </si>
  <si>
    <t>Camavilca Atahuaman Govanna Marcelina</t>
  </si>
  <si>
    <t>68</t>
  </si>
  <si>
    <t>Condori Taipe Jhon Emerson</t>
  </si>
  <si>
    <t>15 De Abril</t>
  </si>
  <si>
    <t>Peñaloza Chavez Joaquin Warner</t>
  </si>
  <si>
    <t>Coop. Ramiro Priale Priale</t>
  </si>
  <si>
    <t>Ramiro Priale Priale</t>
  </si>
  <si>
    <t>Aniceto Vega Kenjy Jesus</t>
  </si>
  <si>
    <t>Analista Ingenieria</t>
  </si>
  <si>
    <t>Pariachi</t>
  </si>
  <si>
    <t>De La Piedra Zarria Jorge Arturo</t>
  </si>
  <si>
    <t>Ramos Valladares Carlos Eduardo</t>
  </si>
  <si>
    <t>Moxocos</t>
  </si>
  <si>
    <t>356</t>
  </si>
  <si>
    <t>Mangomarca</t>
  </si>
  <si>
    <t>Figueroa Zevallos Jhon Alexander</t>
  </si>
  <si>
    <t>BASILIO AUQUI</t>
  </si>
  <si>
    <t>Unocc Yauri Jhennifer Lucia</t>
  </si>
  <si>
    <t>112</t>
  </si>
  <si>
    <t>Tamani Pizango Victor Diego</t>
  </si>
  <si>
    <t>Sol De Chambala</t>
  </si>
  <si>
    <t>Sabala Lacsañaupa Nahuel Eduardo</t>
  </si>
  <si>
    <t>561</t>
  </si>
  <si>
    <t>SAN JOSE</t>
  </si>
  <si>
    <t>Navarro Gomez Angel Brayan</t>
  </si>
  <si>
    <t>Ucv 146 A Lt 22 Zn J</t>
  </si>
  <si>
    <t>ZONA J</t>
  </si>
  <si>
    <t>Bedriñana Medina Yanice</t>
  </si>
  <si>
    <t>Javier Heraud</t>
  </si>
  <si>
    <t>Vitarte</t>
  </si>
  <si>
    <t>Tupac Cornejo Leydi Alessandra</t>
  </si>
  <si>
    <t>Pariona Vilchez Josue Mauricio</t>
  </si>
  <si>
    <t>1540</t>
  </si>
  <si>
    <t>B18</t>
  </si>
  <si>
    <t>Santos Guerra Delci Elva</t>
  </si>
  <si>
    <t>Asosacion De Vivienda Hijos De Amauta Zona A</t>
  </si>
  <si>
    <t>Pereira Layme Diego Alfonso</t>
  </si>
  <si>
    <t>Comunidad Campesina La Vizcachera</t>
  </si>
  <si>
    <t>No Existe</t>
  </si>
  <si>
    <t>Munguia Solis Johan Daviño</t>
  </si>
  <si>
    <t>Huaycan Zona X</t>
  </si>
  <si>
    <t>ZONA X</t>
  </si>
  <si>
    <t>Cahuana Advincula Nayely Kelly</t>
  </si>
  <si>
    <t>Los Geranios</t>
  </si>
  <si>
    <t>RURAL PROD AGRICOL</t>
  </si>
  <si>
    <t>Muguruza Vasquez Jose Fernando</t>
  </si>
  <si>
    <t>Los Datiles</t>
  </si>
  <si>
    <t>961</t>
  </si>
  <si>
    <t>CANTO GRANDE II ETAP</t>
  </si>
  <si>
    <t>Hidalgo Ramirez Lucero Brenda</t>
  </si>
  <si>
    <t>NO</t>
  </si>
  <si>
    <t>ZONA C</t>
  </si>
  <si>
    <t>Febres Hualpa Liset Kluvisa</t>
  </si>
  <si>
    <t>Analista Adquisiciones Logistico</t>
  </si>
  <si>
    <t>San Francisco De La Cruz</t>
  </si>
  <si>
    <t>Pamplona Alta</t>
  </si>
  <si>
    <t>Carrion Marcelo Damaly Melissa</t>
  </si>
  <si>
    <t>Industrial</t>
  </si>
  <si>
    <t>PARQUE INDUSTRIAL</t>
  </si>
  <si>
    <t>Celis Vara Raul Roger</t>
  </si>
  <si>
    <t>Julio Tello Anexo 8</t>
  </si>
  <si>
    <t>JICAMARCA</t>
  </si>
  <si>
    <t>Berrocal Gutierrez Ruben Antonny</t>
  </si>
  <si>
    <t>Unin Jica Mz X2 Lt 8</t>
  </si>
  <si>
    <t>9874</t>
  </si>
  <si>
    <t>X2</t>
  </si>
  <si>
    <t>SAN ANTONIO JICAMAR</t>
  </si>
  <si>
    <t>Huillca Isidro Anthony Gabriel</t>
  </si>
  <si>
    <t>San Alejandro</t>
  </si>
  <si>
    <t>1549</t>
  </si>
  <si>
    <t>E1</t>
  </si>
  <si>
    <t>Barbachan Villalobos Miguel Alejandro</t>
  </si>
  <si>
    <t>978</t>
  </si>
  <si>
    <t>Santos Chuquipoma Yoelmi Asuncion</t>
  </si>
  <si>
    <t>Cotabanva</t>
  </si>
  <si>
    <t>Umamarca</t>
  </si>
  <si>
    <t>Osorio Ordaya Rusbel</t>
  </si>
  <si>
    <t>Zavala Montes Celin</t>
  </si>
  <si>
    <t>COMUNEROS JICAMARCA</t>
  </si>
  <si>
    <t>Mendoza Aliaga Alejandro Adrian</t>
  </si>
  <si>
    <t>Casa Huerta Product.</t>
  </si>
  <si>
    <t>Vicharra De La Cruz Elizbhet Margot</t>
  </si>
  <si>
    <t>Rur Y Pec Prod Agri Huancayo</t>
  </si>
  <si>
    <t>Tirado Huaman Maria Mery</t>
  </si>
  <si>
    <t>2 Grupo 7</t>
  </si>
  <si>
    <t>Osis Pari Marco Miguel</t>
  </si>
  <si>
    <t>Asociacion Casuarinas De Barbadillo</t>
  </si>
  <si>
    <t>Casiarinas</t>
  </si>
  <si>
    <t>Montalvan De La Cruz Marcos</t>
  </si>
  <si>
    <t>Sector 07</t>
  </si>
  <si>
    <t>Casca Landeo Cristhian Jhonatan</t>
  </si>
  <si>
    <t>Zona J</t>
  </si>
  <si>
    <t>Parodi Barzola Gary Geraldo</t>
  </si>
  <si>
    <t>Asentamiento Humano Jose Sabogal</t>
  </si>
  <si>
    <t>Espinoza Palomino David Pablo</t>
  </si>
  <si>
    <t>Jose Carlos Mariategui - Grupo 5</t>
  </si>
  <si>
    <t>Grajeda Cjuiro Michel</t>
  </si>
  <si>
    <t>Fundo Niviera Chosica</t>
  </si>
  <si>
    <t>Arevalo Quispe Victor Junior</t>
  </si>
  <si>
    <t>Tecnico Automatizacion</t>
  </si>
  <si>
    <t>Londres</t>
  </si>
  <si>
    <t>Los Portales De Javier Prado</t>
  </si>
  <si>
    <t>Congacha Leiva Alex Paul</t>
  </si>
  <si>
    <t>Ravelo Aguilar Aydee Magaly</t>
  </si>
  <si>
    <t>Los Telares</t>
  </si>
  <si>
    <t>Proyecto 2000</t>
  </si>
  <si>
    <t>Quispe Ochicua Xiomara Brigy</t>
  </si>
  <si>
    <t>Union Jicamarca</t>
  </si>
  <si>
    <t>Poma Ticse Miluska</t>
  </si>
  <si>
    <t>26 De Mayo</t>
  </si>
  <si>
    <t>1501</t>
  </si>
  <si>
    <t>Perez Huarcaya Roberto Carlos</t>
  </si>
  <si>
    <t>Ucv 136</t>
  </si>
  <si>
    <t>Zona I</t>
  </si>
  <si>
    <t>Morales Guerrero Daniel Williams</t>
  </si>
  <si>
    <t>Locumba</t>
  </si>
  <si>
    <t>718</t>
  </si>
  <si>
    <t>Roque Camavilca Sofia Liz</t>
  </si>
  <si>
    <t>San Antonio Carapong</t>
  </si>
  <si>
    <t>4566</t>
  </si>
  <si>
    <t>Elescano Curichahua Gianpiero Aimar</t>
  </si>
  <si>
    <t>Gutierrez Quispes Angel Adrian</t>
  </si>
  <si>
    <t>Diaz Malache</t>
  </si>
  <si>
    <t>Guerrero Quispe Emanuel Angelo Daniel</t>
  </si>
  <si>
    <t>El Sol 547 San Carlo</t>
  </si>
  <si>
    <t>547</t>
  </si>
  <si>
    <t>SAN CARLOS</t>
  </si>
  <si>
    <t>Carhuavilca Flores Britney America Mariela</t>
  </si>
  <si>
    <t>Las Violetas</t>
  </si>
  <si>
    <t>U</t>
  </si>
  <si>
    <t>Fajardo Mendoza Milagros Yazmin</t>
  </si>
  <si>
    <t>Urcos</t>
  </si>
  <si>
    <t>J1</t>
  </si>
  <si>
    <t>LAS CASAS</t>
  </si>
  <si>
    <t>Sifuentes Gonzales Tracy Sherich</t>
  </si>
  <si>
    <t>MOYOPAMPA</t>
  </si>
  <si>
    <t>Hernandez Padilla Junior Enrique</t>
  </si>
  <si>
    <t>Calle 2 W-34</t>
  </si>
  <si>
    <t>W</t>
  </si>
  <si>
    <t>Villa Club</t>
  </si>
  <si>
    <t>Ruiz Toribio Kiara Shesira</t>
  </si>
  <si>
    <t>Rosacruces</t>
  </si>
  <si>
    <t>180</t>
  </si>
  <si>
    <t>M20</t>
  </si>
  <si>
    <t>San Gregorio</t>
  </si>
  <si>
    <t>Ticllacuri Gonzales Estefani Briggite</t>
  </si>
  <si>
    <t>Q4</t>
  </si>
  <si>
    <t>Huaccho Montalvo Janeth Jessica</t>
  </si>
  <si>
    <t>30</t>
  </si>
  <si>
    <t>Velasquez Gonzales Josue Manuel</t>
  </si>
  <si>
    <t>Julio Cesar Tello</t>
  </si>
  <si>
    <t>Cotrina Tarrillo Anthony Robin</t>
  </si>
  <si>
    <t>Victor Fajardo</t>
  </si>
  <si>
    <t>Ortega Vereau Jose Roberto</t>
  </si>
  <si>
    <t>Ucv 1</t>
  </si>
  <si>
    <t>Hurtado Aquino Fernando Cenit</t>
  </si>
  <si>
    <t>Sector San Francisco</t>
  </si>
  <si>
    <t>Huaman Palomino Jhon Henry</t>
  </si>
  <si>
    <t>Asoc. Huerta Granja</t>
  </si>
  <si>
    <t>EL AYLLU DE CAJAMARQ</t>
  </si>
  <si>
    <t>Piñas Camayo Lizet Marisol</t>
  </si>
  <si>
    <t>HUACHIPA LAS MORAS</t>
  </si>
  <si>
    <t>Esteban Atoc Giulianna Estefany</t>
  </si>
  <si>
    <t>Huarochiri/San Anton</t>
  </si>
  <si>
    <t>1551</t>
  </si>
  <si>
    <t>BASILIO AUQ ANEXO 8</t>
  </si>
  <si>
    <t>Zevallos Noa Anni Nikoli</t>
  </si>
  <si>
    <t>PAMPA 3</t>
  </si>
  <si>
    <t>Marin Yaicate Evila Danuska</t>
  </si>
  <si>
    <t>Las Rosas</t>
  </si>
  <si>
    <t>Hilario Villaverde Fabrizio Jesus</t>
  </si>
  <si>
    <t>Alcides Carrion</t>
  </si>
  <si>
    <t>Salome Pacheco William Federico</t>
  </si>
  <si>
    <t>Asociacion Corazon De Jesus Lote 1</t>
  </si>
  <si>
    <t>Vilcatoma Galarza Araceli Lizeth</t>
  </si>
  <si>
    <t>Praderas De Pariachi</t>
  </si>
  <si>
    <t>Ingaruca Supho Phool Deivid</t>
  </si>
  <si>
    <t>Virgen De La Asuncion</t>
  </si>
  <si>
    <t>Ore Villantoy Marleni Ruth</t>
  </si>
  <si>
    <t>Horacio Zeballos Gamez</t>
  </si>
  <si>
    <t>Berrios Canales John Kennedy</t>
  </si>
  <si>
    <t>Prolongacion Progreso</t>
  </si>
  <si>
    <t>Paradero Colegio</t>
  </si>
  <si>
    <t>Torres Jara Gianluca Raúl</t>
  </si>
  <si>
    <t>Sol De Viã‘As</t>
  </si>
  <si>
    <t>Achata Alarcon Ariel Sebastian</t>
  </si>
  <si>
    <t>Asociacion Sr De Huanca</t>
  </si>
  <si>
    <t>Aguilar Chira Leea Loana Massiel</t>
  </si>
  <si>
    <t>11 De Junio</t>
  </si>
  <si>
    <t>Loyola Rosales Jhonatan Leoncio</t>
  </si>
  <si>
    <t>Cooperativa</t>
  </si>
  <si>
    <t>Sagrada Familia</t>
  </si>
  <si>
    <t>Achulla Salazar Brenda Rosmery</t>
  </si>
  <si>
    <t>Ex Trabajadores</t>
  </si>
  <si>
    <t>Lopez Diaz Hector Gustavo</t>
  </si>
  <si>
    <t>San Martin Fundo La Estrella</t>
  </si>
  <si>
    <t>606</t>
  </si>
  <si>
    <t>Torres De Santa Clar</t>
  </si>
  <si>
    <t>Urquizo Huachos Jean Paul Mario</t>
  </si>
  <si>
    <t>Vargas Gonzales Luis Eduardo</t>
  </si>
  <si>
    <t>Lurigancho Cosica</t>
  </si>
  <si>
    <t>Cisneros Campos Alvaro Renee</t>
  </si>
  <si>
    <t>Nuñez Gastelu Angelica Maria</t>
  </si>
  <si>
    <t>Reyes Lozada Leonardo Jairzinho</t>
  </si>
  <si>
    <t>Chancan Lazo Dilber Juan</t>
  </si>
  <si>
    <t>Arenera</t>
  </si>
  <si>
    <t>Zona C</t>
  </si>
  <si>
    <t>Espinoza Yabar Alex Alfredo</t>
  </si>
  <si>
    <t>Analista Proyectos Logisticos</t>
  </si>
  <si>
    <t>Las Lomas De Horacio Zevallos</t>
  </si>
  <si>
    <t>Diego Presentacion Mary Luz</t>
  </si>
  <si>
    <t>Espinoza Vasquez Alvaro Albert</t>
  </si>
  <si>
    <t>Rodriguez Quispe Juan</t>
  </si>
  <si>
    <t>Aa.Hh.</t>
  </si>
  <si>
    <t>LA QUINTA</t>
  </si>
  <si>
    <t>Rojas De La Cruz Jimmy Anthony</t>
  </si>
  <si>
    <t>Ucv 129 Lt 56 Zona H</t>
  </si>
  <si>
    <t>ZONA H HUAYCAN</t>
  </si>
  <si>
    <t>Muñoz Rebaza Geraldine Veronica</t>
  </si>
  <si>
    <t>1 Asent.H</t>
  </si>
  <si>
    <t>PEDREGAL SANTA CLARA</t>
  </si>
  <si>
    <t>Teixeira Sanchez Lenny Zuleyka</t>
  </si>
  <si>
    <t>El Remanzo</t>
  </si>
  <si>
    <t>EL REMANZO</t>
  </si>
  <si>
    <t>Ramos Medrano Leonardo</t>
  </si>
  <si>
    <t>15 De Julio Huaycan</t>
  </si>
  <si>
    <t>Ucv139 Zona I</t>
  </si>
  <si>
    <t>Tito Reyes Leonardo Kenner</t>
  </si>
  <si>
    <t>9393</t>
  </si>
  <si>
    <t>MF</t>
  </si>
  <si>
    <t>La Rinconada</t>
  </si>
  <si>
    <t>Hinostroza Garcia Diego Cesar</t>
  </si>
  <si>
    <t>T1</t>
  </si>
  <si>
    <t>Delgado Cabrera Rosita Lourdes</t>
  </si>
  <si>
    <t>San Hilarion</t>
  </si>
  <si>
    <t>366</t>
  </si>
  <si>
    <t>Moleros Contreras Erick Jesus</t>
  </si>
  <si>
    <t>M0</t>
  </si>
  <si>
    <t>Manuyama Rengifo Clara Isabel</t>
  </si>
  <si>
    <t>Av La Paz</t>
  </si>
  <si>
    <t>LA CAPITANA HUACHIPA</t>
  </si>
  <si>
    <t>Cubillas Montalvo Junior Hamir</t>
  </si>
  <si>
    <t>Los Abogados</t>
  </si>
  <si>
    <t>4224</t>
  </si>
  <si>
    <t>Berrospi Montes Jenifer Michel</t>
  </si>
  <si>
    <t>SAN GREGORIO</t>
  </si>
  <si>
    <t>Mori Gomez Victor Manuel</t>
  </si>
  <si>
    <t>Francia</t>
  </si>
  <si>
    <t>Asco. La Encantada D</t>
  </si>
  <si>
    <t>Mayta Mango Albert Genaro</t>
  </si>
  <si>
    <t>Pedregal Bosque Concordia - San Antonio</t>
  </si>
  <si>
    <t>Montes Cardenas Juan Vicente</t>
  </si>
  <si>
    <t>Preventor</t>
  </si>
  <si>
    <t>Chillon 5Ta Etapa</t>
  </si>
  <si>
    <t>Durand Aquino Leonel Esau</t>
  </si>
  <si>
    <t>Valdivia Salinas Xiomara Andrea</t>
  </si>
  <si>
    <t>Huanta Pampa Olivare</t>
  </si>
  <si>
    <t>Acuña Ulloa Richard Saul</t>
  </si>
  <si>
    <t>Flores Meza Jose Manuel</t>
  </si>
  <si>
    <t>Medellin</t>
  </si>
  <si>
    <t>Bernachea Lopez Jorge Antonio</t>
  </si>
  <si>
    <t>Monteverde Ate Vitarte</t>
  </si>
  <si>
    <t>Samaniego De La Cruz Jeanpier</t>
  </si>
  <si>
    <t>Ucv 115 Lote 29 Zona G Huaycan</t>
  </si>
  <si>
    <t>Zona G</t>
  </si>
  <si>
    <t>Bazan Melgarejo Johan</t>
  </si>
  <si>
    <t>Santa Rosa De Lima</t>
  </si>
  <si>
    <t>Palomares</t>
  </si>
  <si>
    <t>Mendoza Tito Gabriela</t>
  </si>
  <si>
    <t>Romero Egoavil Edeverson Percy</t>
  </si>
  <si>
    <t>Aosc Campo Sol</t>
  </si>
  <si>
    <t>Hernandez Torres Victor Carlos</t>
  </si>
  <si>
    <t>Las Viñas de San Antonio</t>
  </si>
  <si>
    <t>Lt10</t>
  </si>
  <si>
    <t>MZ G</t>
  </si>
  <si>
    <t>Mendez Zevallos Diego Alvaro</t>
  </si>
  <si>
    <t>Maria Auxiliadora</t>
  </si>
  <si>
    <t>Garcia Muñoz Angie Carolina</t>
  </si>
  <si>
    <t>Moreno Marroquin Diana Angella</t>
  </si>
  <si>
    <t>Los Rubies</t>
  </si>
  <si>
    <t>212</t>
  </si>
  <si>
    <t>Balconcillo</t>
  </si>
  <si>
    <t>Yaringaño Osorio Yeims Edson</t>
  </si>
  <si>
    <t>Prop Santa Rosa, Santa Clara - Ate</t>
  </si>
  <si>
    <t>Chicana Roncal Patrick</t>
  </si>
  <si>
    <t>Nueva Media Luna</t>
  </si>
  <si>
    <t>Meza Paez Ceidy Noemi</t>
  </si>
  <si>
    <t>Porto Alegre</t>
  </si>
  <si>
    <t>Carhuapoma Quispe Javier Solano</t>
  </si>
  <si>
    <t>Cerro Esmeralda</t>
  </si>
  <si>
    <t>Suasnabar Flores Gabriel Edgar</t>
  </si>
  <si>
    <t>Camino Real</t>
  </si>
  <si>
    <t>Asociasion</t>
  </si>
  <si>
    <t>Fuentes Correa Miguel Erdulfo</t>
  </si>
  <si>
    <t>VILLA RICA</t>
  </si>
  <si>
    <t>Quispe Pinto Sebastian Mauricio</t>
  </si>
  <si>
    <t>Pampachiri</t>
  </si>
  <si>
    <t>Rojas Saavedra Patrick Stiven</t>
  </si>
  <si>
    <t>Las Brisas De Huachi</t>
  </si>
  <si>
    <t>BRISAS DE HUACHIPA</t>
  </si>
  <si>
    <t>Montalvo Espinoza Nicole Elizabeth</t>
  </si>
  <si>
    <t>ZONA D</t>
  </si>
  <si>
    <t>Correa Coronado Belen Vanessa</t>
  </si>
  <si>
    <t>Primero De Mayo</t>
  </si>
  <si>
    <t>BAYOVAR</t>
  </si>
  <si>
    <t>Huaman Chacon Yieris Alexsandra</t>
  </si>
  <si>
    <t>Ca Primavera Asoc Los Jardines De Santa</t>
  </si>
  <si>
    <t>Asoc Los Jardines De</t>
  </si>
  <si>
    <t>Quispe Galvan Emilia Isabel</t>
  </si>
  <si>
    <t>Andres Avelino Caceres Zona T</t>
  </si>
  <si>
    <t>Zona T</t>
  </si>
  <si>
    <t>SIN ZONA</t>
  </si>
  <si>
    <t>Empleados</t>
  </si>
  <si>
    <t>#</t>
  </si>
  <si>
    <t>🟢 Muy Cerca (0-5 km)</t>
  </si>
  <si>
    <t>🟠 Moderada (10-20 km)</t>
  </si>
  <si>
    <t>🟡 Cerca (5-10 km)</t>
  </si>
  <si>
    <t>🔴 Lejos (&gt;20 km)</t>
  </si>
  <si>
    <t>Clasificación</t>
  </si>
  <si>
    <t>Porcentaje</t>
  </si>
  <si>
    <t>Fecha de terminación</t>
  </si>
  <si>
    <t>PE73943357</t>
  </si>
  <si>
    <t>Lenin Fredd</t>
  </si>
  <si>
    <t>Ortiz</t>
  </si>
  <si>
    <t>Matias</t>
  </si>
  <si>
    <t>CD - Nieveria Cacum</t>
  </si>
  <si>
    <t>Victor Hugo Valladolid</t>
  </si>
  <si>
    <t>PE10363823</t>
  </si>
  <si>
    <t>Jose Carlos</t>
  </si>
  <si>
    <t>JOSE CARLOS MARIATE</t>
  </si>
  <si>
    <t>15401</t>
  </si>
  <si>
    <t>PE10105584</t>
  </si>
  <si>
    <t>Justina Rita</t>
  </si>
  <si>
    <t>Juan Elmer Bellido</t>
  </si>
  <si>
    <t>PE41664551</t>
  </si>
  <si>
    <t>Inca Garcilazo De La Vega</t>
  </si>
  <si>
    <t>San Gabriel</t>
  </si>
  <si>
    <t>15803</t>
  </si>
  <si>
    <t>PE61489917</t>
  </si>
  <si>
    <t>Junior Nelson</t>
  </si>
  <si>
    <t>Cuelo</t>
  </si>
  <si>
    <t>Richard Cesar Paz</t>
  </si>
  <si>
    <t>PE44272999</t>
  </si>
  <si>
    <t>Hubert Lanssier</t>
  </si>
  <si>
    <t>15457</t>
  </si>
  <si>
    <t>PE60767789</t>
  </si>
  <si>
    <t>Rolando Jose Augusto</t>
  </si>
  <si>
    <t>Zumaeta</t>
  </si>
  <si>
    <t>Glisely Dalila Retamozo</t>
  </si>
  <si>
    <t>PE40036126</t>
  </si>
  <si>
    <t>Mirasol De Huampani</t>
  </si>
  <si>
    <t>MIRASOL DE HUAMPANI</t>
  </si>
  <si>
    <t>15472</t>
  </si>
  <si>
    <t>PE71711576</t>
  </si>
  <si>
    <t>Katheryn Esthefany</t>
  </si>
  <si>
    <t>Condemayta</t>
  </si>
  <si>
    <t>Serrano</t>
  </si>
  <si>
    <t>Wilder Ambrosio</t>
  </si>
  <si>
    <t>PE71695789</t>
  </si>
  <si>
    <t>Jorge Chavez</t>
  </si>
  <si>
    <t>LOS PROGRESISTAS B</t>
  </si>
  <si>
    <t>15004</t>
  </si>
  <si>
    <t>PE71241392</t>
  </si>
  <si>
    <t>Breila Marilyn</t>
  </si>
  <si>
    <t>Ignacio</t>
  </si>
  <si>
    <t>Nicolaz Ayllon</t>
  </si>
  <si>
    <t>PE73327933</t>
  </si>
  <si>
    <t>Bernaola</t>
  </si>
  <si>
    <t>Utos</t>
  </si>
  <si>
    <t>Francisco Valentin Bautista</t>
  </si>
  <si>
    <t>PE40516494</t>
  </si>
  <si>
    <t>Los Hijos De Huaycan</t>
  </si>
  <si>
    <t>PE70870831</t>
  </si>
  <si>
    <t>Ayme Antonella</t>
  </si>
  <si>
    <t>C.P Virgen Del Carme</t>
  </si>
  <si>
    <t>PE70208056</t>
  </si>
  <si>
    <t>Hebert Fernando</t>
  </si>
  <si>
    <t>Vicente Luvin Mesias</t>
  </si>
  <si>
    <t>PE21846340</t>
  </si>
  <si>
    <t>Virgilio Purisaga Cdra</t>
  </si>
  <si>
    <t>Villa Los Martires-C</t>
  </si>
  <si>
    <t>13871</t>
  </si>
  <si>
    <t>La Libertad</t>
  </si>
  <si>
    <t>Chepen</t>
  </si>
  <si>
    <t>PE80935848</t>
  </si>
  <si>
    <t>Alexander Piero</t>
  </si>
  <si>
    <t>Mandujano</t>
  </si>
  <si>
    <t>Asoc.Viv Proyecto 2</t>
  </si>
  <si>
    <t>PE75681875</t>
  </si>
  <si>
    <t>Brajan Paolo</t>
  </si>
  <si>
    <t>Av. 15 De Julio</t>
  </si>
  <si>
    <t>PE47548964</t>
  </si>
  <si>
    <t>Roselia Estefania</t>
  </si>
  <si>
    <t>Aguirre</t>
  </si>
  <si>
    <t>MzG Lt11 Encantada</t>
  </si>
  <si>
    <t>LA ENCANTADA</t>
  </si>
  <si>
    <t>PE72565165</t>
  </si>
  <si>
    <t>Sandro Augusto</t>
  </si>
  <si>
    <t>Paredes</t>
  </si>
  <si>
    <t>Ricopa</t>
  </si>
  <si>
    <t>HIJOS DE APURIMAC</t>
  </si>
  <si>
    <t>PE77908407</t>
  </si>
  <si>
    <t>Axel Eduardo</t>
  </si>
  <si>
    <t>Huánuco</t>
  </si>
  <si>
    <t>Richard Cesar</t>
  </si>
  <si>
    <t>Paz</t>
  </si>
  <si>
    <t>Victor Josmar Carrasco</t>
  </si>
  <si>
    <t>PE46424622</t>
  </si>
  <si>
    <t>Italia</t>
  </si>
  <si>
    <t>15018</t>
  </si>
  <si>
    <t>PE73970593</t>
  </si>
  <si>
    <t>Adan Sergio</t>
  </si>
  <si>
    <t>Pastrana</t>
  </si>
  <si>
    <t>Pampas</t>
  </si>
  <si>
    <t>Ricardo Dionicio Alvarez</t>
  </si>
  <si>
    <t>PE43537551</t>
  </si>
  <si>
    <t>CERRO CAMOTE</t>
  </si>
  <si>
    <t>VALLE EL TRIUNFO</t>
  </si>
  <si>
    <t>PE48096247</t>
  </si>
  <si>
    <t>Juan Diego</t>
  </si>
  <si>
    <t>Pomasoncco</t>
  </si>
  <si>
    <t>Nueva Esperanza</t>
  </si>
  <si>
    <t>PE48262731</t>
  </si>
  <si>
    <t>Jonathan Orlando</t>
  </si>
  <si>
    <t>Arellano</t>
  </si>
  <si>
    <t>PE71604631</t>
  </si>
  <si>
    <t>Cristian</t>
  </si>
  <si>
    <t>Ayala</t>
  </si>
  <si>
    <t>3 Cruces Huascar</t>
  </si>
  <si>
    <t>PE72053443</t>
  </si>
  <si>
    <t>Nicole Marjorie</t>
  </si>
  <si>
    <t>PE71813969</t>
  </si>
  <si>
    <t>Brayan Alexis</t>
  </si>
  <si>
    <t>Carlos Humberto Esteves</t>
  </si>
  <si>
    <t>PE46166302</t>
  </si>
  <si>
    <t>PE77505403</t>
  </si>
  <si>
    <t>Alvaro</t>
  </si>
  <si>
    <t>Trejo</t>
  </si>
  <si>
    <t>PE76436982</t>
  </si>
  <si>
    <t>Edison Bryan</t>
  </si>
  <si>
    <t>Calle 51</t>
  </si>
  <si>
    <t>PE70114077</t>
  </si>
  <si>
    <t>Enriquez</t>
  </si>
  <si>
    <t>Christopher Vasquez</t>
  </si>
  <si>
    <t>PE71918592</t>
  </si>
  <si>
    <t>Calle Las Palmeras</t>
  </si>
  <si>
    <t>PE75221959</t>
  </si>
  <si>
    <t>Jefferson Leonel</t>
  </si>
  <si>
    <t>PE75468797</t>
  </si>
  <si>
    <t>Junior Alberto</t>
  </si>
  <si>
    <t>Ucv 139E Lt 18 Mz C</t>
  </si>
  <si>
    <t>ZONA I</t>
  </si>
  <si>
    <t>PE75467774</t>
  </si>
  <si>
    <t>Guillermo Jesus</t>
  </si>
  <si>
    <t>Solso</t>
  </si>
  <si>
    <t>Llungo</t>
  </si>
  <si>
    <t>Nueva Alianza</t>
  </si>
  <si>
    <t>PE70712773</t>
  </si>
  <si>
    <t>Piero Alexander Sergio</t>
  </si>
  <si>
    <t>PE77131819</t>
  </si>
  <si>
    <t>Huanca</t>
  </si>
  <si>
    <t>Pachacutec</t>
  </si>
  <si>
    <t>PE75822206</t>
  </si>
  <si>
    <t>Jhon Noel</t>
  </si>
  <si>
    <t>Yarleque</t>
  </si>
  <si>
    <t>Portal</t>
  </si>
  <si>
    <t>Los Portales De Basilio Auqui Anexo 8</t>
  </si>
  <si>
    <t>San Antonio De Chaclla</t>
  </si>
  <si>
    <t>PE75919807</t>
  </si>
  <si>
    <t>Claudia Alexandra</t>
  </si>
  <si>
    <t>Belen</t>
  </si>
  <si>
    <t>PE70952299</t>
  </si>
  <si>
    <t>Brenda Milagros</t>
  </si>
  <si>
    <t>Cangalaya</t>
  </si>
  <si>
    <t>PE46441518</t>
  </si>
  <si>
    <t>Melina Liz</t>
  </si>
  <si>
    <t>Girasoles</t>
  </si>
  <si>
    <t>Mosha</t>
  </si>
  <si>
    <t>PE74908534</t>
  </si>
  <si>
    <t>Jose Jhoiner</t>
  </si>
  <si>
    <t>Santo Toribio</t>
  </si>
  <si>
    <t>PE47920597</t>
  </si>
  <si>
    <t>Jean Carlo</t>
  </si>
  <si>
    <t>Hebert Fernando Romero</t>
  </si>
  <si>
    <t>23 De Setiembre</t>
  </si>
  <si>
    <t>Haras El Huayco Huachipa</t>
  </si>
  <si>
    <t>15001</t>
  </si>
  <si>
    <t>Francisco Valentin</t>
  </si>
  <si>
    <t>Añi</t>
  </si>
  <si>
    <t>Javier Alfredo Diaz</t>
  </si>
  <si>
    <t>PE42022582</t>
  </si>
  <si>
    <t>Cataluã‘A</t>
  </si>
  <si>
    <t>La Capilla</t>
  </si>
  <si>
    <t>15012</t>
  </si>
  <si>
    <t>PE72755200</t>
  </si>
  <si>
    <t>Jose Alberto</t>
  </si>
  <si>
    <t>Travezaño</t>
  </si>
  <si>
    <t>Masgo</t>
  </si>
  <si>
    <t>Asoc. La Victoria De Cajamarquilla</t>
  </si>
  <si>
    <t>PE60106957</t>
  </si>
  <si>
    <t>Smith</t>
  </si>
  <si>
    <t>Acevedo</t>
  </si>
  <si>
    <t>Campo</t>
  </si>
  <si>
    <t>PE75720214</t>
  </si>
  <si>
    <t>Velarde</t>
  </si>
  <si>
    <t>Faustino Sanchez Carrion</t>
  </si>
  <si>
    <t>PE73816536</t>
  </si>
  <si>
    <t>Félix Alejandro</t>
  </si>
  <si>
    <t>Inquillay</t>
  </si>
  <si>
    <t>Mejía</t>
  </si>
  <si>
    <t>Calle Los Geranios</t>
  </si>
  <si>
    <t>VALLE ALTO</t>
  </si>
  <si>
    <t>15113</t>
  </si>
  <si>
    <t>PE62949754</t>
  </si>
  <si>
    <t>Johan</t>
  </si>
  <si>
    <t>Miliano</t>
  </si>
  <si>
    <t>Horacio Zeballos Gom</t>
  </si>
  <si>
    <t>PE76085031</t>
  </si>
  <si>
    <t>Maryori Fiorella</t>
  </si>
  <si>
    <t>Guimack</t>
  </si>
  <si>
    <t>Llyona</t>
  </si>
  <si>
    <t>PE07473636</t>
  </si>
  <si>
    <t>Oscar Abel</t>
  </si>
  <si>
    <t>Napan</t>
  </si>
  <si>
    <t>Pachacamac - Barrio 3 - Sector 2</t>
  </si>
  <si>
    <t>15816</t>
  </si>
  <si>
    <t>PE48597118</t>
  </si>
  <si>
    <t>Isaac</t>
  </si>
  <si>
    <t>Silva</t>
  </si>
  <si>
    <t>Llanos</t>
  </si>
  <si>
    <t>Avelino Caceres</t>
  </si>
  <si>
    <t>PE75361873</t>
  </si>
  <si>
    <t>Christian Piero</t>
  </si>
  <si>
    <t>Cooperativa Batasll</t>
  </si>
  <si>
    <t>COOPERATIVA BATASOL</t>
  </si>
  <si>
    <t>PE73441443</t>
  </si>
  <si>
    <t>Wendy Esthefanny</t>
  </si>
  <si>
    <t>Rugel</t>
  </si>
  <si>
    <t>Curasma</t>
  </si>
  <si>
    <t>Asoc Hubert Lansier</t>
  </si>
  <si>
    <t>PIEDRA BLANCA</t>
  </si>
  <si>
    <t>PE73897687</t>
  </si>
  <si>
    <t>Jasmin Ariana</t>
  </si>
  <si>
    <t>Señor Exaltacion</t>
  </si>
  <si>
    <t>SEÑOR DE EXALTACION</t>
  </si>
  <si>
    <t>PE76136801</t>
  </si>
  <si>
    <t>Bryan Aldo</t>
  </si>
  <si>
    <t>Poma</t>
  </si>
  <si>
    <t>PE76787756</t>
  </si>
  <si>
    <t>Jamir Eduardo</t>
  </si>
  <si>
    <t>64</t>
  </si>
  <si>
    <t>Esmeralda De Los And</t>
  </si>
  <si>
    <t>Glisely Dalila</t>
  </si>
  <si>
    <t>Mariano</t>
  </si>
  <si>
    <t>El Valle</t>
  </si>
  <si>
    <t>PE60435614</t>
  </si>
  <si>
    <t>Larry Anderson</t>
  </si>
  <si>
    <t>Reyes</t>
  </si>
  <si>
    <t>Lozada</t>
  </si>
  <si>
    <t>PE72192297</t>
  </si>
  <si>
    <t>Joel</t>
  </si>
  <si>
    <t>Huillca</t>
  </si>
  <si>
    <t>Asoc. De Viv. Resisd. Las Palmeras</t>
  </si>
  <si>
    <t>Asoc. De Viv. Resid. Las Palmeras</t>
  </si>
  <si>
    <t>PE47230268</t>
  </si>
  <si>
    <t>Victor Leonardo</t>
  </si>
  <si>
    <t>Yucra</t>
  </si>
  <si>
    <t>4 Suyos</t>
  </si>
  <si>
    <t>07046</t>
  </si>
  <si>
    <t>PE72972551</t>
  </si>
  <si>
    <t>Juan Agustin</t>
  </si>
  <si>
    <t>Soriano</t>
  </si>
  <si>
    <t>Manzanedo</t>
  </si>
  <si>
    <t>Piedra Liza</t>
  </si>
  <si>
    <t>15093</t>
  </si>
  <si>
    <t>PE76077044</t>
  </si>
  <si>
    <t>Oscar Cristian</t>
  </si>
  <si>
    <t>Saca</t>
  </si>
  <si>
    <t>Los Melones</t>
  </si>
  <si>
    <t>15007</t>
  </si>
  <si>
    <t>PE70420275</t>
  </si>
  <si>
    <t>Suli</t>
  </si>
  <si>
    <t>El Rosario</t>
  </si>
  <si>
    <t>Wilder</t>
  </si>
  <si>
    <t>Ambrosio</t>
  </si>
  <si>
    <t>Veronika Guadalupe Palomino</t>
  </si>
  <si>
    <t>Los Llanos - Santa Clara</t>
  </si>
  <si>
    <t>PE73184461</t>
  </si>
  <si>
    <t>Andres Piero</t>
  </si>
  <si>
    <t>Alburqueque</t>
  </si>
  <si>
    <t>Marginal El Carmen De Monterrico</t>
  </si>
  <si>
    <t>Marginal</t>
  </si>
  <si>
    <t>PE42914874</t>
  </si>
  <si>
    <t>Lili Vanessa</t>
  </si>
  <si>
    <t>Marin</t>
  </si>
  <si>
    <t>Acuña</t>
  </si>
  <si>
    <t>Portales De Nieveria</t>
  </si>
  <si>
    <t>PE46606063</t>
  </si>
  <si>
    <t>Cesar Miguel</t>
  </si>
  <si>
    <t>Bolognesi</t>
  </si>
  <si>
    <t>PE75628864</t>
  </si>
  <si>
    <t>Rosmel Eladio</t>
  </si>
  <si>
    <t>Asistente Control Existencias</t>
  </si>
  <si>
    <t>David Paul Canchari</t>
  </si>
  <si>
    <t>Domingo Espinar</t>
  </si>
  <si>
    <t>PE72292486</t>
  </si>
  <si>
    <t>Juniors</t>
  </si>
  <si>
    <t>Yaulilahua</t>
  </si>
  <si>
    <t>Zona I Ucv 132 Luz De Vivir Mz D Lote 14</t>
  </si>
  <si>
    <t>PE76291844</t>
  </si>
  <si>
    <t>Mesias Manuel</t>
  </si>
  <si>
    <t>Orellana</t>
  </si>
  <si>
    <t>15510</t>
  </si>
  <si>
    <t>PE48272718</t>
  </si>
  <si>
    <t>Bettsy</t>
  </si>
  <si>
    <t>Pereyra</t>
  </si>
  <si>
    <t>Rosa Cruces</t>
  </si>
  <si>
    <t>PE71013537</t>
  </si>
  <si>
    <t>Luis Oswaldo</t>
  </si>
  <si>
    <t>Ponce</t>
  </si>
  <si>
    <t>Las Bellotitas</t>
  </si>
  <si>
    <t>PE73241417</t>
  </si>
  <si>
    <t>Julia Ariatna</t>
  </si>
  <si>
    <t>Fasabi</t>
  </si>
  <si>
    <t>Parcel Medio De Huac</t>
  </si>
  <si>
    <t>PE73385233</t>
  </si>
  <si>
    <t>Chrish Alexandra</t>
  </si>
  <si>
    <t>PE42608834</t>
  </si>
  <si>
    <t>Amelia</t>
  </si>
  <si>
    <t>Baez</t>
  </si>
  <si>
    <t>Pariachi -3 Etapa</t>
  </si>
  <si>
    <t>Javier Alfredo</t>
  </si>
  <si>
    <t>Arcos</t>
  </si>
  <si>
    <t>Airton Joaquim De</t>
  </si>
  <si>
    <t>Osa Mayor</t>
  </si>
  <si>
    <t>Vicente Luvin</t>
  </si>
  <si>
    <t>Mesias</t>
  </si>
  <si>
    <t>Los Aymaras</t>
  </si>
  <si>
    <t>Urbanizacion Salamanca De Monterrico</t>
  </si>
  <si>
    <t>PE77243348</t>
  </si>
  <si>
    <t>Nick Antoni</t>
  </si>
  <si>
    <t>Barrueta</t>
  </si>
  <si>
    <t>Justiniano</t>
  </si>
  <si>
    <t>PE76810025</t>
  </si>
  <si>
    <t>Karina</t>
  </si>
  <si>
    <t>Cruz De Ate Vitarte</t>
  </si>
  <si>
    <t>PE42612093</t>
  </si>
  <si>
    <t>Rosa</t>
  </si>
  <si>
    <t>Lamberto</t>
  </si>
  <si>
    <t>PE44388298</t>
  </si>
  <si>
    <t>Yedifer Julio</t>
  </si>
  <si>
    <t>Villa Hermosa</t>
  </si>
  <si>
    <t>PE70829661</t>
  </si>
  <si>
    <t>Sandro Josimar</t>
  </si>
  <si>
    <t>PE77064873</t>
  </si>
  <si>
    <t>Ana Patricia</t>
  </si>
  <si>
    <t>Piñas</t>
  </si>
  <si>
    <t>Lobo</t>
  </si>
  <si>
    <t>Circunvalacion Con Los Brillantes</t>
  </si>
  <si>
    <t>PE73756216</t>
  </si>
  <si>
    <t>Juan Axel Esteban</t>
  </si>
  <si>
    <t>Gamboa</t>
  </si>
  <si>
    <t>Manambo</t>
  </si>
  <si>
    <t>Asociacion Cajamarquilla Mz L Te 10</t>
  </si>
  <si>
    <t>PE72699709</t>
  </si>
  <si>
    <t>Julio Eduardo</t>
  </si>
  <si>
    <t>Bendezu</t>
  </si>
  <si>
    <t>Rusbel Osorio</t>
  </si>
  <si>
    <t>PE47108907</t>
  </si>
  <si>
    <t>Nelida Naddia</t>
  </si>
  <si>
    <t>Las Fragatas</t>
  </si>
  <si>
    <t>LAS FRAGATAS</t>
  </si>
  <si>
    <t>PE47677161</t>
  </si>
  <si>
    <t>Stefani Carolina</t>
  </si>
  <si>
    <t>Cayro</t>
  </si>
  <si>
    <t>Herrera</t>
  </si>
  <si>
    <t>Maryori Elena Gamarra</t>
  </si>
  <si>
    <t>PE47116037</t>
  </si>
  <si>
    <t>Rompe Muelle</t>
  </si>
  <si>
    <t>PE60524672</t>
  </si>
  <si>
    <t>Alina Yoselin</t>
  </si>
  <si>
    <t>Narro</t>
  </si>
  <si>
    <t>Caruajulca</t>
  </si>
  <si>
    <t>ZONA B</t>
  </si>
  <si>
    <t>PE60246110</t>
  </si>
  <si>
    <t>Marlon Jose</t>
  </si>
  <si>
    <t>Ucv 178 Lt45</t>
  </si>
  <si>
    <t>ZONA O</t>
  </si>
  <si>
    <t>PE71610706</t>
  </si>
  <si>
    <t>Cristhian Eduardo</t>
  </si>
  <si>
    <t>Falcon</t>
  </si>
  <si>
    <t>Oracio</t>
  </si>
  <si>
    <t>San Sebastian</t>
  </si>
  <si>
    <t>PE70092568</t>
  </si>
  <si>
    <t>Jhonior</t>
  </si>
  <si>
    <t>Analista Mantenimiento</t>
  </si>
  <si>
    <t>PE70715011</t>
  </si>
  <si>
    <t>Jair Piero</t>
  </si>
  <si>
    <t>Lorenzo</t>
  </si>
  <si>
    <t>Asoc. Los Pinos De Ate</t>
  </si>
  <si>
    <t>Asoc. Los Pinos De A</t>
  </si>
  <si>
    <t>PE79991206</t>
  </si>
  <si>
    <t>Jesús</t>
  </si>
  <si>
    <t>Av.16 De Mayo</t>
  </si>
  <si>
    <t>PE41197820</t>
  </si>
  <si>
    <t>Guisela Lola</t>
  </si>
  <si>
    <t>Colca</t>
  </si>
  <si>
    <t>PE45955113</t>
  </si>
  <si>
    <t>Chocce</t>
  </si>
  <si>
    <t>Pasos</t>
  </si>
  <si>
    <t>PE74881758</t>
  </si>
  <si>
    <t>Renin</t>
  </si>
  <si>
    <t>San Francisco- Las Colinas</t>
  </si>
  <si>
    <t>PE42738908</t>
  </si>
  <si>
    <t>Maribel Marisol</t>
  </si>
  <si>
    <t>Huayanay</t>
  </si>
  <si>
    <t>PE71155327</t>
  </si>
  <si>
    <t>Camila Paola</t>
  </si>
  <si>
    <t>Clavero</t>
  </si>
  <si>
    <t>Nicolã�S De Pierola</t>
  </si>
  <si>
    <t>PE44483076</t>
  </si>
  <si>
    <t>Marcopolo Juan</t>
  </si>
  <si>
    <t>Perez</t>
  </si>
  <si>
    <t>Casaverde</t>
  </si>
  <si>
    <t>Alexander Percy Camarena</t>
  </si>
  <si>
    <t>Metropolitana</t>
  </si>
  <si>
    <t>PE75972741</t>
  </si>
  <si>
    <t>Danilo Antonio</t>
  </si>
  <si>
    <t>PE71176392</t>
  </si>
  <si>
    <t>Jhonatan</t>
  </si>
  <si>
    <t>Coyllo</t>
  </si>
  <si>
    <t>Cahuide</t>
  </si>
  <si>
    <t>SIETE VENTANAS</t>
  </si>
  <si>
    <t>15003</t>
  </si>
  <si>
    <t>PE70281074</t>
  </si>
  <si>
    <t>Emilia Marcela</t>
  </si>
  <si>
    <t>Escajadillo</t>
  </si>
  <si>
    <t>Nohelia Yomira Astudillo</t>
  </si>
  <si>
    <t>PE76060954</t>
  </si>
  <si>
    <t>Emancipacion</t>
  </si>
  <si>
    <t>SURCO</t>
  </si>
  <si>
    <t>15023</t>
  </si>
  <si>
    <t>Maryori Elena</t>
  </si>
  <si>
    <t>Gamarra</t>
  </si>
  <si>
    <t>Napo</t>
  </si>
  <si>
    <t>15082</t>
  </si>
  <si>
    <t>PE72488687</t>
  </si>
  <si>
    <t>Ethan Hector</t>
  </si>
  <si>
    <t>Polar</t>
  </si>
  <si>
    <t>Matril</t>
  </si>
  <si>
    <t>Los Condominios, Condominio Club Casas Del Valle</t>
  </si>
  <si>
    <t>El Pino</t>
  </si>
  <si>
    <t>15121</t>
  </si>
  <si>
    <t>PE77671964</t>
  </si>
  <si>
    <t>Brayan Alexander</t>
  </si>
  <si>
    <t>Jesus</t>
  </si>
  <si>
    <t>Cochachin</t>
  </si>
  <si>
    <t>VILLA FLORES</t>
  </si>
  <si>
    <t>PE77028936</t>
  </si>
  <si>
    <t>Erikson</t>
  </si>
  <si>
    <t>Jose Manuel Medina</t>
  </si>
  <si>
    <t>Asoc De Vivienda Raucana</t>
  </si>
  <si>
    <t>PE73072696</t>
  </si>
  <si>
    <t>Brendon</t>
  </si>
  <si>
    <t>Alanya</t>
  </si>
  <si>
    <t>Izaguirre</t>
  </si>
  <si>
    <t>Casa Huerta La CampiñA</t>
  </si>
  <si>
    <t>PE60651553</t>
  </si>
  <si>
    <t>Luis Antony</t>
  </si>
  <si>
    <t>Abad</t>
  </si>
  <si>
    <t>Calle 2</t>
  </si>
  <si>
    <t>PE74908403</t>
  </si>
  <si>
    <t>Maicol Estip</t>
  </si>
  <si>
    <t>Llanco</t>
  </si>
  <si>
    <t>Calle Pasco</t>
  </si>
  <si>
    <t>PE60400385</t>
  </si>
  <si>
    <t>Nilda</t>
  </si>
  <si>
    <t>Armas</t>
  </si>
  <si>
    <t>Arirama</t>
  </si>
  <si>
    <t>PE48187399</t>
  </si>
  <si>
    <t>Marisol Aurora</t>
  </si>
  <si>
    <t>Lilas</t>
  </si>
  <si>
    <t>PE45799340</t>
  </si>
  <si>
    <t>Astrid Yanil</t>
  </si>
  <si>
    <t>Noel</t>
  </si>
  <si>
    <t>Veramendi</t>
  </si>
  <si>
    <t>Supervisor Calidad Proveedores</t>
  </si>
  <si>
    <t>Tatiana Elizabeth Robles</t>
  </si>
  <si>
    <t>Mz U1</t>
  </si>
  <si>
    <t>Los Sazmines Del Naranjal</t>
  </si>
  <si>
    <t>15101</t>
  </si>
  <si>
    <t>PE74593256</t>
  </si>
  <si>
    <t>Juan Edilberto</t>
  </si>
  <si>
    <t>Canayo</t>
  </si>
  <si>
    <t>Calle 16</t>
  </si>
  <si>
    <t>COMP. TERR DE CAMPOY</t>
  </si>
  <si>
    <t>PE70941282</t>
  </si>
  <si>
    <t>Ate - Santa Clara</t>
  </si>
  <si>
    <t>COOP. RAMIRO PRIALE</t>
  </si>
  <si>
    <t>PE75085411</t>
  </si>
  <si>
    <t>Yanira Julia</t>
  </si>
  <si>
    <t>Pianto</t>
  </si>
  <si>
    <t>Breila Marilyn Figueroa</t>
  </si>
  <si>
    <t>Pampa Cangallo</t>
  </si>
  <si>
    <t>PE75876901</t>
  </si>
  <si>
    <t>Bruno Patrick</t>
  </si>
  <si>
    <t>Llantoy</t>
  </si>
  <si>
    <t>PE60102708</t>
  </si>
  <si>
    <t>Reinaldo</t>
  </si>
  <si>
    <t>Maximo</t>
  </si>
  <si>
    <t>Ucv 168</t>
  </si>
  <si>
    <t>HUAYCAN ZONA L</t>
  </si>
  <si>
    <t>PE76746234</t>
  </si>
  <si>
    <t>Rosa Estela</t>
  </si>
  <si>
    <t>Abelardo Gamarra</t>
  </si>
  <si>
    <t>PE45344204</t>
  </si>
  <si>
    <t>Gerardo</t>
  </si>
  <si>
    <t>Tecnico Refrigeracion</t>
  </si>
  <si>
    <t>Naciones Unidas|</t>
  </si>
  <si>
    <t>Arriba Peru</t>
  </si>
  <si>
    <t>PE72445541</t>
  </si>
  <si>
    <t>Jhon Edison</t>
  </si>
  <si>
    <t>Balboa</t>
  </si>
  <si>
    <t>Apurimac</t>
  </si>
  <si>
    <t>Christopher</t>
  </si>
  <si>
    <t>Saldaña</t>
  </si>
  <si>
    <t>Erato</t>
  </si>
  <si>
    <t>Olimpo</t>
  </si>
  <si>
    <t>PE74883064</t>
  </si>
  <si>
    <t>Eduardo</t>
  </si>
  <si>
    <t>Mz A Lt 1 Sublt B</t>
  </si>
  <si>
    <t>SARACOTO HUACHIPA</t>
  </si>
  <si>
    <t>PE72867038</t>
  </si>
  <si>
    <t>Arnie Farid</t>
  </si>
  <si>
    <t>Huanuqueño</t>
  </si>
  <si>
    <t>1248</t>
  </si>
  <si>
    <t>PE09496738</t>
  </si>
  <si>
    <t>Venegas</t>
  </si>
  <si>
    <t>Fortaleza Vitarte</t>
  </si>
  <si>
    <t>PE75803104</t>
  </si>
  <si>
    <t>Alisson Dayana</t>
  </si>
  <si>
    <t>Valle</t>
  </si>
  <si>
    <t>Los Portales De Basilio Auqui</t>
  </si>
  <si>
    <t>Sector 9</t>
  </si>
  <si>
    <t>PE47250360</t>
  </si>
  <si>
    <t>Jhon Williams</t>
  </si>
  <si>
    <t>Canchanya</t>
  </si>
  <si>
    <t>Comunid. Campesina De Jicamarca</t>
  </si>
  <si>
    <t>PE60920342</t>
  </si>
  <si>
    <t>Gian Franco</t>
  </si>
  <si>
    <t>Sacramento</t>
  </si>
  <si>
    <t>Nazca S/N</t>
  </si>
  <si>
    <t>Lot. Semirustico - E</t>
  </si>
  <si>
    <t>PE47712818</t>
  </si>
  <si>
    <t>Deyvi Ederson</t>
  </si>
  <si>
    <t>Sucno</t>
  </si>
  <si>
    <t>Acosta</t>
  </si>
  <si>
    <t>Agrupacion Familiar El Bosque Mz C</t>
  </si>
  <si>
    <t>PE15736797</t>
  </si>
  <si>
    <t>Cubillas Cleto</t>
  </si>
  <si>
    <t>Km 23.5 Panamericana Sur</t>
  </si>
  <si>
    <t>Llanavilla</t>
  </si>
  <si>
    <t>PE74402076</t>
  </si>
  <si>
    <t>Rosaly Hortencia</t>
  </si>
  <si>
    <t>PE76165290</t>
  </si>
  <si>
    <t>Edgar Jefferson</t>
  </si>
  <si>
    <t>PE60083257</t>
  </si>
  <si>
    <t>Abner Jimi</t>
  </si>
  <si>
    <t>Pachari</t>
  </si>
  <si>
    <t>Buenos Aires 261</t>
  </si>
  <si>
    <t>Sicuani</t>
  </si>
  <si>
    <t>PE75364267</t>
  </si>
  <si>
    <t>Diccia Karolyna</t>
  </si>
  <si>
    <t>Maehara</t>
  </si>
  <si>
    <t>URB MAEHARA</t>
  </si>
  <si>
    <t>PE47959165</t>
  </si>
  <si>
    <t>Cossio</t>
  </si>
  <si>
    <t>Mz A Lote 16 Calle16</t>
  </si>
  <si>
    <t>AGUAS GASIFICADAS</t>
  </si>
  <si>
    <t>PE73244744</t>
  </si>
  <si>
    <t>Estefany Lucero</t>
  </si>
  <si>
    <t>Nestares</t>
  </si>
  <si>
    <t>Taboada</t>
  </si>
  <si>
    <t>PE75164042</t>
  </si>
  <si>
    <t>Edison Jhosep</t>
  </si>
  <si>
    <t>Arpazaca</t>
  </si>
  <si>
    <t>SJL</t>
  </si>
  <si>
    <t>PE47379229</t>
  </si>
  <si>
    <t>Fredy</t>
  </si>
  <si>
    <t>15 De Marzo</t>
  </si>
  <si>
    <t>PE75454971</t>
  </si>
  <si>
    <t>Fedely Yovana</t>
  </si>
  <si>
    <t>Pasaje Sacarias</t>
  </si>
  <si>
    <t>PE75967631</t>
  </si>
  <si>
    <t>Yaritza Victoria</t>
  </si>
  <si>
    <t>Las Américas</t>
  </si>
  <si>
    <t>PE60842802</t>
  </si>
  <si>
    <t>Jhostin Franz</t>
  </si>
  <si>
    <t>Conjunto Resindencial</t>
  </si>
  <si>
    <t>Las Praderas De Pariachi</t>
  </si>
  <si>
    <t>PE75888782</t>
  </si>
  <si>
    <t>Jhon Anderson</t>
  </si>
  <si>
    <t>Chozo</t>
  </si>
  <si>
    <t>Purizaca</t>
  </si>
  <si>
    <t>PE75383838</t>
  </si>
  <si>
    <t>Lizbeth Eva</t>
  </si>
  <si>
    <t>Inciso</t>
  </si>
  <si>
    <t>Asc.Nueva Primavera</t>
  </si>
  <si>
    <t>Nueva Primavera</t>
  </si>
  <si>
    <t>Nohelia Yomira</t>
  </si>
  <si>
    <t>Astudillo</t>
  </si>
  <si>
    <t>Condezo</t>
  </si>
  <si>
    <t>Analista Negociacion Logistica</t>
  </si>
  <si>
    <t>Las Traquitas</t>
  </si>
  <si>
    <t>PE77245759</t>
  </si>
  <si>
    <t>Xiomara Yamile</t>
  </si>
  <si>
    <t>PE75802721</t>
  </si>
  <si>
    <t>Evelyn Janet</t>
  </si>
  <si>
    <t>Asoc Civil Pariachi 3Ra Etapa Mz.F Lt.5</t>
  </si>
  <si>
    <t>Asociacion Civil</t>
  </si>
  <si>
    <t>PE44968234</t>
  </si>
  <si>
    <t>Pantigozo</t>
  </si>
  <si>
    <t>Ucv 64 Lt 64 63 Zona D Aahh Huaycan|</t>
  </si>
  <si>
    <t>PE73514995</t>
  </si>
  <si>
    <t>Yherson</t>
  </si>
  <si>
    <t>Quito</t>
  </si>
  <si>
    <t>Lurigancho Chosica</t>
  </si>
  <si>
    <t>PE73049743</t>
  </si>
  <si>
    <t>Choque</t>
  </si>
  <si>
    <t>PE77282910</t>
  </si>
  <si>
    <t>Emerson</t>
  </si>
  <si>
    <t>Suca</t>
  </si>
  <si>
    <t>Nueva Jerusalen</t>
  </si>
  <si>
    <t>Anexo</t>
  </si>
  <si>
    <t>PE75361334</t>
  </si>
  <si>
    <t>Maria Carmen</t>
  </si>
  <si>
    <t>Auccaylla</t>
  </si>
  <si>
    <t>Flor De Magnolias</t>
  </si>
  <si>
    <t>PE72239179</t>
  </si>
  <si>
    <t>Flavio Victor</t>
  </si>
  <si>
    <t>Bolognesi Coop. Universal</t>
  </si>
  <si>
    <t>PE76645440</t>
  </si>
  <si>
    <t>Manuel</t>
  </si>
  <si>
    <t>Mendez</t>
  </si>
  <si>
    <t>Ceramicos Kar</t>
  </si>
  <si>
    <t>PE60105971</t>
  </si>
  <si>
    <t>Ana Liz</t>
  </si>
  <si>
    <t>Avenida Del Estado</t>
  </si>
  <si>
    <t>PE72635103</t>
  </si>
  <si>
    <t>Fernando Alonso</t>
  </si>
  <si>
    <t>Alania</t>
  </si>
  <si>
    <t>Camavilca</t>
  </si>
  <si>
    <t>Andres Avenido Cacedes</t>
  </si>
  <si>
    <t>PE76375859</t>
  </si>
  <si>
    <t>Claudia Stefani</t>
  </si>
  <si>
    <t>SAN ANTONIO CARAPONG</t>
  </si>
  <si>
    <t>PE76960726</t>
  </si>
  <si>
    <t>Sandra Teresa</t>
  </si>
  <si>
    <t>Alcantara</t>
  </si>
  <si>
    <t>Putpaña</t>
  </si>
  <si>
    <t>Asociacion Sol De Jicamarca</t>
  </si>
  <si>
    <t>PE75343759</t>
  </si>
  <si>
    <t>Katherin Coraima</t>
  </si>
  <si>
    <t>Riveros</t>
  </si>
  <si>
    <t>Contreras Riveros</t>
  </si>
  <si>
    <t>PE72789105</t>
  </si>
  <si>
    <t>Jhon Kenyer</t>
  </si>
  <si>
    <t>LA CAPITANA LURIGANC</t>
  </si>
  <si>
    <t>PE40751131</t>
  </si>
  <si>
    <t>PE70711152</t>
  </si>
  <si>
    <t>Diego Alessandro</t>
  </si>
  <si>
    <t>ALFONSO COBIAN</t>
  </si>
  <si>
    <t>Ricardo Dionicio</t>
  </si>
  <si>
    <t>Jorge Basadre</t>
  </si>
  <si>
    <t>PE72584907</t>
  </si>
  <si>
    <t>Luis Benjamin</t>
  </si>
  <si>
    <t>Cabello</t>
  </si>
  <si>
    <t>Jr Alfa Mz L11 Lt 32</t>
  </si>
  <si>
    <t>JIRON ALFA</t>
  </si>
  <si>
    <t>PE76615251</t>
  </si>
  <si>
    <t>Honeyda Liz</t>
  </si>
  <si>
    <t>Teran</t>
  </si>
  <si>
    <t>Ate - Huaycan</t>
  </si>
  <si>
    <t>PE74841652</t>
  </si>
  <si>
    <t>Jhon Nider</t>
  </si>
  <si>
    <t>San Francisco Paria</t>
  </si>
  <si>
    <t>SAN FRANCISCO DE PAR</t>
  </si>
  <si>
    <t>PE47163367</t>
  </si>
  <si>
    <t>Yesmin Rosangel</t>
  </si>
  <si>
    <t>Pucuhuayla</t>
  </si>
  <si>
    <t>PE60273572</t>
  </si>
  <si>
    <t>Yessenia Tatiana</t>
  </si>
  <si>
    <t>Molina</t>
  </si>
  <si>
    <t>Quincho</t>
  </si>
  <si>
    <t>SANTA ANA</t>
  </si>
  <si>
    <t>15501</t>
  </si>
  <si>
    <t>PE72889839</t>
  </si>
  <si>
    <t>Avely Faustino</t>
  </si>
  <si>
    <t>Segura</t>
  </si>
  <si>
    <t>Jose Carlos Mariate</t>
  </si>
  <si>
    <t>PE10172098</t>
  </si>
  <si>
    <t>Walter Ivan</t>
  </si>
  <si>
    <t>Ticlayauri</t>
  </si>
  <si>
    <t>Mayo</t>
  </si>
  <si>
    <t>PE75677965</t>
  </si>
  <si>
    <t>Piero Marcelo</t>
  </si>
  <si>
    <t>Cajas</t>
  </si>
  <si>
    <t>Asoc De Vivienda Las Planicies</t>
  </si>
  <si>
    <t>PE46633414</t>
  </si>
  <si>
    <t>Rosael</t>
  </si>
  <si>
    <t>Zambrano</t>
  </si>
  <si>
    <t>Cueto</t>
  </si>
  <si>
    <t>Viergen Del Carmen</t>
  </si>
  <si>
    <t>La Era Ã‘Aã‘A</t>
  </si>
  <si>
    <t>PE62340930</t>
  </si>
  <si>
    <t>Cristian Ivan</t>
  </si>
  <si>
    <t>Camizan</t>
  </si>
  <si>
    <t>Mondragon</t>
  </si>
  <si>
    <t>PE61361763</t>
  </si>
  <si>
    <t>Zait Isaac</t>
  </si>
  <si>
    <t>Laureano</t>
  </si>
  <si>
    <t>Proceres Cruz De Chalpon</t>
  </si>
  <si>
    <t>PE70911172</t>
  </si>
  <si>
    <t>Josue Angel</t>
  </si>
  <si>
    <t>Chuchon</t>
  </si>
  <si>
    <t>La Esperanza Asoc. San Carlos</t>
  </si>
  <si>
    <t>La Esperanza</t>
  </si>
  <si>
    <t>PE60097025</t>
  </si>
  <si>
    <t>Sunmy Sherly</t>
  </si>
  <si>
    <t>Quiquia</t>
  </si>
  <si>
    <t>Ventocilla</t>
  </si>
  <si>
    <t>PE47813731</t>
  </si>
  <si>
    <t>Raul Alexander</t>
  </si>
  <si>
    <t>Sucasaire</t>
  </si>
  <si>
    <t>Carbajal</t>
  </si>
  <si>
    <t>Esmeralda</t>
  </si>
  <si>
    <t>26 De Mayo 2Da Etapa</t>
  </si>
  <si>
    <t>PE73011627</t>
  </si>
  <si>
    <t>Connie Edith</t>
  </si>
  <si>
    <t>Bravo</t>
  </si>
  <si>
    <t>15131</t>
  </si>
  <si>
    <t>PE76310426</t>
  </si>
  <si>
    <t>Ruben Guillermo David</t>
  </si>
  <si>
    <t>Virgen De Chapi</t>
  </si>
  <si>
    <t>VIRGEN DE CHAPI</t>
  </si>
  <si>
    <t>PE70068453</t>
  </si>
  <si>
    <t>Mariulit Yesenia</t>
  </si>
  <si>
    <t>Prudencio</t>
  </si>
  <si>
    <t>SAN ANTONIO</t>
  </si>
  <si>
    <t>PE71421942</t>
  </si>
  <si>
    <t>Bryan Joel</t>
  </si>
  <si>
    <t>Aldaba</t>
  </si>
  <si>
    <t>Av Heroes Del Cenepa</t>
  </si>
  <si>
    <t>PE71144465</t>
  </si>
  <si>
    <t>Yeferson Esmit</t>
  </si>
  <si>
    <t>Av Sna Jose 11</t>
  </si>
  <si>
    <t>AAHH</t>
  </si>
  <si>
    <t>PE77593442</t>
  </si>
  <si>
    <t>Jhonatan Vidal</t>
  </si>
  <si>
    <t>Miñan</t>
  </si>
  <si>
    <t>Enciso</t>
  </si>
  <si>
    <t>La Cruz De Huachipa</t>
  </si>
  <si>
    <t>PE75519546</t>
  </si>
  <si>
    <t>Jack Snaider</t>
  </si>
  <si>
    <t>Esperanza Con Nicaragua Mzh Lt 9</t>
  </si>
  <si>
    <t>PE60861625</t>
  </si>
  <si>
    <t>Jhoan Sebastian</t>
  </si>
  <si>
    <t>Fajardo</t>
  </si>
  <si>
    <t>Vulcano</t>
  </si>
  <si>
    <t>27 DE ABRIL</t>
  </si>
  <si>
    <t>PE70703019</t>
  </si>
  <si>
    <t>Yedeli Betsi</t>
  </si>
  <si>
    <t>PE77162421</t>
  </si>
  <si>
    <t>Claudio Slim</t>
  </si>
  <si>
    <t>Galarza</t>
  </si>
  <si>
    <t>Juan Elmer</t>
  </si>
  <si>
    <t>Bellido</t>
  </si>
  <si>
    <t>Sector Cinco De Mayo</t>
  </si>
  <si>
    <t>15056</t>
  </si>
  <si>
    <t>PE74952197</t>
  </si>
  <si>
    <t>Ricardo</t>
  </si>
  <si>
    <t>Obras</t>
  </si>
  <si>
    <t>Av.Circunbalacion</t>
  </si>
  <si>
    <t>PE46120574</t>
  </si>
  <si>
    <t>Marreros</t>
  </si>
  <si>
    <t>Heroes De La Breña</t>
  </si>
  <si>
    <t>PE62141415</t>
  </si>
  <si>
    <t>Ristel</t>
  </si>
  <si>
    <t>Macedo</t>
  </si>
  <si>
    <t>La Campiã‘A Lurigancho-Chosica</t>
  </si>
  <si>
    <t>PE47841974</t>
  </si>
  <si>
    <t>Clesy</t>
  </si>
  <si>
    <t>Angulo</t>
  </si>
  <si>
    <t>Tapullima</t>
  </si>
  <si>
    <t>Av.Primavera Mznj Lte6</t>
  </si>
  <si>
    <t>PE62013131</t>
  </si>
  <si>
    <t>Fredy Alexander</t>
  </si>
  <si>
    <t>Yarango</t>
  </si>
  <si>
    <t>PE74536642</t>
  </si>
  <si>
    <t>Andre Avelino Caceres</t>
  </si>
  <si>
    <t>PE008380708</t>
  </si>
  <si>
    <t>Emilio Jesus</t>
  </si>
  <si>
    <t>Graterol</t>
  </si>
  <si>
    <t>Weffer</t>
  </si>
  <si>
    <t>Asociacion El Olivar</t>
  </si>
  <si>
    <t>PE43597141</t>
  </si>
  <si>
    <t>Laura Marisol</t>
  </si>
  <si>
    <t>Loloy</t>
  </si>
  <si>
    <t>Luca</t>
  </si>
  <si>
    <t>Las Abubillas</t>
  </si>
  <si>
    <t>PE72530071</t>
  </si>
  <si>
    <t>Nayelin Milagros</t>
  </si>
  <si>
    <t>Los Aviadores 2da et</t>
  </si>
  <si>
    <t>LOS AVIADORES</t>
  </si>
  <si>
    <t>PE72987350</t>
  </si>
  <si>
    <t>Andrea Bellen</t>
  </si>
  <si>
    <t>Cajahuaman</t>
  </si>
  <si>
    <t>PE60900497</t>
  </si>
  <si>
    <t>Pedro Angel</t>
  </si>
  <si>
    <t>Guevara</t>
  </si>
  <si>
    <t>Arica</t>
  </si>
  <si>
    <t>PE60770023</t>
  </si>
  <si>
    <t>Maria Liz Fernanda</t>
  </si>
  <si>
    <t>Risco</t>
  </si>
  <si>
    <t>Huayco Maz.C.Lt.5</t>
  </si>
  <si>
    <t>PE77469792</t>
  </si>
  <si>
    <t>Jhon Antony</t>
  </si>
  <si>
    <t>Zelada</t>
  </si>
  <si>
    <t>PE74869774</t>
  </si>
  <si>
    <t>Jose Alexander</t>
  </si>
  <si>
    <t>Av Tupac Amaru</t>
  </si>
  <si>
    <t>Valladolid</t>
  </si>
  <si>
    <t>Estrada</t>
  </si>
  <si>
    <t>Tahuantinsuyo</t>
  </si>
  <si>
    <t>PE74828942</t>
  </si>
  <si>
    <t>Jose Anibal</t>
  </si>
  <si>
    <t>Tocto</t>
  </si>
  <si>
    <t>Huancas</t>
  </si>
  <si>
    <t>PE72972550</t>
  </si>
  <si>
    <t>Adrian Jesus</t>
  </si>
  <si>
    <t>Auris</t>
  </si>
  <si>
    <t>Manzanedo Manzana Z Lt 6</t>
  </si>
  <si>
    <t>Leticia</t>
  </si>
  <si>
    <t>PE72955374</t>
  </si>
  <si>
    <t>Gerald Denis</t>
  </si>
  <si>
    <t>Chero</t>
  </si>
  <si>
    <t>PE70166286</t>
  </si>
  <si>
    <t>Jaime Walter</t>
  </si>
  <si>
    <t>Ticllasuca</t>
  </si>
  <si>
    <t>Esmeralda De Jicamar</t>
  </si>
  <si>
    <t>PE71560625</t>
  </si>
  <si>
    <t>Gian Pierre</t>
  </si>
  <si>
    <t>Salvatierra</t>
  </si>
  <si>
    <t>Orga</t>
  </si>
  <si>
    <t>Amauta Zona B</t>
  </si>
  <si>
    <t>PE73196627</t>
  </si>
  <si>
    <t>Renzo Rommel</t>
  </si>
  <si>
    <t>Pablo Patron Chosica</t>
  </si>
  <si>
    <t>PE70771482</t>
  </si>
  <si>
    <t>Renzo Edu Benjamin</t>
  </si>
  <si>
    <t>PE73981597</t>
  </si>
  <si>
    <t>Airton Joanni</t>
  </si>
  <si>
    <t>Toribio</t>
  </si>
  <si>
    <t>PE47607736</t>
  </si>
  <si>
    <t>Pool Anthony</t>
  </si>
  <si>
    <t>Andres Avelino Caceres Mz L Lt 4</t>
  </si>
  <si>
    <t>Carlos Humberto</t>
  </si>
  <si>
    <t>Esteves</t>
  </si>
  <si>
    <t>Jefe Prevencion Centro Logistico</t>
  </si>
  <si>
    <t>Cesar Augusto Garcia</t>
  </si>
  <si>
    <t>Av. Javier Prado Este</t>
  </si>
  <si>
    <t>Javier Prado</t>
  </si>
  <si>
    <t>PE63571509</t>
  </si>
  <si>
    <t>Melany Dayana</t>
  </si>
  <si>
    <t>Ochante</t>
  </si>
  <si>
    <t>PAMPACHIRI</t>
  </si>
  <si>
    <t>25003</t>
  </si>
  <si>
    <t>Ucayali</t>
  </si>
  <si>
    <t>Coronel Portillo</t>
  </si>
  <si>
    <t>Yarinacocha</t>
  </si>
  <si>
    <t>Victor Josmar</t>
  </si>
  <si>
    <t>Salaverry</t>
  </si>
  <si>
    <t>Loma Del Pilar</t>
  </si>
  <si>
    <t>Prolongacion Benavid</t>
  </si>
  <si>
    <t>PE72746293</t>
  </si>
  <si>
    <t>Paima</t>
  </si>
  <si>
    <t>Pizango</t>
  </si>
  <si>
    <t>A.H Las Viñas ATE</t>
  </si>
  <si>
    <t>AV LOS FICUS</t>
  </si>
  <si>
    <t>PE40364381</t>
  </si>
  <si>
    <t>Victor Raul</t>
  </si>
  <si>
    <t>Menacho</t>
  </si>
  <si>
    <t>9 De Setiembre</t>
  </si>
  <si>
    <t>PE73906489</t>
  </si>
  <si>
    <t>Gilmer Ciro</t>
  </si>
  <si>
    <t>Mashingash</t>
  </si>
  <si>
    <t>Serecam</t>
  </si>
  <si>
    <t>Mz4, Pje Contumaza,Paradero Farmacia, Jicamarca</t>
  </si>
  <si>
    <t>Contumaza</t>
  </si>
  <si>
    <t>PE47968182</t>
  </si>
  <si>
    <t>Dabnes Undritz</t>
  </si>
  <si>
    <t>Camacho</t>
  </si>
  <si>
    <t>Los Aztecas</t>
  </si>
  <si>
    <t>Manylsa Santa Clara</t>
  </si>
  <si>
    <t>PE47974439</t>
  </si>
  <si>
    <t>Mery Roxana</t>
  </si>
  <si>
    <t>Asociacion Casas Huerta Productiva</t>
  </si>
  <si>
    <t>Z</t>
  </si>
  <si>
    <t>PE70856916</t>
  </si>
  <si>
    <t>Enos</t>
  </si>
  <si>
    <t>Valles</t>
  </si>
  <si>
    <t>Nuevo Sagrado Corzon Cristo Rey</t>
  </si>
  <si>
    <t>PE75152497</t>
  </si>
  <si>
    <t>Luis Joel</t>
  </si>
  <si>
    <t>Batalla</t>
  </si>
  <si>
    <t>Lotizacion Pre Urban</t>
  </si>
  <si>
    <t>PE72424010</t>
  </si>
  <si>
    <t>Aldair Rodrigo</t>
  </si>
  <si>
    <t>Flor Rocio Teccsi</t>
  </si>
  <si>
    <t>PE76920538</t>
  </si>
  <si>
    <t>Isurman</t>
  </si>
  <si>
    <t>Arista</t>
  </si>
  <si>
    <t>Maldonado</t>
  </si>
  <si>
    <t>San Hilarion Anelos</t>
  </si>
  <si>
    <t>SAN HILARION</t>
  </si>
  <si>
    <t>PE72956359</t>
  </si>
  <si>
    <t>Jhony Pedro</t>
  </si>
  <si>
    <t>ZONA E HUAYCAN</t>
  </si>
  <si>
    <t>PE61009350</t>
  </si>
  <si>
    <t>Anyelhi Rouse</t>
  </si>
  <si>
    <t>Chavesta</t>
  </si>
  <si>
    <t>Quillca</t>
  </si>
  <si>
    <t>Sebastian Barranca</t>
  </si>
  <si>
    <t>Cerro San Cosme</t>
  </si>
  <si>
    <t>PE70483534</t>
  </si>
  <si>
    <t>Flor Yuri</t>
  </si>
  <si>
    <t>Buleje</t>
  </si>
  <si>
    <t>Calle Puno</t>
  </si>
  <si>
    <t>PE73776537</t>
  </si>
  <si>
    <t>Dalton Sebastian</t>
  </si>
  <si>
    <t>Ronceros</t>
  </si>
  <si>
    <t>PE73969021</t>
  </si>
  <si>
    <t>Kevin Bryan</t>
  </si>
  <si>
    <t>Torres De Huachipa</t>
  </si>
  <si>
    <t>A.V LAS TORRES</t>
  </si>
  <si>
    <t>PE47995215</t>
  </si>
  <si>
    <t>Chacrasana</t>
  </si>
  <si>
    <t>SEGUNDA ETAPA</t>
  </si>
  <si>
    <t>PE76904019</t>
  </si>
  <si>
    <t>Jeferson Eber</t>
  </si>
  <si>
    <t>Dueñas</t>
  </si>
  <si>
    <t>Viñas Santa Clara</t>
  </si>
  <si>
    <t>PE46682850</t>
  </si>
  <si>
    <t>Sergio Gabriel</t>
  </si>
  <si>
    <t>Ccaccro</t>
  </si>
  <si>
    <t>PE70892156</t>
  </si>
  <si>
    <t>Kathya Aracelly</t>
  </si>
  <si>
    <t>Flor De Las Magnolia</t>
  </si>
  <si>
    <t>FLOR MAGNOLIAS</t>
  </si>
  <si>
    <t>PE60699634</t>
  </si>
  <si>
    <t>Eduardo Josue</t>
  </si>
  <si>
    <t>Vila</t>
  </si>
  <si>
    <t>Seda Pal De La P</t>
  </si>
  <si>
    <t>PE70932238</t>
  </si>
  <si>
    <t>Michael Brando</t>
  </si>
  <si>
    <t>Cirineo</t>
  </si>
  <si>
    <t>Ninalaya</t>
  </si>
  <si>
    <t>A.A. H.H. San Pedro</t>
  </si>
  <si>
    <t>MZ. K LT. 3</t>
  </si>
  <si>
    <t>PE73203009</t>
  </si>
  <si>
    <t>Coyllur</t>
  </si>
  <si>
    <t>ZARATE</t>
  </si>
  <si>
    <t>PE80009456</t>
  </si>
  <si>
    <t>Cesar</t>
  </si>
  <si>
    <t>Ucv 156</t>
  </si>
  <si>
    <t>PE76602871</t>
  </si>
  <si>
    <t>Etson Flavio</t>
  </si>
  <si>
    <t>Bedoya</t>
  </si>
  <si>
    <t>Saracoto</t>
  </si>
  <si>
    <t>PE40778433</t>
  </si>
  <si>
    <t>Ttito</t>
  </si>
  <si>
    <t>Puma</t>
  </si>
  <si>
    <t>Poblado Alto Trujillo Barrio</t>
  </si>
  <si>
    <t>PE45276008</t>
  </si>
  <si>
    <t>Journal Alfredo</t>
  </si>
  <si>
    <t>Chinchihualpa</t>
  </si>
  <si>
    <t>5 Zona</t>
  </si>
  <si>
    <t>PE47862045</t>
  </si>
  <si>
    <t>Fiuston Xavier</t>
  </si>
  <si>
    <t>Mego</t>
  </si>
  <si>
    <t>Velayarce</t>
  </si>
  <si>
    <t>PE41926301</t>
  </si>
  <si>
    <t>Jose Ricardo</t>
  </si>
  <si>
    <t>Matencio</t>
  </si>
  <si>
    <t>Silvera</t>
  </si>
  <si>
    <t>Loas Amancaes</t>
  </si>
  <si>
    <t>PE42781936</t>
  </si>
  <si>
    <t>Milagritos Yanina</t>
  </si>
  <si>
    <t>Asoc .La Florida</t>
  </si>
  <si>
    <t>PE48353120</t>
  </si>
  <si>
    <t>Inocenta</t>
  </si>
  <si>
    <t>DIRECCIÓN COMPLETA</t>
  </si>
  <si>
    <t>LATITUD</t>
  </si>
  <si>
    <t>LONGITUD</t>
  </si>
  <si>
    <t>Ruta</t>
  </si>
  <si>
    <t>RUTA</t>
  </si>
  <si>
    <t>Paradero</t>
  </si>
  <si>
    <t>RUTA 1</t>
  </si>
  <si>
    <t>06:10 a.m.</t>
  </si>
  <si>
    <t>Paradero Ferretería</t>
  </si>
  <si>
    <t>06:13 a.m.</t>
  </si>
  <si>
    <t>Paradero Saracoto</t>
  </si>
  <si>
    <t>-</t>
  </si>
  <si>
    <t>Paradero FAME / Cajamarquilla (SOLO SALIDA)</t>
  </si>
  <si>
    <t>06:30 a.m.</t>
  </si>
  <si>
    <t>Tottus Huachipa</t>
  </si>
  <si>
    <t>RUTA 2</t>
  </si>
  <si>
    <t>Paradero Arco San Antonio</t>
  </si>
  <si>
    <t>06:15 a.m.</t>
  </si>
  <si>
    <t>Paradero Paraíso</t>
  </si>
  <si>
    <t>RUTA 3</t>
  </si>
  <si>
    <t>05:25 a.m.</t>
  </si>
  <si>
    <t>Paradero Sta. Rosa</t>
  </si>
  <si>
    <t>05:30 a.m.</t>
  </si>
  <si>
    <t>05:35 a.m.</t>
  </si>
  <si>
    <t>Paradero 15 de Julio</t>
  </si>
  <si>
    <t>05:38 a.m.</t>
  </si>
  <si>
    <t>Paradero Villa Hermosa</t>
  </si>
  <si>
    <t>Paradero Kimberly (solo aplica para salida)</t>
  </si>
  <si>
    <t>05:40 a.m.</t>
  </si>
  <si>
    <t>Paradero Rompemuelle</t>
  </si>
  <si>
    <t>RUTA 4A</t>
  </si>
  <si>
    <t>Municipalidad de Santa Anita</t>
  </si>
  <si>
    <t>05:42 a.m.</t>
  </si>
  <si>
    <t>Av. Colectora con Metropolitana</t>
  </si>
  <si>
    <t>05:44 a.m.</t>
  </si>
  <si>
    <t>Av. Huarochirí con Metropolitana</t>
  </si>
  <si>
    <t>05:46 a.m.</t>
  </si>
  <si>
    <t>Av. Metropolitana con Cultura</t>
  </si>
  <si>
    <t>05:55 a.m.</t>
  </si>
  <si>
    <t>Real Plaza Puruchuco (Grifo Primax)</t>
  </si>
  <si>
    <t>05:58 a.m.</t>
  </si>
  <si>
    <t>Paradero Berlín con Javier prado (cruzando el semáforo) aplica solo al ingreso.</t>
  </si>
  <si>
    <t>RUTA 4B</t>
  </si>
  <si>
    <t>06:05 a.m.</t>
  </si>
  <si>
    <t>Panadería Marcela (cruce de la carretera central, con Av. Jose Carlos Mariátegui)</t>
  </si>
  <si>
    <t>06:08 a.m.</t>
  </si>
  <si>
    <t>Paradero Cesar Vallejo</t>
  </si>
  <si>
    <t>Paradero Esperanza</t>
  </si>
  <si>
    <t>06:12 a.m.</t>
  </si>
  <si>
    <t>Paradero la Cruz</t>
  </si>
  <si>
    <t>RUTA 5A</t>
  </si>
  <si>
    <t>Paradero Puente Los Ángeles</t>
  </si>
  <si>
    <t>05:43 a.m.</t>
  </si>
  <si>
    <t>Mercado Ramiro Prialé</t>
  </si>
  <si>
    <t>05:45 a.m.</t>
  </si>
  <si>
    <t>Paradero Girasoles - Chaclacayo</t>
  </si>
  <si>
    <t>05:53 a.m.</t>
  </si>
  <si>
    <t>Entrada Ñaña</t>
  </si>
  <si>
    <t>RUTA 5B</t>
  </si>
  <si>
    <t>Entrada Huaycán</t>
  </si>
  <si>
    <t>Entrada Horacio</t>
  </si>
  <si>
    <t>05:48 a.m.</t>
  </si>
  <si>
    <t>Paradero Gloria Grande</t>
  </si>
  <si>
    <t>05:50 a.m.</t>
  </si>
  <si>
    <t>Paradero San Juan</t>
  </si>
  <si>
    <t>RUTA 5C</t>
  </si>
  <si>
    <t>Paradero Sta. Clara</t>
  </si>
  <si>
    <t>Estadio Huachipa</t>
  </si>
  <si>
    <t>RUTA 6A</t>
  </si>
  <si>
    <t>Paradero Bayóvar</t>
  </si>
  <si>
    <t>Paradero San Martin</t>
  </si>
  <si>
    <t>RUTA 6B</t>
  </si>
  <si>
    <t>05:37 a.m.</t>
  </si>
  <si>
    <t>Paradero Metro Canto Rey</t>
  </si>
  <si>
    <t>Paradero San Carlos</t>
  </si>
  <si>
    <t>Paradero 17 de Av. Próceres</t>
  </si>
  <si>
    <t>Paradero Metro Hacienda</t>
  </si>
  <si>
    <t>RUTA 6C</t>
  </si>
  <si>
    <t>Paradero Celima</t>
  </si>
  <si>
    <t>Puente Nuevo (Av. Chinchaysuyo &amp; Av. Malecón Checa)</t>
  </si>
  <si>
    <t>Paradero Pajatén (Pajatén/Av. Malecón Checa)</t>
  </si>
  <si>
    <t>06:02 a.m.</t>
  </si>
  <si>
    <t>Paradero Tottus Campoy</t>
  </si>
  <si>
    <t>06:06 a.m.</t>
  </si>
  <si>
    <t>Paradero Calle 8</t>
  </si>
  <si>
    <t>RUTA 7</t>
  </si>
  <si>
    <t>05:15 a.m.</t>
  </si>
  <si>
    <t>Paradero 200 Millas</t>
  </si>
  <si>
    <t>05:20 a.m.</t>
  </si>
  <si>
    <t>Av. Mariátegui con la Ruta C</t>
  </si>
  <si>
    <t>Villa El Salvador (Cruce AV. El Sol con ruta C)</t>
  </si>
  <si>
    <t>Villa El Salvador (Cruce Av. 1ro de Mayo con ruta C)</t>
  </si>
  <si>
    <t>Puente Alipio</t>
  </si>
  <si>
    <t>Paradero Amauta</t>
  </si>
  <si>
    <t>Tottus Atocongo (Auxiliar)</t>
  </si>
  <si>
    <t>Puente Benavides (Arriba del puente, antes del semáforo)</t>
  </si>
  <si>
    <t>Puente Primavera</t>
  </si>
  <si>
    <t>05:52 a.m.</t>
  </si>
  <si>
    <t>Paradero Pentagonito</t>
  </si>
  <si>
    <t>Paradero Javier Prado</t>
  </si>
  <si>
    <t>06:00 a.m.</t>
  </si>
  <si>
    <t>Puente Santa Anita</t>
  </si>
  <si>
    <t>06:03 a.m.</t>
  </si>
  <si>
    <t>Puente Perales</t>
  </si>
  <si>
    <t>Pte. Prialé (solo aplica para la salida)</t>
  </si>
  <si>
    <t>RUTA 8</t>
  </si>
  <si>
    <t>05:28 a.m.</t>
  </si>
  <si>
    <t>Paradero Metro Eyzaguirre</t>
  </si>
  <si>
    <t>Paradero Universitaria con San German</t>
  </si>
  <si>
    <t>Paradero Jose Granda</t>
  </si>
  <si>
    <t>Paradero Habich</t>
  </si>
  <si>
    <t>05:47 a.m.</t>
  </si>
  <si>
    <t>Paradero Pte. Trujillo</t>
  </si>
  <si>
    <t>Paradero Mercado Las Flores</t>
  </si>
  <si>
    <t>05:49 a.m.</t>
  </si>
  <si>
    <t>Paradero Acho</t>
  </si>
  <si>
    <t>05:51 a.m.</t>
  </si>
  <si>
    <t>Paradero Pte. Peatonal Primavera</t>
  </si>
  <si>
    <t>RUTA 9</t>
  </si>
  <si>
    <t>Mall Plaza Bellavista</t>
  </si>
  <si>
    <t>Universitaria con La Marina</t>
  </si>
  <si>
    <t>Universitaria con Colonial</t>
  </si>
  <si>
    <t>Paradero panadería/Av. Universitaria</t>
  </si>
  <si>
    <t>HORARIO</t>
  </si>
  <si>
    <t>DIST. AL CD (km)</t>
  </si>
  <si>
    <t>CLASIF. DIST. CD</t>
  </si>
  <si>
    <t>PARADERO MÁS CERCANO</t>
  </si>
  <si>
    <t>RUTA PARADERO</t>
  </si>
  <si>
    <t>DIST. PARADERO (km)</t>
  </si>
  <si>
    <t>CLASIF. DIST. PARADERO</t>
  </si>
  <si>
    <t>🟠 Moderada (3-5 km)</t>
  </si>
  <si>
    <t>🟡 Cerca (1-3 km)</t>
  </si>
  <si>
    <t>🔴 Lejos (&gt;5 km)</t>
  </si>
  <si>
    <t>🟢 Muy Cerca (0-1 km)</t>
  </si>
  <si>
    <t>Métrica</t>
  </si>
  <si>
    <t>Valor</t>
  </si>
  <si>
    <t>Total Empleados Analizados</t>
  </si>
  <si>
    <t>Total Distritos</t>
  </si>
  <si>
    <t>Distancia Promedio al CD</t>
  </si>
  <si>
    <t>Distancia Promedio a Paradero</t>
  </si>
  <si>
    <t>🚌 DISTANCIA A PARADEROS MÁS CERCANOS</t>
  </si>
  <si>
    <t>% Total</t>
  </si>
  <si>
    <t>📍 TOP 10 PARADEROS MÁS CERCANOS A EMPLEADOS</t>
  </si>
  <si>
    <t>🏘️ ANÁLISIS DETALLADO POR DISTRITO</t>
  </si>
  <si>
    <t>Dist. Prom. CD (km)</t>
  </si>
  <si>
    <t>Clasif. CD</t>
  </si>
  <si>
    <t>Dist. Prom. Paradero (km)</t>
  </si>
  <si>
    <t>Clasif. Paradero</t>
  </si>
  <si>
    <t>Ruta Principal</t>
  </si>
  <si>
    <t>Observación</t>
  </si>
  <si>
    <t>Distritos</t>
  </si>
  <si>
    <t>PARADERO</t>
  </si>
  <si>
    <t>DIRECCION</t>
  </si>
  <si>
    <t>Paradero Ferretería, Lima, Perú</t>
  </si>
  <si>
    <t>Paradero Saracoto, Lima, Perú</t>
  </si>
  <si>
    <t>Tottus Huachipa, Lima, Perú</t>
  </si>
  <si>
    <t>Paradero Arco San Antonio, Lima, Perú</t>
  </si>
  <si>
    <t>Paradero Paraíso, Lima, Perú</t>
  </si>
  <si>
    <t>Paradero Sta. Rosa, Lima, Perú</t>
  </si>
  <si>
    <t>Paradero Aurora, Lima, Perú</t>
  </si>
  <si>
    <t>Paradero 15 de Julio, Lima, Perú</t>
  </si>
  <si>
    <t>Paradero Villa Hermosa, Lima, Perú</t>
  </si>
  <si>
    <t>Paradero Rompemuelle, Lima, Perú</t>
  </si>
  <si>
    <t>Municipalidad de Santa Anita, Lima, Perú</t>
  </si>
  <si>
    <t>Av. Colectora con Metropolitana, Lima, Perú</t>
  </si>
  <si>
    <t>Av. Huarochirí con Metropolitana, Lima, Perú</t>
  </si>
  <si>
    <t>Av. Metropolitana con Cultura, Lima, Perú</t>
  </si>
  <si>
    <t>Real Plaza Puruchuco (Grifo Primax), Lima, Perú</t>
  </si>
  <si>
    <t>Paradero Berlín con Javier prado (cruzando el semáforo) aplica solo al ingreso., Lima, Perú</t>
  </si>
  <si>
    <t>Panadería Marcela (cruce de la carretera central, con Av. Jose Carlos Mariátegui), Lima, Perú</t>
  </si>
  <si>
    <t>Paradero Cesar Vallejo, Lima, Perú</t>
  </si>
  <si>
    <t>Paradero Esperanza, Lima, Perú</t>
  </si>
  <si>
    <t>Paradero la Cruz, Lima, Perú</t>
  </si>
  <si>
    <t>Paradero Puente Los Ángeles, Lima, Perú</t>
  </si>
  <si>
    <t>Mercado Ramiro Prialé, Lima, Perú</t>
  </si>
  <si>
    <t>Paradero Girasoles - Chaclacayo, Lima, Perú</t>
  </si>
  <si>
    <t>Entrada Ñaña, Lima, Perú</t>
  </si>
  <si>
    <t>Entrada Huaycán, Lima, Perú</t>
  </si>
  <si>
    <t>Entrada Horacio, Lima, Perú</t>
  </si>
  <si>
    <t>Paradero Gloria Grande, Lima, Perú</t>
  </si>
  <si>
    <t>Paradero San Juan, Lima, Perú</t>
  </si>
  <si>
    <t>Paradero Sta. Clara, Lima, Perú</t>
  </si>
  <si>
    <t>Estadio Huachipa, Lima, Perú</t>
  </si>
  <si>
    <t>Paradero Bayóvar, Lima, Perú</t>
  </si>
  <si>
    <t>Paradero San Martin, Lima, Perú</t>
  </si>
  <si>
    <t>Paradero Metro Canto Rey, Lima, Perú</t>
  </si>
  <si>
    <t>Paradero San Carlos, Lima, Perú</t>
  </si>
  <si>
    <t>Paradero 17 de Av. Próceres, Lima, Perú</t>
  </si>
  <si>
    <t>Paradero Metro Hacienda, Lima, Perú</t>
  </si>
  <si>
    <t>Paradero Celima, Lima, Perú</t>
  </si>
  <si>
    <t>Puente Nuevo (Av. Chinchaysuyo &amp; Av. Malecón Checa), Lima, Perú</t>
  </si>
  <si>
    <t>Paradero Pajatén (Pajatén/Av. Malecón Checa), Lima, Perú</t>
  </si>
  <si>
    <t>Paradero Tottus Campoy, Lima, Perú</t>
  </si>
  <si>
    <t>Paradero Calle 8, Lima, Perú</t>
  </si>
  <si>
    <t>Paradero 200 Millas, Lima, Perú</t>
  </si>
  <si>
    <t>Av. Mariátegui con la Ruta C, Lima, Perú</t>
  </si>
  <si>
    <t>Villa El Salvador (Cruce AV. El Sol con ruta C), Lima, Perú</t>
  </si>
  <si>
    <t>Villa El Salvador (Cruce Av. 1ro de Mayo con ruta C), Lima, Perú</t>
  </si>
  <si>
    <t>Puente Alipio, Lima, Perú</t>
  </si>
  <si>
    <t>Paradero Amauta, Lima, Perú</t>
  </si>
  <si>
    <t>Tottus Atocongo (Auxiliar), Lima, Perú</t>
  </si>
  <si>
    <t>Puente Benavides (Arriba del puente, antes del semáforo), Lima, Perú</t>
  </si>
  <si>
    <t>Puente Primavera, Lima, Perú</t>
  </si>
  <si>
    <t>Paradero Pentagonito, Lima, Perú</t>
  </si>
  <si>
    <t>Paradero Javier Prado, Lima, Perú</t>
  </si>
  <si>
    <t>Puente Santa Anita, Lima, Perú</t>
  </si>
  <si>
    <t>Puente Perales, Lima, Perú</t>
  </si>
  <si>
    <t>Pte. Prialé (solo aplica para la salida), Lima, Perú</t>
  </si>
  <si>
    <t>Paradero Metro Eyzaguirre, Lima, Perú</t>
  </si>
  <si>
    <t>Mall Plaza Bellavista, Lima, Perú</t>
  </si>
  <si>
    <t>Universitaria con La Marina, Lima, Perú</t>
  </si>
  <si>
    <t>Universitaria con Colonial, Lima, Perú</t>
  </si>
  <si>
    <t>Paradero panadería/Av. Universitaria, Lima, Perú</t>
  </si>
  <si>
    <t>Paradero Universitaria con San German, Lima, Perú</t>
  </si>
  <si>
    <t>Paradero Jose Granda, Lima, Perú</t>
  </si>
  <si>
    <t>Paradero Habich, Lima, Perú</t>
  </si>
  <si>
    <t>Paradero Pte. Trujillo, Lima, Perú</t>
  </si>
  <si>
    <t>Paradero Mercado Las Flores, Lima, Perú</t>
  </si>
  <si>
    <t>Paradero Acho, Lima, Perú</t>
  </si>
  <si>
    <t>Paradero Pte. Peatonal Primavera, Lima, Perú</t>
  </si>
  <si>
    <t>RUTA PREFERIDA</t>
  </si>
  <si>
    <t>Nombre</t>
  </si>
  <si>
    <t>Descripción</t>
  </si>
  <si>
    <t>Ejemplo</t>
  </si>
  <si>
    <t>⚠️ Lejos de paraderos</t>
  </si>
  <si>
    <t>📊 RESUMEN</t>
  </si>
  <si>
    <t>PARADERO PREFERIDO</t>
  </si>
  <si>
    <t>SECOS</t>
  </si>
  <si>
    <t>🏢 DISTANCIA AL CENTRO DE DISTRIBUCIÓN</t>
  </si>
  <si>
    <t>Conteo</t>
  </si>
  <si>
    <t>PPA</t>
  </si>
  <si>
    <t>FRESCOS</t>
  </si>
  <si>
    <t>BD</t>
  </si>
  <si>
    <t>🟡 Cerca</t>
  </si>
  <si>
    <t>Dist. Prom. Paradero</t>
  </si>
  <si>
    <t>🟠 Moderada</t>
  </si>
  <si>
    <t>📍 Normal</t>
  </si>
  <si>
    <t>Hoja</t>
  </si>
  <si>
    <t>LAT-TRAB</t>
  </si>
  <si>
    <t>LON-TRAB</t>
  </si>
  <si>
    <t>ID</t>
  </si>
  <si>
    <t>NOMBRE COMPLETO</t>
  </si>
  <si>
    <t>POSICIÓN</t>
  </si>
  <si>
    <t>FECHA INGRESO</t>
  </si>
  <si>
    <t>ESTADO</t>
  </si>
  <si>
    <t>DEPARTAMENTO</t>
  </si>
  <si>
    <t>PROVINCIA</t>
  </si>
  <si>
    <t>DISTRITO</t>
  </si>
  <si>
    <t>Rank</t>
  </si>
  <si>
    <t>📊 DATOS AUXILIARES PARA GRÁFICOS</t>
  </si>
  <si>
    <t>(Esta información alimenta los gráficos de la hoja GRAFICO)</t>
  </si>
  <si>
    <t>Selector activo:</t>
  </si>
  <si>
    <t>📍 DISTRITOS - CONTEO DINÁMICO</t>
  </si>
  <si>
    <t>🚌 RUTAS - CONTEO DINÁMICO</t>
  </si>
  <si>
    <t>📍 PARADEROS - CONTEO DINÁMICO</t>
  </si>
  <si>
    <t>📚 GLOSARIO - MAPA DE CALOR UNIFICADO</t>
  </si>
  <si>
    <t>📋 DESCRIPCIÓN GENERAL</t>
  </si>
  <si>
    <t>CONSOLIDADO</t>
  </si>
  <si>
    <t>🎨 CLASIFICACIONES DE DISTANCIA</t>
  </si>
  <si>
    <t>📝 OBSERVACIONES AUTOMÁTICAS</t>
  </si>
  <si>
    <t>⚠️ Muy lejos del CD</t>
  </si>
  <si>
    <t>📈 RESUMEN DE BASES DE DATOS</t>
  </si>
  <si>
    <t>BD CONSOLIDADA</t>
  </si>
  <si>
    <t>Uso</t>
  </si>
  <si>
    <t>Datos auxiliares para Top 10 y Rankings</t>
  </si>
  <si>
    <t>PARADEROS_VALIDOS</t>
  </si>
  <si>
    <t>Cálculo de paradero más cercano</t>
  </si>
  <si>
    <t>⚠️ NOTAS IMPORTANTES</t>
  </si>
  <si>
    <t>Dashboard dinámico de ubicación de empleados respecto al CD Tottus Huachipa.</t>
  </si>
  <si>
    <t>Filtra por área (SECOS, PPA, FRESCOS) o ve todos con CONSOLIDADO.</t>
  </si>
  <si>
    <t>Fuente: BD CONSOLIDADA con 1,076 empleados totales.</t>
  </si>
  <si>
    <t>🎛️ SELECTOR DINÁMICO (Celda GRAFICO!B4)</t>
  </si>
  <si>
    <t>Opción</t>
  </si>
  <si>
    <t>Fuente</t>
  </si>
  <si>
    <t>Área de productos secos</t>
  </si>
  <si>
    <t>Área de productos PPA</t>
  </si>
  <si>
    <t>Área de productos frescos</t>
  </si>
  <si>
    <t>CONSOLIDADO 🆕</t>
  </si>
  <si>
    <t>TODOS los empleados</t>
  </si>
  <si>
    <t>📊 COLUMNAS - ANÁLISIS DETALLADO POR DISTRITO</t>
  </si>
  <si>
    <t>Col</t>
  </si>
  <si>
    <t>Número de posición del distrito</t>
  </si>
  <si>
    <t>1, 2, 3...</t>
  </si>
  <si>
    <t>Nombre del distrito</t>
  </si>
  <si>
    <t>Cantidad de empleados</t>
  </si>
  <si>
    <t>Porcentaje del total</t>
  </si>
  <si>
    <t>Dist. Prom. CD</t>
  </si>
  <si>
    <t>Distancia promedio al CD (km)</t>
  </si>
  <si>
    <t>Clasificación distancia CD</t>
  </si>
  <si>
    <t>Distancia promedio paradero (km)</t>
  </si>
  <si>
    <t>Clasificación distancia paradero</t>
  </si>
  <si>
    <t>Ruta más usada</t>
  </si>
  <si>
    <t>Alerta automática</t>
  </si>
  <si>
    <t>📍 Distancia al CD</t>
  </si>
  <si>
    <t>🚌 Distancia al Paradero</t>
  </si>
  <si>
    <t>Distancias aceptables</t>
  </si>
  <si>
    <t>Dist. paradero &gt; 5 km</t>
  </si>
  <si>
    <t>Dist. CD &gt; 20 km</t>
  </si>
  <si>
    <t>📂 HOJAS RELACIONADAS</t>
  </si>
  <si>
    <t>Fuente principal de datos</t>
  </si>
  <si>
    <t>• Selector en GRAFICO!B4 controla todos los datos</t>
  </si>
  <si>
    <t>• CONSOLIDADO es NUEVO: muestra 1,076 empleados</t>
  </si>
  <si>
    <t>• Todas las fórmulas son dinámicas</t>
  </si>
  <si>
    <t>• Gráficos se actualizan según selección</t>
  </si>
  <si>
    <t>• Datos auxiliares están en hoja 'Distritos'</t>
  </si>
  <si>
    <t>🚌 RUTAS DISPONIBLES</t>
  </si>
  <si>
    <t>CLASIFICACION</t>
  </si>
  <si>
    <t>CARGO</t>
  </si>
  <si>
    <t>TIPO</t>
  </si>
  <si>
    <t>STAFF</t>
  </si>
  <si>
    <t>Asistente administrativo GH</t>
  </si>
  <si>
    <t>OPERARIO</t>
  </si>
  <si>
    <t>Analista Control Existencias</t>
  </si>
  <si>
    <t>Analista control Tower</t>
  </si>
  <si>
    <t>Asistente reclutamiento y selección</t>
  </si>
  <si>
    <t>Asistente social</t>
  </si>
  <si>
    <t>Auxiliar Sistemas</t>
  </si>
  <si>
    <t>Coordinador Logistica</t>
  </si>
  <si>
    <t>Inspecto Calidad</t>
  </si>
  <si>
    <t>INSPECTOR CALIDAD</t>
  </si>
  <si>
    <t>Jefe Negociacion Logistica</t>
  </si>
  <si>
    <t>Analista Mejora Continua</t>
  </si>
  <si>
    <t>Asistente Administrativo</t>
  </si>
  <si>
    <t>Asistente de Reclutamiento y selección</t>
  </si>
  <si>
    <t>Jefe Proyectos</t>
  </si>
  <si>
    <t>Jefe Transporte Clientes</t>
  </si>
  <si>
    <t>Supervisor Control de Calidad</t>
  </si>
  <si>
    <t>SUPERVISOR MANTENIMIENTO</t>
  </si>
  <si>
    <t>🏆 TOP 10 DISTRITOS CON MAYOR VOLUMEN DE EMPLEADOS</t>
  </si>
  <si>
    <t>📊 ÁREA:</t>
  </si>
  <si>
    <t>📍 CD TOTTUS HUACHIPA | Lat: -11.997563 | Long: -76.900062</t>
  </si>
  <si>
    <t>AREA</t>
  </si>
  <si>
    <t>NOMBRES</t>
  </si>
  <si>
    <t>PRIMER APELLIDO</t>
  </si>
  <si>
    <t>SEGUNDO APELLIDO</t>
  </si>
  <si>
    <t>EDAD</t>
  </si>
  <si>
    <t>EMPRESA CONTRATANTE</t>
  </si>
  <si>
    <t>NOMBRE DE UBICACIÓN</t>
  </si>
  <si>
    <t>CÓDIGO DE POSICIÓN</t>
  </si>
  <si>
    <t>FECHA DE TERMINACIÓN</t>
  </si>
  <si>
    <t>JEFE DIRECTO</t>
  </si>
  <si>
    <t>JEFE DIRECTO USERID</t>
  </si>
  <si>
    <t>TIPO DE VÍA</t>
  </si>
  <si>
    <t>NOMBRE DE VÍA</t>
  </si>
  <si>
    <t>Nº DE VÍA</t>
  </si>
  <si>
    <t>APARTAMENTO</t>
  </si>
  <si>
    <t>INTERIOR</t>
  </si>
  <si>
    <t>LOTE</t>
  </si>
  <si>
    <t>MANZANA</t>
  </si>
  <si>
    <t>TIPO ZONA</t>
  </si>
  <si>
    <t>NOMBRE DE ZONA</t>
  </si>
  <si>
    <t>CÓDIGO POSTAL</t>
  </si>
  <si>
    <t>FECHA DEL EVENTO</t>
  </si>
  <si>
    <t>ULTIMA MODIFICACIÓN POR</t>
  </si>
  <si>
    <t>Column1</t>
  </si>
  <si>
    <t>Column2</t>
  </si>
  <si>
    <t>Column3</t>
  </si>
  <si>
    <t>⚠️ Esta hoja ya no se utiliza como fuente de datos.</t>
  </si>
  <si>
    <t>La hoja GRAFICO ahora lee directamente de BD SECOS, BD PPA y BD FRESCOS.</t>
  </si>
  <si>
    <t>Esto mejora el rendimiento del archivo y evita problemas de fórmulas complejas.</t>
  </si>
  <si>
    <t>Calle Samillan Baca, Cercado De Lambayequ, Lambayeque, Lambayeque, Lambayeque, Perú</t>
  </si>
  <si>
    <t>Otros / No aplica Las Flores De Nieveria, Nuevo Paraiso, Coishco, Santa, Ancash, Perú</t>
  </si>
  <si>
    <t>Otros / No aplica Urb Los Huertos, SANTIAGO, Ica, Ica, Ica, Perú</t>
  </si>
  <si>
    <t>Calle Virgilio Purisaga Cdra, Villa Los Martires-C, Chepen, Chepen, La Libertad, Perú</t>
  </si>
  <si>
    <t>Otros / No aplica 4 Suyos, 4 Suyos, Ventanilla, Callao, Const. Del Callao, Perú</t>
  </si>
  <si>
    <t>Otros / No aplica Lurigancho-Chosica, PAMPACHIRI, Yarinacocha, Coronel Portillo, Ucayali, Perú</t>
  </si>
  <si>
    <t>Asoc. Viv.Jardines De Horacio Zevallos, Los Jardines De Horacio Zevallos, La Merced, Aija, Ancash, Perú</t>
  </si>
  <si>
    <t>Caballo Blanco Mz 19Lt Cp Jicamarca, Nd, Moquegua, Mariscal Nieto, Moquegua, Perú</t>
  </si>
  <si>
    <t>MZ 5 Lote 14</t>
  </si>
  <si>
    <t>ADESESEP</t>
  </si>
  <si>
    <t>Centro Poblado</t>
  </si>
  <si>
    <t>Huachipa - Cajamarquilla</t>
  </si>
  <si>
    <t>Huanta, MZ F Lote 11</t>
  </si>
  <si>
    <t>San Juan 686</t>
  </si>
  <si>
    <t>San Luis</t>
  </si>
  <si>
    <t>6-A</t>
  </si>
  <si>
    <t>Zona L</t>
  </si>
  <si>
    <t>Av Peru</t>
  </si>
  <si>
    <t>Asociacion Agropecuaria</t>
  </si>
  <si>
    <t>PENDIENTE</t>
  </si>
  <si>
    <t>Pendiente</t>
  </si>
  <si>
    <t>Carlos A. Salaverry N° 3841</t>
  </si>
  <si>
    <t>Jr</t>
  </si>
  <si>
    <t>2 de mayo</t>
  </si>
  <si>
    <t>Barranco</t>
  </si>
  <si>
    <t>IDRUTA</t>
  </si>
  <si>
    <t>4A</t>
  </si>
  <si>
    <t>4B</t>
  </si>
  <si>
    <t>5A</t>
  </si>
  <si>
    <t>5B</t>
  </si>
  <si>
    <t>6C</t>
  </si>
  <si>
    <t>6B</t>
  </si>
  <si>
    <t>6A</t>
  </si>
  <si>
    <t>5C</t>
  </si>
  <si>
    <t>-12.0002005,-76.9004366</t>
  </si>
  <si>
    <t>CAPAC</t>
  </si>
  <si>
    <t>TAXI</t>
  </si>
  <si>
    <t>MINIVAN</t>
  </si>
  <si>
    <t>SPRINTER</t>
  </si>
  <si>
    <t>CUSTER</t>
  </si>
  <si>
    <t>MINIBUS</t>
  </si>
  <si>
    <t>BUS</t>
  </si>
  <si>
    <t>CAPACIDAD</t>
  </si>
  <si>
    <t>CAPACIDAD DE BUSES</t>
  </si>
  <si>
    <t>USONOCHE</t>
  </si>
  <si>
    <t>USOTARDE</t>
  </si>
  <si>
    <t>USOMAÑANA</t>
  </si>
  <si>
    <t>COSTO</t>
  </si>
  <si>
    <t>TIPO_BUS</t>
  </si>
  <si>
    <t>USO_MAÑANA</t>
  </si>
  <si>
    <t>USO_TARDE</t>
  </si>
  <si>
    <t>USO_NOCHE</t>
  </si>
  <si>
    <t>% OCUPACIÓN</t>
  </si>
  <si>
    <t>Total Rutas Utilizadas (según filtros)</t>
  </si>
  <si>
    <t>KPI</t>
  </si>
  <si>
    <t>% Ocupación Promedio</t>
  </si>
  <si>
    <t>Semanal</t>
  </si>
  <si>
    <t>Prioridad</t>
  </si>
  <si>
    <t>costo ida y vuelta</t>
  </si>
  <si>
    <t>TAX RUTA 1</t>
  </si>
  <si>
    <t>TAX RUTA 2</t>
  </si>
  <si>
    <t>TAX RUTA 3</t>
  </si>
  <si>
    <t>TAX RUTA 4A</t>
  </si>
  <si>
    <t>TAX RUTA 4B</t>
  </si>
  <si>
    <t>TAX RUTA 5A</t>
  </si>
  <si>
    <t>TAX RUTA 5B</t>
  </si>
  <si>
    <t>TAX RUTA 5C</t>
  </si>
  <si>
    <t>TAX RUTA 6A</t>
  </si>
  <si>
    <t>TAX RUTA 6B</t>
  </si>
  <si>
    <t>TAX RUTA 6C</t>
  </si>
  <si>
    <t>TAX RUTA 7</t>
  </si>
  <si>
    <t>TAX RUTA 8</t>
  </si>
  <si>
    <t>TAX RUTA 9</t>
  </si>
  <si>
    <t>FECHA</t>
  </si>
  <si>
    <t>DÍA</t>
  </si>
  <si>
    <t>SEMANA</t>
  </si>
  <si>
    <t>PASAJEROS</t>
  </si>
  <si>
    <t>TAX UNITARIO</t>
  </si>
  <si>
    <t>COSTO TOTAL</t>
  </si>
  <si>
    <t>COSTO/PASAJ</t>
  </si>
  <si>
    <t>OBSERVACIONES</t>
  </si>
  <si>
    <t>Fecha Seleccionada:</t>
  </si>
  <si>
    <t>Total Buses del Día:</t>
  </si>
  <si>
    <t>Total Pasajeros:</t>
  </si>
  <si>
    <t>Costo Total del Día:</t>
  </si>
  <si>
    <t>% Ocupación Promedio:</t>
  </si>
  <si>
    <t>Costo Promedio/Pasajero:</t>
  </si>
  <si>
    <t>Capacidad Total:</t>
  </si>
  <si>
    <t>Semana Nº:</t>
  </si>
  <si>
    <t>Total Viajes Semana:</t>
  </si>
  <si>
    <t>Total Pasajeros Semana:</t>
  </si>
  <si>
    <t>Costo Total Semana:</t>
  </si>
  <si>
    <t>% Ocupación Prom. Sem.:</t>
  </si>
  <si>
    <t>Costo Prom./Pasaj. Sem.:</t>
  </si>
  <si>
    <t>📝 INSTRUCCIONES DE USO</t>
  </si>
  <si>
    <t>Capacidad Utilizada:</t>
  </si>
  <si>
    <t>OMMNIBUS</t>
  </si>
  <si>
    <t>📊 DASHBOARD DE REGISTRO DIARIO DE BUSES - TURNO MAÑANA</t>
  </si>
  <si>
    <t>Datos calculados desde la hoja REGISTRO_DIARIO | Actualización automática</t>
  </si>
  <si>
    <t>📅 RESUMEN DEL DÍA</t>
  </si>
  <si>
    <t>📆 RESUMEN SEMANAL</t>
  </si>
  <si>
    <t>Capacidad Total Semana:</t>
  </si>
  <si>
    <t>📊 RESUMEN POR RUTA - REGISTRO DIARIO</t>
  </si>
  <si>
    <t>📅 Datos de la semana Nº:</t>
  </si>
  <si>
    <t>(se actualiza con la fecha de B134)</t>
  </si>
  <si>
    <t>VIAJES</t>
  </si>
  <si>
    <t>TOTAL</t>
  </si>
  <si>
    <t>← Cambie esta fecha para ver datos de otro día/semana</t>
  </si>
  <si>
    <t>año</t>
  </si>
  <si>
    <t>semanas</t>
  </si>
  <si>
    <t>TODOS</t>
  </si>
  <si>
    <t>ESTADO OCUP.</t>
  </si>
  <si>
    <t>📊 ANÁLISIS DE COSTOS Y EFICIENCIA - TRANSPORTE CD TOTTUS HUACHIPA</t>
  </si>
  <si>
    <t>📈 Datos dinámicos calculados desde REGISTRO_DIARIO | Actualización automática</t>
  </si>
  <si>
    <t>📆 SEMANA ANALIZADA:</t>
  </si>
  <si>
    <t>← Cambie este número para analizar otra semana</t>
  </si>
  <si>
    <t>📋 RESUMEN EJECUTIVO DE LA SEMANA</t>
  </si>
  <si>
    <t>Total Viajes</t>
  </si>
  <si>
    <t>Total Pasajeros</t>
  </si>
  <si>
    <t>Capacidad Total Utilizada</t>
  </si>
  <si>
    <t>Costo Total Semanal</t>
  </si>
  <si>
    <t>Costo Promedio por Pasajero</t>
  </si>
  <si>
    <t>Costo Promedio por Viaje</t>
  </si>
  <si>
    <t>Rutas Únicas Utilizadas</t>
  </si>
  <si>
    <t>% OCUP</t>
  </si>
  <si>
    <t>🚨 ALERTAS</t>
  </si>
  <si>
    <t>Rutas con ocupación &lt; 50%:</t>
  </si>
  <si>
    <t>Rutas con ocupación ≥ 90%:</t>
  </si>
  <si>
    <t>Eficiencia Global:</t>
  </si>
  <si>
    <t>💡 RECOMENDACIONES DE TOMA DE DECISIONES (Basadas en datos de REGISTRO_DIARIO)</t>
  </si>
  <si>
    <t>Situación Detectada</t>
  </si>
  <si>
    <t>Condición</t>
  </si>
  <si>
    <t>Recomendación</t>
  </si>
  <si>
    <t>Impacto Estimado</t>
  </si>
  <si>
    <t>Rutas con muy baja ocupación</t>
  </si>
  <si>
    <t>Considerar cambio a vehículo más pequeño o fusionar rutas</t>
  </si>
  <si>
    <t>Ahorro 20-40% en costos</t>
  </si>
  <si>
    <t>Rutas con alta demanda</t>
  </si>
  <si>
    <t>Considerar bus adicional o vehículo más grande</t>
  </si>
  <si>
    <t>Mejora satisfacción empleados</t>
  </si>
  <si>
    <t>Costo promedio por pasajero</t>
  </si>
  <si>
    <t>Meta: &lt; S/ 15.00</t>
  </si>
  <si>
    <t>Ocupación promedio global</t>
  </si>
  <si>
    <t>Meta: &gt; 70%</t>
  </si>
  <si>
    <t>Inversión semanal en transporte</t>
  </si>
  <si>
    <t>Benchmark: S/ 30,000/sem</t>
  </si>
  <si>
    <t>🏆 RANKING DE EFICIENCIA POR RUTA</t>
  </si>
  <si>
    <t>🥇 TOP 3 MÁS EFICIENTES</t>
  </si>
  <si>
    <t>🔻 TOP 3 MENOS EFICIENTES</t>
  </si>
  <si>
    <t>% Ocup</t>
  </si>
  <si>
    <t>Costo/Viaje</t>
  </si>
  <si>
    <t>Mensual (x4)</t>
  </si>
  <si>
    <t>Costo Total</t>
  </si>
  <si>
    <t>Pasajeros</t>
  </si>
  <si>
    <t>Viajes</t>
  </si>
  <si>
    <t>Costo/Pasajero</t>
  </si>
  <si>
    <t>1. Cambie el número de semana en la celda B4 para analizar diferentes períodos.</t>
  </si>
  <si>
    <t>2. Los datos se calculan automáticamente desde la hoja REGISTRO_DIARIO.</t>
  </si>
  <si>
    <t>3. Las recomendaciones se actualizan dinámicamente según los indicadores.</t>
  </si>
  <si>
    <t>4. Use el ranking para identificar rutas a optimizar.</t>
  </si>
  <si>
    <t>5. La proyección mensual ayuda a estimar presupuestos.</t>
  </si>
  <si>
    <t>agregar conclusiones del resultado</t>
  </si>
  <si>
    <t># PERSONAS</t>
  </si>
  <si>
    <t>Personal Promedio</t>
  </si>
  <si>
    <t>CAPACIDAD X VIAJE</t>
  </si>
  <si>
    <t>🗺️ SERVICIO DE MOVILIDAD - CD TOTTUS HUACHIPA</t>
  </si>
  <si>
    <t>TIPO 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</si>
</sst>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0.000000"/>
    <numFmt numFmtId="165" formatCode="_-* #,##0_-;\-* #,##0_-;_-* &quot;-&quot;??_-;_-@_-"/>
    <numFmt numFmtId="166" formatCode="dd/mm/yyyy\ hh:mm:ss"/>
    <numFmt numFmtId="167" formatCode="&quot;S/&quot;\ #,##0"/>
    <numFmt numFmtId="168" formatCode="&quot;S/&quot;\ #,##0.00"/>
    <numFmt numFmtId="169" formatCode="dd/mm/yyyy"/>
  </numFmts>
  <fonts count="2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rgb="FF1F4E79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i/>
      <sz val="11"/>
      <color rgb="FF666666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2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color rgb="FF666666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D6DCE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385723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40404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23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7" xfId="0" applyFill="1" applyBorder="1"/>
    <xf numFmtId="0" fontId="0" fillId="2" borderId="8" xfId="0" applyFill="1" applyBorder="1"/>
    <xf numFmtId="14" fontId="0" fillId="2" borderId="8" xfId="0" applyNumberFormat="1" applyFill="1" applyBorder="1"/>
    <xf numFmtId="0" fontId="0" fillId="2" borderId="9" xfId="0" applyFill="1" applyBorder="1"/>
    <xf numFmtId="0" fontId="1" fillId="0" borderId="0" xfId="0" applyFont="1"/>
    <xf numFmtId="10" fontId="0" fillId="0" borderId="0" xfId="0" applyNumberFormat="1"/>
    <xf numFmtId="0" fontId="0" fillId="0" borderId="7" xfId="0" applyBorder="1"/>
    <xf numFmtId="0" fontId="0" fillId="0" borderId="8" xfId="0" applyBorder="1"/>
    <xf numFmtId="0" fontId="4" fillId="3" borderId="8" xfId="0" applyFont="1" applyFill="1" applyBorder="1"/>
    <xf numFmtId="0" fontId="5" fillId="3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4" fontId="0" fillId="6" borderId="5" xfId="0" applyNumberFormat="1" applyFill="1" applyBorder="1" applyAlignment="1">
      <alignment horizontal="center"/>
    </xf>
    <xf numFmtId="164" fontId="0" fillId="6" borderId="2" xfId="0" applyNumberFormat="1" applyFill="1" applyBorder="1" applyAlignment="1">
      <alignment horizontal="center"/>
    </xf>
    <xf numFmtId="164" fontId="0" fillId="6" borderId="6" xfId="0" applyNumberFormat="1" applyFill="1" applyBorder="1" applyAlignment="1">
      <alignment horizontal="center"/>
    </xf>
    <xf numFmtId="2" fontId="0" fillId="0" borderId="8" xfId="0" applyNumberFormat="1" applyBorder="1"/>
    <xf numFmtId="2" fontId="0" fillId="0" borderId="1" xfId="0" applyNumberFormat="1" applyBorder="1"/>
    <xf numFmtId="2" fontId="0" fillId="0" borderId="2" xfId="0" applyNumberFormat="1" applyBorder="1"/>
    <xf numFmtId="0" fontId="0" fillId="0" borderId="0" xfId="0" applyAlignment="1">
      <alignment horizontal="center" vertical="center"/>
    </xf>
    <xf numFmtId="2" fontId="3" fillId="0" borderId="0" xfId="0" applyNumberFormat="1" applyFont="1" applyAlignment="1">
      <alignment horizontal="center"/>
    </xf>
    <xf numFmtId="0" fontId="7" fillId="0" borderId="0" xfId="0" applyFont="1"/>
    <xf numFmtId="0" fontId="1" fillId="10" borderId="0" xfId="0" applyFont="1" applyFill="1"/>
    <xf numFmtId="0" fontId="1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14" borderId="0" xfId="0" applyFill="1"/>
    <xf numFmtId="0" fontId="4" fillId="9" borderId="11" xfId="0" applyFont="1" applyFill="1" applyBorder="1"/>
    <xf numFmtId="0" fontId="4" fillId="9" borderId="12" xfId="0" applyFont="1" applyFill="1" applyBorder="1"/>
    <xf numFmtId="0" fontId="4" fillId="9" borderId="13" xfId="0" applyFont="1" applyFill="1" applyBorder="1"/>
    <xf numFmtId="0" fontId="0" fillId="0" borderId="14" xfId="0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10" fontId="0" fillId="0" borderId="0" xfId="1" applyNumberFormat="1" applyFont="1" applyAlignment="1">
      <alignment horizontal="center"/>
    </xf>
    <xf numFmtId="164" fontId="0" fillId="0" borderId="8" xfId="0" applyNumberFormat="1" applyBorder="1"/>
    <xf numFmtId="164" fontId="0" fillId="0" borderId="1" xfId="0" applyNumberFormat="1" applyBorder="1"/>
    <xf numFmtId="164" fontId="0" fillId="0" borderId="2" xfId="0" applyNumberFormat="1" applyBorder="1"/>
    <xf numFmtId="164" fontId="3" fillId="0" borderId="0" xfId="0" applyNumberFormat="1" applyFont="1" applyAlignment="1">
      <alignment horizontal="center"/>
    </xf>
    <xf numFmtId="0" fontId="4" fillId="3" borderId="0" xfId="0" applyFont="1" applyFill="1"/>
    <xf numFmtId="0" fontId="9" fillId="0" borderId="0" xfId="0" applyFont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0" fillId="15" borderId="0" xfId="0" applyFill="1"/>
    <xf numFmtId="0" fontId="0" fillId="5" borderId="0" xfId="0" applyFill="1"/>
    <xf numFmtId="0" fontId="14" fillId="4" borderId="0" xfId="0" applyFont="1" applyFill="1"/>
    <xf numFmtId="0" fontId="11" fillId="0" borderId="1" xfId="0" applyFont="1" applyBorder="1"/>
    <xf numFmtId="0" fontId="11" fillId="0" borderId="1" xfId="0" applyFont="1" applyBorder="1" applyAlignment="1">
      <alignment horizontal="left" vertical="center"/>
    </xf>
    <xf numFmtId="15" fontId="11" fillId="0" borderId="1" xfId="0" applyNumberFormat="1" applyFont="1" applyBorder="1"/>
    <xf numFmtId="0" fontId="11" fillId="0" borderId="2" xfId="0" applyFont="1" applyBorder="1"/>
    <xf numFmtId="0" fontId="15" fillId="0" borderId="10" xfId="0" applyFont="1" applyBorder="1" applyAlignment="1">
      <alignment horizontal="right"/>
    </xf>
    <xf numFmtId="10" fontId="0" fillId="0" borderId="0" xfId="0" applyNumberFormat="1" applyAlignment="1">
      <alignment horizontal="center"/>
    </xf>
    <xf numFmtId="0" fontId="8" fillId="18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2" fontId="0" fillId="0" borderId="15" xfId="0" applyNumberFormat="1" applyBorder="1" applyAlignment="1">
      <alignment horizontal="center" vertical="center"/>
    </xf>
    <xf numFmtId="10" fontId="0" fillId="0" borderId="15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0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0" fontId="0" fillId="0" borderId="20" xfId="0" applyNumberFormat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1" fillId="2" borderId="8" xfId="0" applyFont="1" applyFill="1" applyBorder="1"/>
    <xf numFmtId="0" fontId="0" fillId="21" borderId="3" xfId="0" applyFill="1" applyBorder="1"/>
    <xf numFmtId="0" fontId="0" fillId="21" borderId="1" xfId="0" applyFill="1" applyBorder="1"/>
    <xf numFmtId="14" fontId="0" fillId="21" borderId="1" xfId="0" applyNumberFormat="1" applyFill="1" applyBorder="1"/>
    <xf numFmtId="0" fontId="0" fillId="21" borderId="5" xfId="0" applyFill="1" applyBorder="1"/>
    <xf numFmtId="2" fontId="0" fillId="21" borderId="1" xfId="0" applyNumberFormat="1" applyFill="1" applyBorder="1"/>
    <xf numFmtId="0" fontId="0" fillId="21" borderId="8" xfId="0" applyFill="1" applyBorder="1"/>
    <xf numFmtId="2" fontId="0" fillId="21" borderId="8" xfId="0" applyNumberFormat="1" applyFill="1" applyBorder="1"/>
    <xf numFmtId="164" fontId="0" fillId="21" borderId="1" xfId="0" applyNumberFormat="1" applyFill="1" applyBorder="1"/>
    <xf numFmtId="0" fontId="17" fillId="19" borderId="21" xfId="0" applyFont="1" applyFill="1" applyBorder="1" applyAlignment="1">
      <alignment horizontal="center"/>
    </xf>
    <xf numFmtId="0" fontId="17" fillId="19" borderId="22" xfId="0" applyFont="1" applyFill="1" applyBorder="1" applyAlignment="1">
      <alignment horizontal="center"/>
    </xf>
    <xf numFmtId="0" fontId="5" fillId="3" borderId="22" xfId="0" applyFont="1" applyFill="1" applyBorder="1" applyAlignment="1">
      <alignment horizontal="center"/>
    </xf>
    <xf numFmtId="0" fontId="17" fillId="19" borderId="24" xfId="0" applyFont="1" applyFill="1" applyBorder="1" applyAlignment="1">
      <alignment horizontal="center"/>
    </xf>
    <xf numFmtId="0" fontId="3" fillId="20" borderId="21" xfId="0" applyFont="1" applyFill="1" applyBorder="1" applyAlignment="1">
      <alignment horizontal="center"/>
    </xf>
    <xf numFmtId="0" fontId="3" fillId="20" borderId="22" xfId="0" applyFont="1" applyFill="1" applyBorder="1" applyAlignment="1">
      <alignment horizontal="center"/>
    </xf>
    <xf numFmtId="14" fontId="3" fillId="20" borderId="22" xfId="0" applyNumberFormat="1" applyFont="1" applyFill="1" applyBorder="1" applyAlignment="1">
      <alignment horizontal="center"/>
    </xf>
    <xf numFmtId="0" fontId="3" fillId="5" borderId="22" xfId="0" applyFont="1" applyFill="1" applyBorder="1" applyAlignment="1">
      <alignment horizontal="center"/>
    </xf>
    <xf numFmtId="2" fontId="3" fillId="20" borderId="22" xfId="0" applyNumberFormat="1" applyFont="1" applyFill="1" applyBorder="1" applyAlignment="1">
      <alignment horizontal="center"/>
    </xf>
    <xf numFmtId="164" fontId="3" fillId="20" borderId="22" xfId="0" applyNumberFormat="1" applyFont="1" applyFill="1" applyBorder="1" applyAlignment="1">
      <alignment horizontal="center"/>
    </xf>
    <xf numFmtId="0" fontId="3" fillId="20" borderId="24" xfId="0" applyFont="1" applyFill="1" applyBorder="1" applyAlignment="1">
      <alignment horizontal="center"/>
    </xf>
    <xf numFmtId="14" fontId="17" fillId="19" borderId="22" xfId="0" applyNumberFormat="1" applyFont="1" applyFill="1" applyBorder="1" applyAlignment="1">
      <alignment horizontal="center"/>
    </xf>
    <xf numFmtId="0" fontId="16" fillId="2" borderId="1" xfId="0" applyFont="1" applyFill="1" applyBorder="1"/>
    <xf numFmtId="14" fontId="16" fillId="2" borderId="1" xfId="0" applyNumberFormat="1" applyFont="1" applyFill="1" applyBorder="1"/>
    <xf numFmtId="0" fontId="16" fillId="2" borderId="5" xfId="0" applyFont="1" applyFill="1" applyBorder="1"/>
    <xf numFmtId="0" fontId="4" fillId="3" borderId="1" xfId="0" applyFont="1" applyFill="1" applyBorder="1"/>
    <xf numFmtId="0" fontId="4" fillId="4" borderId="1" xfId="0" applyFont="1" applyFill="1" applyBorder="1" applyAlignment="1">
      <alignment horizontal="center"/>
    </xf>
    <xf numFmtId="0" fontId="0" fillId="21" borderId="23" xfId="0" applyFill="1" applyBorder="1"/>
    <xf numFmtId="0" fontId="3" fillId="21" borderId="21" xfId="0" applyFont="1" applyFill="1" applyBorder="1" applyAlignment="1">
      <alignment horizontal="center"/>
    </xf>
    <xf numFmtId="0" fontId="3" fillId="21" borderId="22" xfId="0" applyFont="1" applyFill="1" applyBorder="1" applyAlignment="1">
      <alignment horizontal="center"/>
    </xf>
    <xf numFmtId="14" fontId="3" fillId="21" borderId="22" xfId="0" applyNumberFormat="1" applyFont="1" applyFill="1" applyBorder="1" applyAlignment="1">
      <alignment horizontal="center"/>
    </xf>
    <xf numFmtId="2" fontId="3" fillId="21" borderId="22" xfId="0" applyNumberFormat="1" applyFont="1" applyFill="1" applyBorder="1" applyAlignment="1">
      <alignment horizontal="center"/>
    </xf>
    <xf numFmtId="0" fontId="3" fillId="21" borderId="0" xfId="0" applyFont="1" applyFill="1" applyAlignment="1">
      <alignment horizontal="center"/>
    </xf>
    <xf numFmtId="2" fontId="3" fillId="21" borderId="0" xfId="0" applyNumberFormat="1" applyFont="1" applyFill="1" applyAlignment="1">
      <alignment horizontal="center"/>
    </xf>
    <xf numFmtId="164" fontId="3" fillId="21" borderId="22" xfId="0" applyNumberFormat="1" applyFont="1" applyFill="1" applyBorder="1" applyAlignment="1">
      <alignment horizontal="center"/>
    </xf>
    <xf numFmtId="0" fontId="3" fillId="21" borderId="24" xfId="0" applyFont="1" applyFill="1" applyBorder="1" applyAlignment="1">
      <alignment horizontal="center"/>
    </xf>
    <xf numFmtId="0" fontId="0" fillId="21" borderId="0" xfId="0" applyFill="1"/>
    <xf numFmtId="0" fontId="3" fillId="22" borderId="21" xfId="0" applyFont="1" applyFill="1" applyBorder="1" applyAlignment="1">
      <alignment horizontal="center"/>
    </xf>
    <xf numFmtId="0" fontId="3" fillId="22" borderId="22" xfId="0" applyFont="1" applyFill="1" applyBorder="1" applyAlignment="1">
      <alignment horizontal="center"/>
    </xf>
    <xf numFmtId="14" fontId="3" fillId="22" borderId="22" xfId="0" applyNumberFormat="1" applyFont="1" applyFill="1" applyBorder="1" applyAlignment="1">
      <alignment horizontal="center"/>
    </xf>
    <xf numFmtId="2" fontId="3" fillId="22" borderId="22" xfId="0" applyNumberFormat="1" applyFont="1" applyFill="1" applyBorder="1" applyAlignment="1">
      <alignment horizontal="center"/>
    </xf>
    <xf numFmtId="164" fontId="3" fillId="22" borderId="22" xfId="0" applyNumberFormat="1" applyFont="1" applyFill="1" applyBorder="1" applyAlignment="1">
      <alignment horizontal="center"/>
    </xf>
    <xf numFmtId="0" fontId="3" fillId="22" borderId="24" xfId="0" applyFont="1" applyFill="1" applyBorder="1" applyAlignment="1">
      <alignment horizontal="center"/>
    </xf>
    <xf numFmtId="0" fontId="0" fillId="23" borderId="1" xfId="0" applyFill="1" applyBorder="1"/>
    <xf numFmtId="0" fontId="19" fillId="0" borderId="1" xfId="0" applyFont="1" applyBorder="1" applyAlignment="1">
      <alignment horizontal="left"/>
    </xf>
    <xf numFmtId="0" fontId="19" fillId="0" borderId="2" xfId="0" applyFont="1" applyBorder="1" applyAlignment="1">
      <alignment horizontal="left"/>
    </xf>
    <xf numFmtId="0" fontId="18" fillId="2" borderId="26" xfId="0" applyFont="1" applyFill="1" applyBorder="1" applyAlignment="1">
      <alignment vertical="center"/>
    </xf>
    <xf numFmtId="0" fontId="18" fillId="2" borderId="26" xfId="0" applyFont="1" applyFill="1" applyBorder="1" applyAlignment="1">
      <alignment horizontal="center" vertical="center"/>
    </xf>
    <xf numFmtId="165" fontId="3" fillId="0" borderId="1" xfId="2" applyNumberFormat="1" applyFont="1" applyBorder="1" applyAlignment="1">
      <alignment horizontal="center"/>
    </xf>
    <xf numFmtId="165" fontId="19" fillId="0" borderId="1" xfId="2" applyNumberFormat="1" applyFont="1" applyBorder="1" applyAlignment="1">
      <alignment horizontal="center"/>
    </xf>
    <xf numFmtId="165" fontId="3" fillId="0" borderId="2" xfId="2" applyNumberFormat="1" applyFont="1" applyBorder="1" applyAlignment="1">
      <alignment horizontal="center"/>
    </xf>
    <xf numFmtId="0" fontId="1" fillId="10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27" xfId="0" applyBorder="1" applyAlignment="1">
      <alignment horizontal="center"/>
    </xf>
    <xf numFmtId="0" fontId="1" fillId="10" borderId="5" xfId="0" applyFont="1" applyFill="1" applyBorder="1" applyAlignment="1">
      <alignment horizontal="center" vertical="center"/>
    </xf>
    <xf numFmtId="0" fontId="1" fillId="10" borderId="27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9" fontId="0" fillId="0" borderId="3" xfId="1" applyFont="1" applyBorder="1" applyAlignment="1">
      <alignment horizontal="center"/>
    </xf>
    <xf numFmtId="43" fontId="1" fillId="0" borderId="0" xfId="2" applyFont="1" applyAlignment="1">
      <alignment horizontal="center"/>
    </xf>
    <xf numFmtId="165" fontId="1" fillId="0" borderId="0" xfId="2" applyNumberFormat="1" applyFont="1" applyAlignment="1">
      <alignment horizontal="center"/>
    </xf>
    <xf numFmtId="3" fontId="0" fillId="0" borderId="0" xfId="0" applyNumberFormat="1"/>
    <xf numFmtId="9" fontId="0" fillId="0" borderId="0" xfId="0" applyNumberFormat="1" applyAlignment="1">
      <alignment horizontal="center"/>
    </xf>
    <xf numFmtId="166" fontId="0" fillId="0" borderId="0" xfId="0" applyNumberFormat="1"/>
    <xf numFmtId="0" fontId="4" fillId="9" borderId="0" xfId="0" applyFont="1" applyFill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0" applyNumberFormat="1"/>
    <xf numFmtId="0" fontId="0" fillId="2" borderId="0" xfId="0" applyFill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21" fillId="0" borderId="0" xfId="0" applyFont="1"/>
    <xf numFmtId="0" fontId="0" fillId="21" borderId="0" xfId="0" applyFill="1" applyAlignment="1">
      <alignment horizontal="center"/>
    </xf>
    <xf numFmtId="0" fontId="4" fillId="27" borderId="0" xfId="0" applyFont="1" applyFill="1" applyAlignment="1">
      <alignment horizontal="center"/>
    </xf>
    <xf numFmtId="0" fontId="1" fillId="27" borderId="0" xfId="0" applyFont="1" applyFill="1" applyAlignment="1">
      <alignment horizontal="center"/>
    </xf>
    <xf numFmtId="0" fontId="1" fillId="21" borderId="0" xfId="0" applyFont="1" applyFill="1" applyAlignment="1">
      <alignment horizontal="center"/>
    </xf>
    <xf numFmtId="9" fontId="0" fillId="21" borderId="0" xfId="0" applyNumberFormat="1" applyFill="1" applyAlignment="1">
      <alignment horizontal="center"/>
    </xf>
    <xf numFmtId="167" fontId="0" fillId="21" borderId="0" xfId="0" applyNumberFormat="1" applyFill="1"/>
    <xf numFmtId="168" fontId="0" fillId="21" borderId="0" xfId="0" applyNumberFormat="1" applyFill="1"/>
    <xf numFmtId="169" fontId="0" fillId="5" borderId="0" xfId="0" applyNumberFormat="1" applyFill="1"/>
    <xf numFmtId="4" fontId="0" fillId="0" borderId="0" xfId="0" applyNumberFormat="1"/>
    <xf numFmtId="0" fontId="1" fillId="29" borderId="0" xfId="0" applyFont="1" applyFill="1" applyAlignment="1">
      <alignment horizontal="center"/>
    </xf>
    <xf numFmtId="0" fontId="1" fillId="25" borderId="0" xfId="0" applyFont="1" applyFill="1"/>
    <xf numFmtId="0" fontId="0" fillId="25" borderId="0" xfId="0" applyFill="1"/>
    <xf numFmtId="9" fontId="0" fillId="25" borderId="0" xfId="0" applyNumberFormat="1" applyFill="1"/>
    <xf numFmtId="3" fontId="0" fillId="25" borderId="0" xfId="0" applyNumberFormat="1" applyFill="1"/>
    <xf numFmtId="14" fontId="0" fillId="0" borderId="0" xfId="0" applyNumberFormat="1"/>
    <xf numFmtId="0" fontId="8" fillId="0" borderId="0" xfId="0" applyFont="1" applyAlignment="1">
      <alignment horizontal="center" vertical="center"/>
    </xf>
    <xf numFmtId="165" fontId="0" fillId="0" borderId="0" xfId="2" applyNumberFormat="1" applyFont="1"/>
    <xf numFmtId="165" fontId="0" fillId="25" borderId="0" xfId="2" applyNumberFormat="1" applyFont="1" applyFill="1"/>
    <xf numFmtId="44" fontId="0" fillId="0" borderId="0" xfId="3" applyFont="1"/>
    <xf numFmtId="44" fontId="0" fillId="25" borderId="0" xfId="3" applyFont="1" applyFill="1"/>
    <xf numFmtId="0" fontId="1" fillId="21" borderId="0" xfId="0" applyFont="1" applyFill="1"/>
    <xf numFmtId="0" fontId="23" fillId="0" borderId="0" xfId="0" applyFont="1"/>
    <xf numFmtId="0" fontId="24" fillId="0" borderId="0" xfId="0" applyFont="1"/>
    <xf numFmtId="0" fontId="1" fillId="26" borderId="1" xfId="0" applyFont="1" applyFill="1" applyBorder="1"/>
    <xf numFmtId="0" fontId="1" fillId="5" borderId="1" xfId="0" applyFont="1" applyFill="1" applyBorder="1"/>
    <xf numFmtId="167" fontId="0" fillId="0" borderId="1" xfId="0" applyNumberFormat="1" applyBorder="1"/>
    <xf numFmtId="168" fontId="0" fillId="0" borderId="1" xfId="0" applyNumberFormat="1" applyBorder="1"/>
    <xf numFmtId="0" fontId="25" fillId="0" borderId="0" xfId="0" applyFont="1"/>
    <xf numFmtId="0" fontId="1" fillId="25" borderId="1" xfId="0" applyFont="1" applyFill="1" applyBorder="1"/>
    <xf numFmtId="9" fontId="0" fillId="0" borderId="1" xfId="0" applyNumberFormat="1" applyBorder="1"/>
    <xf numFmtId="0" fontId="1" fillId="25" borderId="1" xfId="0" applyFont="1" applyFill="1" applyBorder="1" applyAlignment="1">
      <alignment horizontal="center"/>
    </xf>
    <xf numFmtId="0" fontId="1" fillId="17" borderId="1" xfId="0" applyFont="1" applyFill="1" applyBorder="1"/>
    <xf numFmtId="9" fontId="1" fillId="17" borderId="1" xfId="0" applyNumberFormat="1" applyFont="1" applyFill="1" applyBorder="1"/>
    <xf numFmtId="167" fontId="1" fillId="17" borderId="1" xfId="0" applyNumberFormat="1" applyFont="1" applyFill="1" applyBorder="1"/>
    <xf numFmtId="0" fontId="1" fillId="32" borderId="1" xfId="0" applyFont="1" applyFill="1" applyBorder="1"/>
    <xf numFmtId="0" fontId="0" fillId="15" borderId="1" xfId="0" applyFill="1" applyBorder="1"/>
    <xf numFmtId="9" fontId="0" fillId="15" borderId="1" xfId="0" applyNumberFormat="1" applyFill="1" applyBorder="1"/>
    <xf numFmtId="167" fontId="0" fillId="15" borderId="1" xfId="0" applyNumberFormat="1" applyFill="1" applyBorder="1"/>
    <xf numFmtId="0" fontId="0" fillId="16" borderId="1" xfId="0" applyFill="1" applyBorder="1"/>
    <xf numFmtId="9" fontId="0" fillId="16" borderId="1" xfId="0" applyNumberFormat="1" applyFill="1" applyBorder="1"/>
    <xf numFmtId="167" fontId="0" fillId="16" borderId="1" xfId="0" applyNumberFormat="1" applyFill="1" applyBorder="1"/>
    <xf numFmtId="165" fontId="0" fillId="0" borderId="0" xfId="0" applyNumberFormat="1"/>
    <xf numFmtId="43" fontId="0" fillId="0" borderId="1" xfId="2" applyFont="1" applyBorder="1"/>
    <xf numFmtId="0" fontId="10" fillId="4" borderId="0" xfId="0" applyFont="1" applyFill="1" applyAlignment="1">
      <alignment horizontal="center"/>
    </xf>
    <xf numFmtId="0" fontId="0" fillId="0" borderId="0" xfId="0"/>
    <xf numFmtId="0" fontId="22" fillId="4" borderId="0" xfId="0" applyFont="1" applyFill="1" applyAlignment="1">
      <alignment horizontal="center"/>
    </xf>
    <xf numFmtId="0" fontId="21" fillId="24" borderId="0" xfId="0" applyFont="1" applyFill="1" applyAlignment="1">
      <alignment horizontal="center"/>
    </xf>
    <xf numFmtId="0" fontId="10" fillId="9" borderId="0" xfId="0" applyFont="1" applyFill="1"/>
    <xf numFmtId="0" fontId="10" fillId="28" borderId="0" xfId="0" applyFont="1" applyFill="1"/>
    <xf numFmtId="0" fontId="20" fillId="4" borderId="0" xfId="0" applyFont="1" applyFill="1" applyAlignment="1">
      <alignment horizontal="center" vertical="center"/>
    </xf>
    <xf numFmtId="0" fontId="13" fillId="0" borderId="0" xfId="0" applyFont="1"/>
    <xf numFmtId="0" fontId="10" fillId="9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11" borderId="6" xfId="0" applyFont="1" applyFill="1" applyBorder="1" applyAlignment="1">
      <alignment horizontal="center" vertical="center"/>
    </xf>
    <xf numFmtId="0" fontId="4" fillId="11" borderId="25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4" fillId="13" borderId="6" xfId="0" applyFont="1" applyFill="1" applyBorder="1" applyAlignment="1">
      <alignment horizontal="center" vertical="center"/>
    </xf>
    <xf numFmtId="0" fontId="4" fillId="13" borderId="25" xfId="0" applyFont="1" applyFill="1" applyBorder="1" applyAlignment="1">
      <alignment horizontal="center" vertical="center"/>
    </xf>
    <xf numFmtId="0" fontId="4" fillId="13" borderId="4" xfId="0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center" vertical="center"/>
    </xf>
    <xf numFmtId="0" fontId="4" fillId="12" borderId="25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/>
    </xf>
    <xf numFmtId="0" fontId="21" fillId="10" borderId="0" xfId="0" applyFont="1" applyFill="1" applyAlignment="1">
      <alignment horizontal="center"/>
    </xf>
    <xf numFmtId="0" fontId="4" fillId="34" borderId="0" xfId="0" applyFont="1" applyFill="1"/>
    <xf numFmtId="0" fontId="10" fillId="30" borderId="0" xfId="0" applyFont="1" applyFill="1"/>
    <xf numFmtId="0" fontId="10" fillId="31" borderId="0" xfId="0" applyFont="1" applyFill="1"/>
    <xf numFmtId="0" fontId="10" fillId="33" borderId="0" xfId="0" applyFont="1" applyFill="1"/>
    <xf numFmtId="0" fontId="10" fillId="12" borderId="0" xfId="0" applyFont="1" applyFill="1"/>
    <xf numFmtId="0" fontId="1" fillId="15" borderId="1" xfId="0" applyFont="1" applyFill="1" applyBorder="1"/>
    <xf numFmtId="0" fontId="0" fillId="0" borderId="1" xfId="0" applyBorder="1"/>
    <xf numFmtId="0" fontId="1" fillId="16" borderId="1" xfId="0" applyFont="1" applyFill="1" applyBorder="1"/>
    <xf numFmtId="0" fontId="4" fillId="3" borderId="0" xfId="0" applyFont="1" applyFill="1"/>
    <xf numFmtId="0" fontId="1" fillId="0" borderId="0" xfId="0" applyFont="1"/>
    <xf numFmtId="0" fontId="4" fillId="7" borderId="0" xfId="0" applyFont="1" applyFill="1"/>
    <xf numFmtId="0" fontId="4" fillId="11" borderId="0" xfId="0" applyFont="1" applyFill="1"/>
  </cellXfs>
  <cellStyles count="4">
    <cellStyle name="Millares" xfId="2" builtinId="3"/>
    <cellStyle name="Moneda" xfId="3" builtinId="4"/>
    <cellStyle name="Normal" xfId="0" builtinId="0"/>
    <cellStyle name="Porcentaje" xfId="1" builtinId="5"/>
  </cellStyles>
  <dxfs count="1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0.000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0.000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0.000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0.000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</dxf>
    <dxf>
      <numFmt numFmtId="168" formatCode="&quot;S/&quot;\ #,##0.00"/>
    </dxf>
    <dxf>
      <numFmt numFmtId="167" formatCode="&quot;S/&quot;\ #,##0"/>
    </dxf>
    <dxf>
      <numFmt numFmtId="167" formatCode="&quot;S/&quot;\ #,##0"/>
    </dxf>
    <dxf>
      <numFmt numFmtId="13" formatCode="0%"/>
      <alignment horizontal="center" vertical="bottom" textRotation="0" wrapText="0" indent="0" justifyLastLine="0" shrinkToFit="0" readingOrder="0"/>
    </dxf>
    <dxf>
      <font>
        <b/>
      </font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E75B6"/>
        </patternFill>
      </fill>
      <alignment horizontal="center" vertical="bottom" textRotation="0" wrapText="0" indent="0" justifyLastLine="0" shrinkToFit="0" readingOrder="0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000"/>
      <fill>
        <patternFill patternType="solid">
          <fgColor indexed="64"/>
          <bgColor rgb="FFFFFACD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000"/>
      <fill>
        <patternFill patternType="solid">
          <fgColor indexed="64"/>
          <bgColor rgb="FFFFFACD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_-* #,##0_-;\-* #,##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_-* #,##0_-;\-* #,##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_-* #,##0_-;\-* #,##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_-* #,##0_-;\-* #,##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_-* #,##0_-;\-* #,##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_-* #,##0_-;\-* #,##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_-* #,##0_-;\-* #,##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_-* #,##0_-;\-* #,##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_-* #,##0_-;\-* #,##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numFmt numFmtId="165" formatCode="_-* #,##0_-;\-* #,##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_-* #,##0_-;\-* #,##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_-* #,##0_-;\-* #,##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_-* #,##0_-;\-* #,##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_-* #,##0_-;\-* #,##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5" formatCode="_-* #,##0_-;\-* #,##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theme="0"/>
        </top>
        <bottom style="thin">
          <color indexed="64"/>
        </bottom>
      </border>
    </dxf>
    <dxf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rutastottus.netlify.ap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208767</xdr:colOff>
      <xdr:row>6</xdr:row>
      <xdr:rowOff>173973</xdr:rowOff>
    </xdr:from>
    <xdr:to>
      <xdr:col>6</xdr:col>
      <xdr:colOff>1104726</xdr:colOff>
      <xdr:row>8</xdr:row>
      <xdr:rowOff>43493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5AF95E-2748-1FC3-8605-68D0E248B364}"/>
            </a:ext>
          </a:extLst>
        </xdr:cNvPr>
        <xdr:cNvSpPr/>
      </xdr:nvSpPr>
      <xdr:spPr>
        <a:xfrm>
          <a:off x="8872603" y="1435274"/>
          <a:ext cx="895959" cy="234863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/>
            <a:t>RUTAS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6A8EA2E-0C04-4B6A-81D8-9DA94E408953}" autoFormatId="16" applyNumberFormats="0" applyBorderFormats="0" applyFontFormats="0" applyPatternFormats="0" applyAlignmentFormats="0" applyWidthHeightFormats="0">
  <queryTableRefresh nextId="14" unboundColumnsRight="10">
    <queryTableFields count="13">
      <queryTableField id="1" name="Column1" tableColumnId="1"/>
      <queryTableField id="2" name="Column2" tableColumnId="2"/>
      <queryTableField id="3" name="Column3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E04D3DE-DC94-4226-8F86-9056B1DB3874}" name="BD_PARADEROS" displayName="BD_PARADEROS" ref="A1:M83" tableType="queryTable" totalsRowShown="0" headerRowDxfId="146" headerRowBorderDxfId="145" tableBorderDxfId="144" totalsRowBorderDxfId="143">
  <autoFilter ref="A1:M83" xr:uid="{9E04D3DE-DC94-4226-8F86-9056B1DB3874}"/>
  <sortState xmlns:xlrd2="http://schemas.microsoft.com/office/spreadsheetml/2017/richdata2" ref="A2:M83">
    <sortCondition ref="A1:A83"/>
  </sortState>
  <tableColumns count="13">
    <tableColumn id="1" xr3:uid="{F2E7EA1B-D1E8-40E2-A80A-31A5B2FBF418}" uniqueName="1" name="Column1" queryTableFieldId="1" dataDxfId="142"/>
    <tableColumn id="2" xr3:uid="{230B8202-115C-4096-9766-0EE6B42E9BBB}" uniqueName="2" name="Column2" queryTableFieldId="2" dataDxfId="141"/>
    <tableColumn id="3" xr3:uid="{9B7DA8CD-F4BF-4A16-B19B-667E8A64664F}" uniqueName="3" name="Column3" queryTableFieldId="3" dataDxfId="140"/>
    <tableColumn id="4" xr3:uid="{56535C5E-72D7-4594-908E-F19D2907A522}" uniqueName="4" name="DIRECCIÓN COMPLETA" queryTableFieldId="4" dataDxfId="139">
      <calculatedColumnFormula>C2&amp;", Lima, Perú"</calculatedColumnFormula>
    </tableColumn>
    <tableColumn id="5" xr3:uid="{35FFE56F-31CB-4C1B-BB25-2E01B70B0FC8}" uniqueName="5" name="LATITUD" queryTableFieldId="5" dataDxfId="138"/>
    <tableColumn id="6" xr3:uid="{296D6C9B-A9F9-4121-ACE4-9EBD6AC1565D}" uniqueName="6" name="LONGITUD" queryTableFieldId="6" dataDxfId="137"/>
    <tableColumn id="7" xr3:uid="{C92C4C13-432A-4546-9E2C-2B3408DE8441}" uniqueName="7" name="IDRUTA" queryTableFieldId="7" dataDxfId="136"/>
    <tableColumn id="8" xr3:uid="{2B327738-83ED-43C9-A37F-AD6E580D51C7}" uniqueName="8" name="TIPO" queryTableFieldId="8" dataDxfId="135"/>
    <tableColumn id="9" xr3:uid="{BB915A3E-B1DA-4319-BAAF-4505FAAE2AE9}" uniqueName="9" name="CAPACIDAD" queryTableFieldId="9" dataDxfId="134">
      <calculatedColumnFormula>VLOOKUP(BD_PARADEROS[[#This Row],[TIPO]],TBCAPACIDAD[],2,FALSE)</calculatedColumnFormula>
    </tableColumn>
    <tableColumn id="10" xr3:uid="{D6BFBDE3-558F-4905-A0FD-A211047DC4FF}" uniqueName="10" name="USOMAÑANA" queryTableFieldId="10" dataDxfId="133"/>
    <tableColumn id="11" xr3:uid="{A23211AC-BE73-457B-ADE5-4BBF8012B5F5}" uniqueName="11" name="USOTARDE" queryTableFieldId="11" dataDxfId="132"/>
    <tableColumn id="12" xr3:uid="{EAEF0A34-9299-4638-93A2-8019D068CCB9}" uniqueName="12" name="USONOCHE" queryTableFieldId="12" dataDxfId="131"/>
    <tableColumn id="13" xr3:uid="{1853F81C-FBC0-4CD9-941B-625465833B85}" uniqueName="13" name="COSTO" queryTableFieldId="13" dataDxfId="13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162089E-D247-4329-9BD6-487CF6F88468}" name="Tabla6" displayName="Tabla6" ref="A2:L91" totalsRowShown="0" headerRowDxfId="129">
  <autoFilter ref="A2:L91" xr:uid="{6162089E-D247-4329-9BD6-487CF6F88468}"/>
  <tableColumns count="12">
    <tableColumn id="2" xr3:uid="{5914B1A5-A4E8-4D01-ABC2-B722BC8DB3B5}" name="DÍA">
      <calculatedColumnFormula>IF(C3="","",TEXT(C3,"dddd"))</calculatedColumnFormula>
    </tableColumn>
    <tableColumn id="3" xr3:uid="{B2FCC77D-0E5B-4D92-B3D4-7E31AA09F4CA}" name="SEMANA" dataDxfId="128">
      <calculatedColumnFormula>IF(C3="","",WEEKNUM(Tabla6[[#This Row],[FECHA]],2))</calculatedColumnFormula>
    </tableColumn>
    <tableColumn id="1" xr3:uid="{17C6BE59-070A-4EA1-A272-D4F93BBCA19B}" name="FECHA" dataDxfId="127"/>
    <tableColumn id="4" xr3:uid="{1DE0E762-E15A-42B9-91F1-5916F17ACEB0}" name="RUTA" dataDxfId="126"/>
    <tableColumn id="5" xr3:uid="{55006756-FBFA-4AE5-824F-7E4CD5E8ADB5}" name="TIPO_BUS" dataDxfId="125"/>
    <tableColumn id="6" xr3:uid="{A923FC9D-4C37-4032-B7C6-65894DC085DB}" name="CAPACIDAD" dataDxfId="124">
      <calculatedColumnFormula>IF(E3="","",VLOOKUP(E3,TBCAPACIDAD[],2,FALSE))</calculatedColumnFormula>
    </tableColumn>
    <tableColumn id="7" xr3:uid="{91E5A28F-54B6-4856-9AFA-66ADFAA7F5B1}" name="PASAJEROS" dataDxfId="123"/>
    <tableColumn id="8" xr3:uid="{39E0F892-32DA-411B-80F0-2EBA7134F2A9}" name="% OCUPACIÓN" dataDxfId="122">
      <calculatedColumnFormula>IF(OR(G3="",F3=""),"",G3/F3)</calculatedColumnFormula>
    </tableColumn>
    <tableColumn id="9" xr3:uid="{BA80B2A0-0048-4CBF-9BC8-B13816ADC88F}" name="TAX UNITARIO" dataDxfId="121">
      <calculatedColumnFormula array="1">IF(OR(D3="",E3=""),"",INDEX('BD BUSES'!$B$1:$Q$8,MATCH(E3,'BD BUSES'!$B$2:$B$8,0)+1,MATCH("TAX "&amp;D3,'BD BUSES'!$B$1:$Q$1,0)))</calculatedColumnFormula>
    </tableColumn>
    <tableColumn id="10" xr3:uid="{8C3B45D1-0774-402E-B62F-C2AE0D469130}" name="COSTO TOTAL" dataDxfId="120">
      <calculatedColumnFormula>IF(I3="","",I3)</calculatedColumnFormula>
    </tableColumn>
    <tableColumn id="11" xr3:uid="{D72B6DBD-7707-43D1-95AA-84627D49D3F0}" name="COSTO/PASAJ" dataDxfId="119">
      <calculatedColumnFormula>IF(OR(J3="",G3="",G3=0),"",J3/G3)</calculatedColumnFormula>
    </tableColumn>
    <tableColumn id="12" xr3:uid="{A0911DF9-3DE9-48B0-ACAF-AD2A70C4F969}" name="OBSERVACIONES">
      <calculatedColumnFormula>IF(H3="","",IF(H3&gt;=0.9,"✅ Óptimo",IF(H3&gt;=0.7,"🔄 OK",IF(H3&gt;=0.5,"⚠️ Bajo","🔴 Muy Bajo"))))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D197D4-53B5-4B34-A514-72B624853053}" name="TBCAPACIDAD" displayName="TBCAPACIDAD" ref="B1:Q8" totalsRowShown="0" headerRowDxfId="164" tableBorderDxfId="163">
  <autoFilter ref="B1:Q8" xr:uid="{86D197D4-53B5-4B34-A514-72B624853053}"/>
  <tableColumns count="16">
    <tableColumn id="1" xr3:uid="{7664DA0B-4DE8-4C4C-8302-B8A51E6AA342}" name="TIPO BUS" dataDxfId="162"/>
    <tableColumn id="2" xr3:uid="{6A57AC4A-8351-4F44-91DF-151B533E81DF}" name="CAPAC" dataDxfId="161" dataCellStyle="Millares"/>
    <tableColumn id="3" xr3:uid="{23040FB7-AD03-45AF-B406-5FCF577AC1C8}" name="TAX RUTA 1" dataDxfId="160" dataCellStyle="Millares"/>
    <tableColumn id="4" xr3:uid="{02A12C7C-0622-4567-8A0F-5B722B4587FC}" name="TAX RUTA 2" dataDxfId="159" dataCellStyle="Millares"/>
    <tableColumn id="5" xr3:uid="{19553A94-CB15-4A0E-8E1C-3B2C474CDECA}" name="TAX RUTA 3" dataDxfId="158" dataCellStyle="Millares"/>
    <tableColumn id="6" xr3:uid="{AD02B7A2-43C3-43B5-AC3E-4F0E49FD06E6}" name="TAX RUTA 4A" dataDxfId="157" dataCellStyle="Millares"/>
    <tableColumn id="7" xr3:uid="{4287D656-31B1-4ECB-BB01-5C0976C29D27}" name="TAX RUTA 4B" dataDxfId="156" dataCellStyle="Millares"/>
    <tableColumn id="8" xr3:uid="{68D63546-87EA-4D0E-AC55-8B693DA283D4}" name="TAX RUTA 5A" dataDxfId="155" dataCellStyle="Millares"/>
    <tableColumn id="9" xr3:uid="{5281AFC4-3580-42EE-B155-B3DD2497438D}" name="TAX RUTA 5B" dataDxfId="154" dataCellStyle="Millares"/>
    <tableColumn id="10" xr3:uid="{64A6D065-ACB6-433B-8785-DA82166142B0}" name="TAX RUTA 5C" dataDxfId="153" dataCellStyle="Millares"/>
    <tableColumn id="11" xr3:uid="{01E07A23-F7C1-46E5-ADF0-9DB2F90F7ED9}" name="TAX RUTA 6A" dataDxfId="152" dataCellStyle="Millares"/>
    <tableColumn id="12" xr3:uid="{AA84AA3F-31AC-4D04-BCD8-1D0FCD2C028F}" name="TAX RUTA 6B" dataDxfId="151" dataCellStyle="Millares"/>
    <tableColumn id="13" xr3:uid="{7278D4B2-16B2-45E7-B55B-268960F9CEC4}" name="TAX RUTA 6C" dataDxfId="150" dataCellStyle="Millares"/>
    <tableColumn id="14" xr3:uid="{6D2D4DDE-C01A-45D5-9E7C-2B6382B8C912}" name="TAX RUTA 7" dataDxfId="149" dataCellStyle="Millares"/>
    <tableColumn id="15" xr3:uid="{2D380091-403A-4752-9FC4-B25041EE23CF}" name="TAX RUTA 8" dataDxfId="148" dataCellStyle="Millares"/>
    <tableColumn id="16" xr3:uid="{86DB9B6F-C474-4BFD-BE63-30BF10ED256D}" name="TAX RUTA 9" dataDxfId="147" dataCellStyle="Millar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728B8C6-9A90-4BC5-A5AB-84C01E9E9FDE}" name="BDRUTAS" displayName="BDRUTAS" ref="A1:G15" totalsRowShown="0">
  <autoFilter ref="A1:G15" xr:uid="{5728B8C6-9A90-4BC5-A5AB-84C01E9E9FDE}"/>
  <tableColumns count="7">
    <tableColumn id="1" xr3:uid="{12BEEFC5-11C7-4251-AFFB-14D65A716E9C}" name="RUTA"/>
    <tableColumn id="2" xr3:uid="{F42C0553-B6CB-4B71-A153-2D1928F93015}" name="TIPO_BUS"/>
    <tableColumn id="3" xr3:uid="{A9068BB3-4428-4408-B7D4-8FEA96DBBBF0}" name="CAPACIDAD"/>
    <tableColumn id="4" xr3:uid="{6C8EA2D0-BED0-41EA-9CD5-11904624CEEB}" name="USO_MAÑANA"/>
    <tableColumn id="5" xr3:uid="{AEDD3E28-076D-418A-86D4-EE03E2383D3B}" name="USO_TARDE"/>
    <tableColumn id="6" xr3:uid="{C4CB1E14-F2CC-40EC-B697-2AD711D86B09}" name="USO_NOCHE"/>
    <tableColumn id="7" xr3:uid="{DABE95B9-9E91-4920-8A22-87468CACFBA9}" name="costo ida y vuelta" dataDxfId="1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CC64D0-7525-43D6-B48A-7A169C724DEA}" name="bdsecos" displayName="bdsecos" ref="A1:AE455" totalsRowShown="0" headerRowDxfId="117" headerRowBorderDxfId="116" tableBorderDxfId="115" totalsRowBorderDxfId="114">
  <autoFilter ref="A1:AE455" xr:uid="{B0CC64D0-7525-43D6-B48A-7A169C724DEA}">
    <filterColumn colId="23">
      <filters>
        <filter val="RUTA 7"/>
      </filters>
    </filterColumn>
  </autoFilter>
  <sortState xmlns:xlrd2="http://schemas.microsoft.com/office/spreadsheetml/2017/richdata2" ref="A2:AE455">
    <sortCondition ref="AE1:AE455"/>
  </sortState>
  <tableColumns count="31">
    <tableColumn id="1" xr3:uid="{D00297E1-FC48-4A06-A122-14B1B7A9475F}" name="DNI" dataDxfId="113"/>
    <tableColumn id="2" xr3:uid="{213BE17B-63AE-4F2F-944F-CE52555011A5}" name="APELLIDOS Y NOMBRES" dataDxfId="112"/>
    <tableColumn id="3" xr3:uid="{F3F8A621-1C35-48A4-9C4B-64D2857F3B5F}" name="Nombre de Posición" dataDxfId="111"/>
    <tableColumn id="4" xr3:uid="{A66DCBD4-53B5-4068-8921-ED0BD6FF273C}" name="Fecha de ingreso" dataDxfId="110"/>
    <tableColumn id="5" xr3:uid="{AC4EFFA0-C83F-458C-9C83-57B07962BEC3}" name="Estado de empleado" dataDxfId="109"/>
    <tableColumn id="6" xr3:uid="{37FB7CED-3BF5-4290-BDA6-F5EEE59F2A9C}" name="Tipo de Vía" dataDxfId="108"/>
    <tableColumn id="7" xr3:uid="{051F93D7-ADC5-446F-BDEA-5ED39D5E97F4}" name="Nombre de Vía" dataDxfId="107"/>
    <tableColumn id="8" xr3:uid="{0B2ED698-6596-4B63-8C56-4804AE1F199D}" name="Nº de Vía" dataDxfId="106"/>
    <tableColumn id="9" xr3:uid="{4FEDE7DB-530C-4462-A87F-3BB64B7D76BE}" name="Apartamento" dataDxfId="105"/>
    <tableColumn id="10" xr3:uid="{7D1C996C-DFED-4694-AE32-7B44FC2DF40A}" name="Interior" dataDxfId="104"/>
    <tableColumn id="11" xr3:uid="{E28874A5-DC57-4ADB-BA22-693CE662F9AD}" name="Lote" dataDxfId="103"/>
    <tableColumn id="12" xr3:uid="{57393384-BD28-42A3-A38C-CBE2ABF9AC4C}" name="Manzana" dataDxfId="102"/>
    <tableColumn id="13" xr3:uid="{E632D39A-03DB-471B-BB53-44CABC51FA6F}" name="Tipo Zona" dataDxfId="101"/>
    <tableColumn id="14" xr3:uid="{634635D5-9199-447A-B9DF-2928FB3391A9}" name="Nombre de Zona" dataDxfId="100"/>
    <tableColumn id="15" xr3:uid="{24A305E0-2FFA-4D42-A933-E0353A3B7E13}" name="Departamento" dataDxfId="99"/>
    <tableColumn id="16" xr3:uid="{D4A7E2BF-4F61-4592-8029-4AE939F1D71A}" name="Provincia" dataDxfId="98"/>
    <tableColumn id="17" xr3:uid="{5B45A5BE-21DE-4479-8148-34DE68AA63FF}" name="Distrito" dataDxfId="97"/>
    <tableColumn id="18" xr3:uid="{17E5AD20-0349-432C-B77A-AA436950E61E}" name="DIRECCIÓN COMPLETA" dataDxfId="96">
      <calculatedColumnFormula>_xlfn.LET(_xlpm.parte1,TRIM(IF(F2="Otros / No aplica","",F2&amp;" ")&amp;G2&amp;IF(AND(H2&lt;&gt;"",H2&lt;&gt;"0",H2&lt;&gt;0)," "&amp;H2,"")&amp;IF(I2&lt;&gt;"",", Apt. "&amp;I2,"")&amp;IF(J2&lt;&gt;"",", Int. "&amp;J2,"")&amp;IF(AND(K2&lt;&gt;"",K2&lt;&gt;0),", Lote "&amp;K2,"")&amp;IF(L2&lt;&gt;"",", Mz. "&amp;L2,"")&amp;IF(AND(M2&lt;&gt;"",M2&lt;&gt;"Otros / No aplica"),", "&amp;M2,"")&amp;IF(AND(N2&lt;&gt;"",N2&lt;&gt;"0",N2&lt;&gt;0)," "&amp;N2,"")),_xlpm.parte2,Q2&amp;", "&amp;P2&amp;", "&amp;O2&amp;", Perú",IF(LEFT(_xlpm.parte1,1)=",",TRIM(MID(_xlpm.parte1,2,255))&amp;", "&amp;_xlpm.parte2,IF(_xlpm.parte1="",_xlpm.parte2,_xlpm.parte1&amp;", "&amp;_xlpm.parte2)))</calculatedColumnFormula>
    </tableColumn>
    <tableColumn id="19" xr3:uid="{CC3A0AF7-DFAD-47EA-84F6-937676FD539B}" name="LATITUD" dataDxfId="95"/>
    <tableColumn id="20" xr3:uid="{BA6339FE-A903-4A9F-9147-A14AD7019D3B}" name="LONGITUD" dataDxfId="94"/>
    <tableColumn id="21" xr3:uid="{A61475A6-8C21-438C-A511-AC6C7431B285}" name="DIST. AL CD (km)" dataDxfId="93">
      <calculatedColumnFormula>IF(OR(S2="",T2=""),"Sin coordenadas",ROUND(6371*ACOS(COS(RADIANS(90-S2))*COS(RADIANS(90-(-11.997563)))+SIN(RADIANS(90-S2))*SIN(RADIANS(90-(-11.997563)))*COS(RADIANS(T2-(-76.900062)))),2))</calculatedColumnFormula>
    </tableColumn>
    <tableColumn id="22" xr3:uid="{E228CC8E-6DA5-4B79-ACCC-D0881912F2A8}" name="CLASIF. DIST. CD" dataDxfId="92">
      <calculatedColumnFormula>IF(U2="Sin coordenadas","N/A",IF(U2&lt;=5,"🟢 Muy Cerca (0-5 km)",IF(U2&lt;=10,"🟡 Cerca (5-10 km)",IF(U2&lt;=20,"🟠 Moderada (10-20 km)","🔴 Lejos (&gt;20 km)"))))</calculatedColumnFormula>
    </tableColumn>
    <tableColumn id="23" xr3:uid="{2F5FDD11-947E-44F9-86D4-A287F7494835}" name="PARADERO MÁS CERCANO" dataDxfId="91"/>
    <tableColumn id="24" xr3:uid="{D501FA77-FD60-49F8-B1B2-2E31DA1F1F48}" name="RUTA PARADERO" dataDxfId="90"/>
    <tableColumn id="25" xr3:uid="{73765760-1728-4D9A-91E9-CBC89501CC52}" name="DIST. PARADERO (km)" dataDxfId="89"/>
    <tableColumn id="26" xr3:uid="{AA810814-0890-4A8F-8E72-C10EC2C88150}" name="CLASIF. DIST. PARADERO" dataDxfId="88">
      <calculatedColumnFormula>IF(Y2&lt;=1,"🟢 Muy Cerca (0-1 km)",IF(Y2&lt;=3,"🟡 Cerca (1-3 km)",IF(Y2&lt;=5,"🟠 Moderada (3-5 km)","🔴 Lejos (&gt;5 km)")))</calculatedColumnFormula>
    </tableColumn>
    <tableColumn id="27" xr3:uid="{68B2344A-C56C-439C-8E91-151E5D2BA8BA}" name="RUTA PREFERIDA" dataDxfId="87"/>
    <tableColumn id="28" xr3:uid="{0C2BBD74-2410-4C1F-AC90-5FD1E7DDAF6A}" name="PARADERO PREFERIDO" dataDxfId="86"/>
    <tableColumn id="29" xr3:uid="{D5F6EF04-35C8-457E-8D7C-77D2E4C56500}" name="LAT-TRAB" dataDxfId="85"/>
    <tableColumn id="30" xr3:uid="{A0B7E7DF-AFF7-461C-B890-16339E645CFC}" name="LON-TRAB" dataDxfId="84"/>
    <tableColumn id="31" xr3:uid="{975376CD-AAB7-40C8-AF15-380AE62DB85B}" name="CLASIFICACION" dataDxfId="83">
      <calculatedColumnFormula>IFERROR(VLOOKUP(C2,tdcargo[],2,FALSE),"DESCONOCIDO")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2B7AF6-7D8E-4B75-AB1D-E746518BBCC9}" name="bdfrescos" displayName="bdfrescos" ref="A1:AK236" totalsRowShown="0" headerRowDxfId="82" dataDxfId="81">
  <autoFilter ref="A1:AK236" xr:uid="{452B7AF6-7D8E-4B75-AB1D-E746518BBCC9}"/>
  <tableColumns count="37">
    <tableColumn id="1" xr3:uid="{85B50D4F-94CD-4472-B3BF-301A47793158}" name="USERID" dataDxfId="80"/>
    <tableColumn id="2" xr3:uid="{8C0913D8-8453-4C0E-9CEA-98934D82517C}" name="Nombres" dataDxfId="79"/>
    <tableColumn id="3" xr3:uid="{2193FBD0-7833-4022-9777-319150B1B0B0}" name="Primer apellido" dataDxfId="78"/>
    <tableColumn id="4" xr3:uid="{64C3AC09-5418-4C03-94C7-CA8D724149CA}" name="Segundo apellido" dataDxfId="77"/>
    <tableColumn id="5" xr3:uid="{AB398C59-7AD1-4457-9CED-44DCFBE9E8D7}" name="Edad" dataDxfId="76"/>
    <tableColumn id="6" xr3:uid="{24251521-9B4A-4401-8A66-E7A92C6C7712}" name="Nombre de Ubicación" dataDxfId="75"/>
    <tableColumn id="7" xr3:uid="{1732A407-4D65-4334-A619-7E3398465B0E}" name="Código de Posición" dataDxfId="74"/>
    <tableColumn id="8" xr3:uid="{7AB82A31-92A4-4ADB-84BF-30107D308438}" name="Nombre de Posición" dataDxfId="73"/>
    <tableColumn id="9" xr3:uid="{1F609E28-C52B-4AF0-8A93-52AD284C41F1}" name="Fecha de ingreso" dataDxfId="72"/>
    <tableColumn id="10" xr3:uid="{F634FDDA-5E6B-474F-B9A4-CC709D6D13D4}" name="Estado de empleado" dataDxfId="71"/>
    <tableColumn id="11" xr3:uid="{A27494B5-C897-498B-9DFE-4BB096CB03DF}" name="Fecha de terminación" dataDxfId="70"/>
    <tableColumn id="12" xr3:uid="{E6667A30-5F27-4923-946F-DAA8EFF44805}" name="Jefe Directo" dataDxfId="69"/>
    <tableColumn id="13" xr3:uid="{97010A1E-1F70-4A22-9E58-9BFCF95CDA20}" name="Jefe Directo USERID" dataDxfId="68"/>
    <tableColumn id="14" xr3:uid="{E360943E-4865-4D95-9722-03694BF5414D}" name="Tipo de Vía" dataDxfId="67"/>
    <tableColumn id="15" xr3:uid="{945F7EAE-8ED9-4FC5-81A9-B5EAFD851A75}" name="Nombre de Vía" dataDxfId="66"/>
    <tableColumn id="16" xr3:uid="{C8B3C484-CB80-4436-AE7F-F0556426A738}" name="Tipo Zona" dataDxfId="65"/>
    <tableColumn id="17" xr3:uid="{D1402715-239A-40F1-ABE5-F0659D20E4A7}" name="Nombre de Zona" dataDxfId="64"/>
    <tableColumn id="18" xr3:uid="{41F75B98-A39D-461A-9518-A2383DE64CCB}" name="Código postal" dataDxfId="63"/>
    <tableColumn id="19" xr3:uid="{CC4ADF5E-A76F-4800-95F9-AA9F36DEDA30}" name="Departamento" dataDxfId="62"/>
    <tableColumn id="20" xr3:uid="{ACA2BE50-602C-4252-9D19-251365CABCAE}" name="Provincia" dataDxfId="61"/>
    <tableColumn id="21" xr3:uid="{5A9A7A12-FB72-4BAE-9621-967053623ED3}" name="Distrito" dataDxfId="60"/>
    <tableColumn id="22" xr3:uid="{5A329AF7-8F18-4123-A017-7CDC9F4F4739}" name="Fecha del evento" dataDxfId="59"/>
    <tableColumn id="23" xr3:uid="{4D42AD8B-B39F-46B0-B439-F191C35E7C20}" name="Ultima modificación por" dataDxfId="58"/>
    <tableColumn id="24" xr3:uid="{6AA3D3B2-B460-4645-BE16-B607294E277C}" name="DIRECCIÓN COMPLETA" dataDxfId="57">
      <calculatedColumnFormula>_xlfn.LET(_xlpm.parte1,TRIM(IF(OR(N2="Otros / No aplica",N2=""),"",N2&amp;" ")&amp;O2&amp;IF(AND(P2&lt;&gt;"",P2&lt;&gt;"Otros / No aplica"),", "&amp;P2,"")&amp;IF(AND(Q2&lt;&gt;"",Q2&lt;&gt;"Nd",Q2&lt;&gt;0,Q2&lt;&gt;"0")," "&amp;Q2,"")),_xlpm.parte2,U2&amp;", "&amp;T2&amp;", "&amp;S2&amp;", Perú",IF(LEFT(_xlpm.parte1,1)=",",TRIM(MID(_xlpm.parte1,2,255))&amp;", "&amp;_xlpm.parte2,IF(_xlpm.parte1="",_xlpm.parte2,_xlpm.parte1&amp;", "&amp;_xlpm.parte2)))</calculatedColumnFormula>
    </tableColumn>
    <tableColumn id="25" xr3:uid="{2D62CF67-D991-4D71-B984-C13ECAA1E233}" name="LATITUD" dataDxfId="56"/>
    <tableColumn id="26" xr3:uid="{6296D8A4-DB20-4511-BE7B-A30DC9F05C83}" name="LONGITUD" dataDxfId="55"/>
    <tableColumn id="27" xr3:uid="{9CB454BB-5011-41CD-BE16-CA978AB49A33}" name="DIST. AL CD (km)" dataDxfId="54">
      <calculatedColumnFormula>ROUND(6371*ACOS(COS(RADIANS(-11.997563))*COS(RADIANS(Y2))*COS(RADIANS(Z2)-RADIANS(-76.900062))+SIN(RADIANS(-11.997563))*SIN(RADIANS(Y2))),2)</calculatedColumnFormula>
    </tableColumn>
    <tableColumn id="28" xr3:uid="{3CE62E3C-2F47-4A30-8E5D-91C69A33D11C}" name="CLASIF. DIST. CD" dataDxfId="53">
      <calculatedColumnFormula>IF(AA2&lt;=5,"🟢 Muy Cerca (0-5 km)",IF(AA2&lt;=10,"🟡 Cerca (5-10 km)",IF(AA2&lt;=20,"🟠 Moderada (10-20 km)","🔴 Lejos (&gt;20 km)")))</calculatedColumnFormula>
    </tableColumn>
    <tableColumn id="29" xr3:uid="{F3663454-84B3-4433-91C7-1F38D3DB249E}" name="PARADERO MÁS CERCANO" dataDxfId="52">
      <calculatedColumnFormula array="1">INDEX(PARADEROS_VALIDOS!$C$2:$C$68,MATCH(MIN(6371*ACOS(COS(RADIANS(Y2))*COS(RADIANS(PARADEROS_VALIDOS!$E$2:$E$68))*COS(RADIANS(PARADEROS_VALIDOS!$F$2:$F$68)-RADIANS(Z2))+SIN(RADIANS(Y2))*SIN(RADIANS(PARADEROS_VALIDOS!$E$2:$E$68)))),6371*ACOS(COS(RADIANS(Y2))*COS(RADIANS(PARADEROS_VALIDOS!$E$2:$E$68))*COS(RADIANS(PARADEROS_VALIDOS!$F$2:$F$68)-RADIANS(Z2))+SIN(RADIANS(Y2))*SIN(RADIANS(PARADEROS_VALIDOS!$E$2:$E$68))),0))</calculatedColumnFormula>
    </tableColumn>
    <tableColumn id="30" xr3:uid="{2C3C762B-101E-46DE-A148-E22DB7B62193}" name="RUTA PARADERO" dataDxfId="51">
      <calculatedColumnFormula>IFERROR(INDEX(PARADEROS_VALIDOS!$A$2:$A$68,MATCH(AC2,PARADEROS_VALIDOS!$C$2:$C$68,0)),"")</calculatedColumnFormula>
    </tableColumn>
    <tableColumn id="31" xr3:uid="{76FC244D-6395-46CF-9B9F-5A36F0CAE8FF}" name="DIST. PARADERO (km)" dataDxfId="50">
      <calculatedColumnFormula array="1">ROUND(MIN(6371*ACOS(COS(RADIANS(Y2))*COS(RADIANS(PARADEROS_VALIDOS!$E$2:$E$68))*COS(RADIANS(PARADEROS_VALIDOS!$F$2:$F$68)-RADIANS(Z2))+SIN(RADIANS(Y2))*SIN(RADIANS(PARADEROS_VALIDOS!$E$2:$E$68)))),2)</calculatedColumnFormula>
    </tableColumn>
    <tableColumn id="32" xr3:uid="{410E3FD1-11AF-48B2-B011-C9F5442381AF}" name="CLASIF. DIST. PARADERO" dataDxfId="49">
      <calculatedColumnFormula>IF(AE2&lt;=1,"🟢 Muy Cerca (0-1 km)",IF(AE2&lt;=3,"🟡 Cerca (1-3 km)",IF(AE2&lt;=5,"🟠 Moderada (3-5 km)","🔴 Lejos (&gt;5 km)")))</calculatedColumnFormula>
    </tableColumn>
    <tableColumn id="33" xr3:uid="{A06836CB-C5ED-443C-B011-4BFFEBB8073F}" name="RUTA PREFERIDA" dataDxfId="48"/>
    <tableColumn id="34" xr3:uid="{8CC7CB3E-A1C2-4578-AAE1-D7DA6A88D80B}" name="PARADERO PREFERIDO" dataDxfId="47"/>
    <tableColumn id="35" xr3:uid="{FA69A956-FA08-4114-9376-D9489FDDC105}" name="LAT-TRAB" dataDxfId="46"/>
    <tableColumn id="36" xr3:uid="{85FEBF2D-4417-46E8-8DE6-2433C42D23EE}" name="LON-TRAB" dataDxfId="45"/>
    <tableColumn id="37" xr3:uid="{0B1D0156-A816-45D8-97FC-F0FFEA97D1E6}" name="CLASIFICACION" dataDxfId="44">
      <calculatedColumnFormula>IFERROR(VLOOKUP(H2,tdcargo[],2,FALSE),"DESCONOCIDO")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96E6D1-9523-4FD3-9C09-58E7B2AB6DE2}" name="bdppa" displayName="bdppa" ref="A1:AK386" totalsRowShown="0" headerRowDxfId="43" dataDxfId="42">
  <autoFilter ref="A1:AK386" xr:uid="{EE96E6D1-9523-4FD3-9C09-58E7B2AB6DE2}"/>
  <tableColumns count="37">
    <tableColumn id="1" xr3:uid="{F31AB29F-EE2F-478B-B0F0-B5F34A06289B}" name="USERID" dataDxfId="41"/>
    <tableColumn id="2" xr3:uid="{39A6C9DB-79BB-4B2F-AED9-BFC5FB8BB19A}" name="Nombres" dataDxfId="40"/>
    <tableColumn id="3" xr3:uid="{415BDFCB-AAD7-4EB5-83EE-EF8AF9FC3C71}" name="Primer apellido" dataDxfId="39"/>
    <tableColumn id="4" xr3:uid="{292EADA3-8EF0-4C3C-85DE-BA8B20C798B5}" name="Segundo apellido" dataDxfId="38"/>
    <tableColumn id="5" xr3:uid="{EFE19029-813D-4536-A2DD-D477C909CE89}" name="Edad" dataDxfId="37"/>
    <tableColumn id="6" xr3:uid="{6D635E0B-455C-41F3-8C22-748126095558}" name="Empresa contratante" dataDxfId="36"/>
    <tableColumn id="7" xr3:uid="{A26CB3CD-AB46-4C10-BD9F-845F779A10C7}" name="Nombre de Ubicación" dataDxfId="35"/>
    <tableColumn id="8" xr3:uid="{EA6DCD91-A81F-4D0B-ADF1-DB6AF6BF5B3A}" name="Código de Posición" dataDxfId="34"/>
    <tableColumn id="9" xr3:uid="{C28F6FF1-21F7-4944-AEEB-CFB8EA0EA732}" name="Nombre de Posición" dataDxfId="33"/>
    <tableColumn id="10" xr3:uid="{62BADDA8-9EC5-4769-9756-3E94C07B56E3}" name="Fecha de ingreso" dataDxfId="32"/>
    <tableColumn id="11" xr3:uid="{C71D5EA6-CBB9-45D1-9075-61C693B4E8AA}" name="Estado de empleado" dataDxfId="31"/>
    <tableColumn id="12" xr3:uid="{7F3534B9-2F11-4FFB-8589-4CC36C4EF49B}" name="Jefe Directo" dataDxfId="30"/>
    <tableColumn id="13" xr3:uid="{C86D6682-187D-41AC-8393-B15754CB9D84}" name="Jefe Directo USERID" dataDxfId="29"/>
    <tableColumn id="14" xr3:uid="{B65D706E-1E55-473B-A5DD-9D4C3519BCE2}" name="Tipo de Vía" dataDxfId="28"/>
    <tableColumn id="15" xr3:uid="{129B8CC4-6747-45AB-B18E-61C5B4FD1C0A}" name="Nombre de Vía" dataDxfId="27"/>
    <tableColumn id="16" xr3:uid="{F370C2A9-96BD-45E3-8D61-2D71F507AC7F}" name="Tipo Zona" dataDxfId="26"/>
    <tableColumn id="17" xr3:uid="{5A024398-32A8-4B8B-A561-7D84FD63F823}" name="Nombre de Zona" dataDxfId="25"/>
    <tableColumn id="18" xr3:uid="{4047AD1F-A2A6-4A06-A033-5C548D9873B4}" name="Código postal" dataDxfId="24"/>
    <tableColumn id="19" xr3:uid="{168B7DF3-CE65-4561-85FF-5879251BE839}" name="Departamento" dataDxfId="23"/>
    <tableColumn id="20" xr3:uid="{FE73E607-4E4A-44D5-9F99-F6BA7EE6D9C9}" name="Provincia" dataDxfId="22"/>
    <tableColumn id="21" xr3:uid="{05C0717F-F918-404A-9A33-09A5D97EDCBC}" name="Distrito" dataDxfId="21"/>
    <tableColumn id="22" xr3:uid="{84F6BE38-55AF-4BD1-B070-06A5EF913170}" name="Fecha del evento" dataDxfId="20"/>
    <tableColumn id="23" xr3:uid="{9D7A4057-A70C-4953-BBEF-FB14DFA20110}" name="Ultima modificación por" dataDxfId="19"/>
    <tableColumn id="24" xr3:uid="{4EC75FD2-226E-46E9-AA46-37C5424DEFE2}" name="DIRECCIÓN COMPLETA" dataDxfId="18">
      <calculatedColumnFormula>_xlfn.LET(_xlpm.parte1,TRIM(IF(OR(N2="Otros / No aplica",N2=""),"",N2&amp;" ")&amp;O2&amp;IF(AND(P2&lt;&gt;"",P2&lt;&gt;"Otros / No aplica"),", "&amp;P2,"")&amp;IF(AND(Q2&lt;&gt;"",Q2&lt;&gt;"Nd",Q2&lt;&gt;0,Q2&lt;&gt;"0")," "&amp;Q2,"")),_xlpm.parte2,U2&amp;", "&amp;T2&amp;", "&amp;S2&amp;", Perú",IF(LEFT(_xlpm.parte1,1)=",",TRIM(MID(_xlpm.parte1,2,255))&amp;", "&amp;_xlpm.parte2,IF(_xlpm.parte1="",_xlpm.parte2,_xlpm.parte1&amp;", "&amp;_xlpm.parte2)))</calculatedColumnFormula>
    </tableColumn>
    <tableColumn id="25" xr3:uid="{E6177BA9-506F-4364-A403-1D2A2A745470}" name="LATITUD" dataDxfId="17"/>
    <tableColumn id="26" xr3:uid="{07D365C1-AB57-4C8D-ACFB-057EC97A0A56}" name="LONGITUD" dataDxfId="16"/>
    <tableColumn id="27" xr3:uid="{F17FF60B-C8C4-42BA-A999-82AF2B473D7D}" name="DIST. AL CD (km)" dataDxfId="15">
      <calculatedColumnFormula>ROUND(6371*ACOS(COS(RADIANS(-11.997563))*COS(RADIANS(Y2))*COS(RADIANS(Z2)-RADIANS(-76.900062))+SIN(RADIANS(-11.997563))*SIN(RADIANS(Y2))),2)</calculatedColumnFormula>
    </tableColumn>
    <tableColumn id="28" xr3:uid="{21AEFA9F-AF1F-402F-9239-43341DC13709}" name="CLASIF. DIST. CD" dataDxfId="14">
      <calculatedColumnFormula>IF(AA2&lt;=5,"🟢 Muy Cerca (0-5 km)",IF(AA2&lt;=10,"🟡 Cerca (5-10 km)",IF(AA2&lt;=20,"🟠 Moderada (10-20 km)","🔴 Lejos (&gt;20 km)")))</calculatedColumnFormula>
    </tableColumn>
    <tableColumn id="29" xr3:uid="{03FF028E-77B0-4E27-9076-DC009E20408F}" name="PARADERO MÁS CERCANO" dataDxfId="13">
      <calculatedColumnFormula array="1">INDEX(PARADEROS_VALIDOS!$C$2:$C$68,MATCH(MIN(6371*ACOS(COS(RADIANS(Y2))*COS(RADIANS(PARADEROS_VALIDOS!$E$2:$E$68))*COS(RADIANS(PARADEROS_VALIDOS!$F$2:$F$68)-RADIANS(Z2))+SIN(RADIANS(Y2))*SIN(RADIANS(PARADEROS_VALIDOS!$E$2:$E$68)))),6371*ACOS(COS(RADIANS(Y2))*COS(RADIANS(PARADEROS_VALIDOS!$E$2:$E$68))*COS(RADIANS(PARADEROS_VALIDOS!$F$2:$F$68)-RADIANS(Z2))+SIN(RADIANS(Y2))*SIN(RADIANS(PARADEROS_VALIDOS!$E$2:$E$68))),0))</calculatedColumnFormula>
    </tableColumn>
    <tableColumn id="30" xr3:uid="{4D554B18-5574-4ED6-A9AD-F4C780C1B81D}" name="RUTA PARADERO" dataDxfId="12">
      <calculatedColumnFormula>IFERROR(INDEX(PARADEROS_VALIDOS!$A$2:$A$68,MATCH(AC2,PARADEROS_VALIDOS!$C$2:$C$68,0)),"")</calculatedColumnFormula>
    </tableColumn>
    <tableColumn id="31" xr3:uid="{05AD17B0-552A-4201-B687-6E9D7B443496}" name="DIST. PARADERO (km)" dataDxfId="11">
      <calculatedColumnFormula array="1">ROUND(MIN(6371*ACOS(COS(RADIANS(Y2))*COS(RADIANS(PARADEROS_VALIDOS!$E$2:$E$68))*COS(RADIANS(PARADEROS_VALIDOS!$F$2:$F$68)-RADIANS(Z2))+SIN(RADIANS(Y2))*SIN(RADIANS(PARADEROS_VALIDOS!$E$2:$E$68)))),2)</calculatedColumnFormula>
    </tableColumn>
    <tableColumn id="32" xr3:uid="{97D93F9C-3343-4BE9-8A33-1E999CA82569}" name="CLASIF. DIST. PARADERO" dataDxfId="10">
      <calculatedColumnFormula>IF(AE2&lt;=1,"🟢 Muy Cerca (0-1 km)",IF(AE2&lt;=3,"🟡 Cerca (1-3 km)",IF(AE2&lt;=5,"🟠 Moderada (3-5 km)","🔴 Lejos (&gt;5 km)")))</calculatedColumnFormula>
    </tableColumn>
    <tableColumn id="33" xr3:uid="{501B68DB-9838-446C-85DC-782AE153D686}" name="RUTA PREFERIDA" dataDxfId="9"/>
    <tableColumn id="34" xr3:uid="{AA7CBAC9-355F-4750-84D7-1610A7BD347B}" name="PARADERO PREFERIDO" dataDxfId="8"/>
    <tableColumn id="35" xr3:uid="{4E9ECC1E-22B0-4205-9800-5B67AC680237}" name="LAT-TRAB" dataDxfId="7"/>
    <tableColumn id="36" xr3:uid="{F4A89DA3-0E95-4427-B107-F78B1D946375}" name="LON-TRAB" dataDxfId="6"/>
    <tableColumn id="37" xr3:uid="{4556663F-4232-4AEA-8A71-6F68FFEE095A}" name="CLASIFICACION" dataDxfId="5">
      <calculatedColumnFormula>IFERROR(VLOOKUP(I2,tdcargo[],2,FALSE),"DESCONOCIDO")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155AF82-508B-4A5B-BCB5-C1F19047D482}" name="tdcargo" displayName="tdcargo" ref="E2:F108" totalsRowShown="0" headerRowDxfId="4">
  <autoFilter ref="E2:F108" xr:uid="{B155AF82-508B-4A5B-BCB5-C1F19047D482}"/>
  <sortState xmlns:xlrd2="http://schemas.microsoft.com/office/spreadsheetml/2017/richdata2" ref="E3:F79">
    <sortCondition ref="E1:E86"/>
  </sortState>
  <tableColumns count="2">
    <tableColumn id="1" xr3:uid="{10D20DC6-577F-43DE-87FF-059ABA03FEB4}" name="CARGO" dataDxfId="3"/>
    <tableColumn id="2" xr3:uid="{867F4656-BDEB-4594-A783-C55B9529184C}" name="TIP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EF4FC-7CDB-4E6B-8711-9BDBF766B68A}">
  <dimension ref="A1:O132"/>
  <sheetViews>
    <sheetView tabSelected="1" zoomScale="85" zoomScaleNormal="85" workbookViewId="0">
      <pane ySplit="12" topLeftCell="A13" activePane="bottomLeft" state="frozen"/>
      <selection pane="bottomLeft" activeCell="G11" sqref="G11"/>
    </sheetView>
  </sheetViews>
  <sheetFormatPr baseColWidth="10" defaultRowHeight="14.5" x14ac:dyDescent="0.35"/>
  <cols>
    <col min="1" max="1" width="32.81640625" bestFit="1" customWidth="1"/>
    <col min="2" max="2" width="19.90625" bestFit="1" customWidth="1"/>
    <col min="3" max="3" width="14.26953125" bestFit="1" customWidth="1"/>
    <col min="4" max="4" width="21.26953125" bestFit="1" customWidth="1"/>
    <col min="5" max="5" width="21.90625" bestFit="1" customWidth="1"/>
    <col min="6" max="6" width="13.6328125" bestFit="1" customWidth="1"/>
    <col min="7" max="7" width="18.08984375" customWidth="1"/>
    <col min="8" max="8" width="19" customWidth="1"/>
    <col min="9" max="9" width="17.81640625" bestFit="1" customWidth="1"/>
    <col min="10" max="10" width="19.1796875" bestFit="1" customWidth="1"/>
    <col min="11" max="11" width="3.08984375" bestFit="1" customWidth="1"/>
    <col min="12" max="12" width="19.7265625" bestFit="1" customWidth="1"/>
    <col min="13" max="13" width="7.7265625" bestFit="1" customWidth="1"/>
    <col min="14" max="14" width="10.1796875" bestFit="1" customWidth="1"/>
    <col min="15" max="15" width="6.90625" bestFit="1" customWidth="1"/>
    <col min="17" max="18" width="10.90625" customWidth="1"/>
    <col min="19" max="19" width="20.08984375" customWidth="1"/>
    <col min="20" max="20" width="10.453125" customWidth="1"/>
    <col min="21" max="21" width="67" customWidth="1"/>
    <col min="22" max="22" width="10.08984375" customWidth="1"/>
    <col min="23" max="23" width="3.81640625" customWidth="1"/>
    <col min="24" max="24" width="18.08984375" customWidth="1"/>
    <col min="25" max="25" width="19.90625" bestFit="1" customWidth="1"/>
    <col min="26" max="26" width="7" customWidth="1"/>
    <col min="27" max="27" width="19.81640625" bestFit="1" customWidth="1"/>
    <col min="28" max="28" width="4.90625" bestFit="1" customWidth="1"/>
    <col min="29" max="29" width="10.08984375" bestFit="1" customWidth="1"/>
    <col min="30" max="30" width="20.08984375" bestFit="1" customWidth="1"/>
    <col min="31" max="31" width="10.08984375" bestFit="1" customWidth="1"/>
    <col min="33" max="33" width="10.54296875" bestFit="1" customWidth="1"/>
    <col min="34" max="34" width="14.6328125" bestFit="1" customWidth="1"/>
  </cols>
  <sheetData>
    <row r="1" spans="1:15" ht="35" customHeight="1" x14ac:dyDescent="0.35">
      <c r="A1" s="204" t="s">
        <v>4756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</row>
    <row r="2" spans="1:15" ht="16" x14ac:dyDescent="0.35">
      <c r="A2" s="206" t="s">
        <v>4561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</row>
    <row r="3" spans="1:15" hidden="1" x14ac:dyDescent="0.35"/>
    <row r="4" spans="1:15" ht="18.5" x14ac:dyDescent="0.45">
      <c r="A4" s="170" t="s">
        <v>4560</v>
      </c>
      <c r="B4" s="66" t="s">
        <v>4701</v>
      </c>
      <c r="C4" s="64"/>
      <c r="D4" s="66" t="s">
        <v>4540</v>
      </c>
      <c r="G4" s="132" t="str">
        <f>IF(B8=0,"⚠️ No hay empleados para: "&amp;B4&amp;" | "&amp;D4,"ÁREA: "&amp;B4&amp;" | TIPO: "&amp;D4&amp;"")</f>
        <v>ÁREA: TODOS | TIPO: STAFF</v>
      </c>
    </row>
    <row r="6" spans="1:15" ht="16" x14ac:dyDescent="0.35">
      <c r="A6" s="207" t="s">
        <v>4456</v>
      </c>
      <c r="B6" s="208"/>
      <c r="D6" s="209" t="s">
        <v>4459</v>
      </c>
      <c r="E6" s="208"/>
      <c r="F6" s="208"/>
      <c r="H6" s="210" t="s">
        <v>4371</v>
      </c>
      <c r="I6" s="208"/>
      <c r="J6" s="208"/>
    </row>
    <row r="7" spans="1:15" x14ac:dyDescent="0.35">
      <c r="A7" s="130" t="s">
        <v>4365</v>
      </c>
      <c r="B7" s="130" t="s">
        <v>4366</v>
      </c>
      <c r="D7" s="131" t="s">
        <v>3248</v>
      </c>
      <c r="E7" s="130" t="s">
        <v>3242</v>
      </c>
      <c r="F7" s="130" t="s">
        <v>3249</v>
      </c>
      <c r="H7" s="130" t="s">
        <v>3248</v>
      </c>
      <c r="I7" s="130" t="s">
        <v>3242</v>
      </c>
      <c r="J7" s="130" t="s">
        <v>3249</v>
      </c>
    </row>
    <row r="8" spans="1:15" x14ac:dyDescent="0.35">
      <c r="A8" s="36" t="s">
        <v>4367</v>
      </c>
      <c r="B8" s="143">
        <f>IF($D$4="TODOS",
            IF($B$4="TODOS",COUNTA('BD SECOS'!A:A)+COUNTA('BD PPA'!A:A)+COUNTA('BD FRESCOS'!A:A)-3,
                IF($B$4="SECOS",COUNTA('BD SECOS'!A:A)-1,
                    IF($B$4="PPA",COUNTA('BD PPA'!A:A)-1,COUNTA('BD FRESCOS'!A:A)-1))),
            IF($B$4="TODOS",
                COUNTIF('BD SECOS'!AE:AE,$D$4)+COUNTIF('BD PPA'!AK:AK,$D$4)+COUNTIF('BD FRESCOS'!AK:AK,$D$4),
                IF($B$4="SECOS",COUNTIF('BD SECOS'!AE:AE,$D$4),
                    IF($B$4="PPA",COUNTIF('BD PPA'!AK:AK,$D$4),COUNTIF('BD FRESCOS'!AK:AK,$D$4)))))</f>
        <v>153</v>
      </c>
      <c r="D8" t="s">
        <v>3244</v>
      </c>
      <c r="E8" s="38">
        <f>IF($D$4="TODOS",
            IF($B$4="TODOS",COUNTIF('BD SECOS'!V:V,"*Muy Cerca*")+COUNTIF('BD PPA'!AB:AB,"*Muy Cerca*")+COUNTIF('BD FRESCOS'!AB:AB,"*Muy Cerca*"),
                IF($B$4="SECOS",COUNTIF('BD SECOS'!V:V,"*Muy Cerca*"),
                    IF($B$4="PPA",COUNTIF('BD PPA'!AB:AB,"*Muy Cerca*"),COUNTIF('BD FRESCOS'!AB:AB,"*Muy Cerca*")))),
            IF($B$4="TODOS",
                COUNTIFS('BD SECOS'!V:V,"*Muy Cerca*",'BD SECOS'!AE:AE,$D$4)+COUNTIFS('BD PPA'!AB:AB,"*Muy Cerca*",'BD PPA'!AK:AK,$D$4)+COUNTIFS('BD FRESCOS'!AB:AB,"*Muy Cerca*",'BD FRESCOS'!AK:AK,$D$4),
                IF($B$4="SECOS",COUNTIFS('BD SECOS'!V:V,"*Muy Cerca*",'BD SECOS'!AE:AE,$D$4),
                    IF($B$4="PPA",COUNTIFS('BD PPA'!AB:AB,"*Muy Cerca*",'BD PPA'!AK:AK,$D$4),COUNTIFS('BD FRESCOS'!AB:AB,"*Muy Cerca*",'BD FRESCOS'!AK:AK,$D$4)))))</f>
        <v>18</v>
      </c>
      <c r="F8" s="47">
        <f>IFERROR(IF($B$8=0,0,E8/$B$8),0)</f>
        <v>0.11764705882352941</v>
      </c>
      <c r="H8" t="s">
        <v>4364</v>
      </c>
      <c r="I8" s="38">
        <f>IF($D$4="TODOS",
            IF($B$4="TODOS",COUNTIF('BD SECOS'!Z:Z,"*Muy Cerca*")+COUNTIF('BD PPA'!AF:AF,"*Muy Cerca*")+COUNTIF('BD FRESCOS'!AF:AF,"*Muy Cerca*"),
                IF($B$4="SECOS",COUNTIF('BD SECOS'!Z:Z,"*Muy Cerca*"),
                    IF($B$4="PPA",COUNTIF('BD PPA'!AF:AF,"*Muy Cerca*"),COUNTIF('BD FRESCOS'!AF:AF,"*Muy Cerca*")))),
            IF($B$4="TODOS",
                COUNTIFS('BD SECOS'!Z:Z,"*Muy Cerca*",'BD SECOS'!AE:AE,$D$4)+COUNTIFS('BD PPA'!AF:AF,"*Muy Cerca*",'BD PPA'!AK:AK,$D$4)+COUNTIFS('BD FRESCOS'!AF:AF,"*Muy Cerca*",'BD FRESCOS'!AK:AK,$D$4),
                IF($B$4="SECOS",COUNTIFS('BD SECOS'!Z:Z,"*Muy Cerca*",'BD SECOS'!AE:AE,$D$4),
                    IF($B$4="PPA",COUNTIFS('BD PPA'!AF:AF,"*Muy Cerca*",'BD PPA'!AK:AK,$D$4),COUNTIFS('BD FRESCOS'!AF:AF,"*Muy Cerca*",'BD FRESCOS'!AK:AK,$D$4)))))</f>
        <v>57</v>
      </c>
      <c r="J8" s="65">
        <f>IFERROR(IF($B$8=0,0,I8/$B$8),0)</f>
        <v>0.37254901960784315</v>
      </c>
    </row>
    <row r="9" spans="1:15" x14ac:dyDescent="0.35">
      <c r="A9" s="36" t="s">
        <v>4368</v>
      </c>
      <c r="B9" s="143" cm="1">
        <f t="array" ref="B9">IFERROR(IF($D$4="TODOS",IF($B$4="TODOS",ROWS(_xlfn.UNIQUE(_xlfn.VSTACK('BD SECOS'!Q2:Q455,'BD PPA'!U2:U386,'BD FRESCOS'!U2:U236))),IF($B$4="SECOS",SUMPRODUCT(1/COUNTIF('BD SECOS'!Q2:Q455,'BD SECOS'!Q2:Q455)),IF($B$4="PPA",SUMPRODUCT(1/COUNTIF('BD PPA'!U2:U386,'BD PPA'!U2:U386)),SUMPRODUCT(1/COUNTIF('BD FRESCOS'!U2:U236,'BD FRESCOS'!U2:U236))))),IF($B$4="TODOS",ROWS(_xlfn.UNIQUE(_xlfn._xlws.FILTER(_xlfn.VSTACK('BD SECOS'!Q2:Q455,'BD PPA'!U2:U386,'BD FRESCOS'!U2:U236),_xlfn.VSTACK('BD SECOS'!AE2:AE455,'BD PPA'!AK2:AK386,'BD FRESCOS'!AK2:AK236)=$D$4))),IF($B$4="SECOS",ROWS(_xlfn.UNIQUE(_xlfn._xlws.FILTER('BD SECOS'!Q2:Q455,'BD SECOS'!AE2:AE455=$D$4))),IF($B$4="PPA",ROWS(_xlfn.UNIQUE(_xlfn._xlws.FILTER('BD PPA'!U2:U386,'BD PPA'!AK2:AK386=$D$4))),ROWS(_xlfn.UNIQUE(_xlfn._xlws.FILTER('BD FRESCOS'!U2:U236,'BD FRESCOS'!AK2:AK236=$D$4))))))),0)</f>
        <v>33</v>
      </c>
      <c r="D9" t="s">
        <v>3246</v>
      </c>
      <c r="E9" s="38">
        <f>IF($D$4="TODOS",
            IF($B$4="TODOS",COUNTIF('BD SECOS'!V:V,"*Cerca (5*")+COUNTIF('BD PPA'!AB:AB,"*Cerca (5*")+COUNTIF('BD FRESCOS'!AB:AB,"*Cerca (5*"),
                IF($B$4="SECOS",COUNTIF('BD SECOS'!V:V,"*Cerca (5*"),
                    IF($B$4="PPA",COUNTIF('BD PPA'!AB:AB,"*Cerca (5*"),COUNTIF('BD FRESCOS'!AB:AB,"*Cerca (5*")))),
            IF($B$4="TODOS",
                COUNTIFS('BD SECOS'!V:V,"*Cerca (5*",'BD SECOS'!AE:AE,$D$4)+COUNTIFS('BD PPA'!AB:AB,"*Cerca (5*",'BD PPA'!AK:AK,$D$4)+COUNTIFS('BD FRESCOS'!AB:AB,"*Cerca (5*",'BD FRESCOS'!AK:AK,$D$4),
                IF($B$4="SECOS",COUNTIFS('BD SECOS'!V:V,"*Cerca (5*",'BD SECOS'!AE:AE,$D$4),
                    IF($B$4="PPA",COUNTIFS('BD PPA'!AB:AB,"*Cerca (5*",'BD PPA'!AK:AK,$D$4),COUNTIFS('BD FRESCOS'!AB:AB,"*Cerca (5*",'BD FRESCOS'!AK:AK,$D$4)))))</f>
        <v>30</v>
      </c>
      <c r="F9" s="47">
        <f>IFERROR(IF($B$8=0,0,E9/$B$8),0)</f>
        <v>0.19607843137254902</v>
      </c>
      <c r="H9" t="s">
        <v>4362</v>
      </c>
      <c r="I9" s="38">
        <f>IF($D$4="TODOS",
            IF($B$4="TODOS",COUNTIF('BD SECOS'!Z:Z,"*Cerca (1*")+COUNTIF('BD PPA'!AF:AF,"*Cerca (1*")+COUNTIF('BD FRESCOS'!AF:AF,"*Cerca (1*"),
                IF($B$4="SECOS",COUNTIF('BD SECOS'!Z:Z,"*Cerca (1*"),
                    IF($B$4="PPA",COUNTIF('BD PPA'!AF:AF,"*Cerca (1*"),COUNTIF('BD FRESCOS'!AF:AF,"*Cerca (1*")))),
            IF($B$4="TODOS",
                COUNTIFS('BD SECOS'!Z:Z,"*Cerca (1*",'BD SECOS'!AE:AE,$D$4)+COUNTIFS('BD PPA'!AF:AF,"*Cerca (1*",'BD PPA'!AK:AK,$D$4)+COUNTIFS('BD FRESCOS'!AF:AF,"*Cerca (1*",'BD FRESCOS'!AK:AK,$D$4),
                IF($B$4="SECOS",COUNTIFS('BD SECOS'!Z:Z,"*Cerca (1*",'BD SECOS'!AE:AE,$D$4),
                    IF($B$4="PPA",COUNTIFS('BD PPA'!AF:AF,"*Cerca (1*",'BD PPA'!AK:AK,$D$4),COUNTIFS('BD FRESCOS'!AF:AF,"*Cerca (1*",'BD FRESCOS'!AK:AK,$D$4)))))</f>
        <v>70</v>
      </c>
      <c r="J9" s="65">
        <f>IFERROR(IF($B$8=0,0,I9/$B$8),0)</f>
        <v>0.45751633986928103</v>
      </c>
    </row>
    <row r="10" spans="1:15" x14ac:dyDescent="0.35">
      <c r="A10" s="36" t="s">
        <v>4369</v>
      </c>
      <c r="B10" s="142" cm="1">
        <f t="array" ref="B10">IFERROR(IF($D$4="TODOS",IF($B$4="TODOS",AVERAGE('BD SECOS'!U2:U455,'BD PPA'!AA2:AA386,'BD FRESCOS'!AA2:AA236),IF($B$4="SECOS",AVERAGE('BD SECOS'!U2:U455),IF($B$4="PPA",AVERAGE('BD PPA'!AA2:AA386),AVERAGE('BD FRESCOS'!AA2:AA236)))),IF($B$4="TODOS",(SUMPRODUCT(('BD SECOS'!AE2:AE455=$D$4)*'BD SECOS'!U2:U455)+SUMPRODUCT(('BD PPA'!AK2:AK386=$D$4)*'BD PPA'!AA2:AA386)+SUMPRODUCT(('BD FRESCOS'!AK2:AK236=$D$4)*'BD FRESCOS'!AA2:AA236))/(COUNTIF('BD SECOS'!AE2:AE455,$D$4)+COUNTIF('BD PPA'!AK2:AK386,$D$4)+COUNTIF('BD FRESCOS'!AK2:AK236,$D$4)),IF($B$4="SECOS",AVERAGEIF('BD SECOS'!AE2:AE455,$D$4,'BD SECOS'!U2:U455),IF($B$4="PPA",AVERAGEIF('BD PPA'!AK2:AK386,$D$4,'BD PPA'!AA2:AA386),AVERAGEIF('BD FRESCOS'!AK2:AK236,$D$4,'BD FRESCOS'!AA2:AA236))))),"N/A")</f>
        <v>13.941503267973857</v>
      </c>
      <c r="D10" t="s">
        <v>3245</v>
      </c>
      <c r="E10" s="38">
        <f>IF($D$4="TODOS",
            IF($B$4="TODOS",COUNTIF('BD SECOS'!V:V,"*Moderada*")+COUNTIF('BD PPA'!AB:AB,"*Moderada*")+COUNTIF('BD FRESCOS'!AB:AB,"*Moderada*"),
                IF($B$4="SECOS",COUNTIF('BD SECOS'!V:V,"*Moderada*"),
                    IF($B$4="PPA",COUNTIF('BD PPA'!AB:AB,"*Moderada*"),COUNTIF('BD FRESCOS'!AB:AB,"*Moderada*")))),
            IF($B$4="TODOS",
                COUNTIFS('BD SECOS'!V:V,"*Moderada*",'BD SECOS'!AE:AE,$D$4)+COUNTIFS('BD PPA'!AB:AB,"*Moderada*",'BD PPA'!AK:AK,$D$4)+COUNTIFS('BD FRESCOS'!AB:AB,"*Moderada*",'BD FRESCOS'!AK:AK,$D$4),
                IF($B$4="SECOS",COUNTIFS('BD SECOS'!V:V,"*Moderada*",'BD SECOS'!AE:AE,$D$4),
                    IF($B$4="PPA",COUNTIFS('BD PPA'!AB:AB,"*Moderada*",'BD PPA'!AK:AK,$D$4),COUNTIFS('BD FRESCOS'!AB:AB,"*Moderada*",'BD FRESCOS'!AK:AK,$D$4)))))</f>
        <v>72</v>
      </c>
      <c r="F10" s="47">
        <f>IFERROR(IF($B$8=0,0,E10/$B$8),0)</f>
        <v>0.47058823529411764</v>
      </c>
      <c r="H10" t="s">
        <v>4361</v>
      </c>
      <c r="I10" s="38">
        <f>IF($D$4="TODOS",
            IF($B$4="TODOS",COUNTIF('BD SECOS'!Z:Z,"*Moderada*")+COUNTIF('BD PPA'!AF:AF,"*Moderada*")+COUNTIF('BD FRESCOS'!AF:AF,"*Moderada*"),
                IF($B$4="SECOS",COUNTIF('BD SECOS'!Z:Z,"*Moderada*"),
                    IF($B$4="PPA",COUNTIF('BD PPA'!AF:AF,"*Moderada*"),COUNTIF('BD FRESCOS'!AF:AF,"*Moderada*")))),
            IF($B$4="TODOS",
                COUNTIFS('BD SECOS'!Z:Z,"*Moderada*",'BD SECOS'!AE:AE,$D$4)+COUNTIFS('BD PPA'!AF:AF,"*Moderada*",'BD PPA'!AK:AK,$D$4)+COUNTIFS('BD FRESCOS'!AF:AF,"*Moderada*",'BD FRESCOS'!AK:AK,$D$4),
                IF($B$4="SECOS",COUNTIFS('BD SECOS'!Z:Z,"*Moderada*",'BD SECOS'!AE:AE,$D$4),
                    IF($B$4="PPA",COUNTIFS('BD PPA'!AF:AF,"*Moderada*",'BD PPA'!AK:AK,$D$4),COUNTIFS('BD FRESCOS'!AF:AF,"*Moderada*",'BD FRESCOS'!AK:AK,$D$4)))))</f>
        <v>15</v>
      </c>
      <c r="J10" s="65">
        <f>IFERROR(IF($B$8=0,0,I10/$B$8),0)</f>
        <v>9.8039215686274508E-2</v>
      </c>
    </row>
    <row r="11" spans="1:15" x14ac:dyDescent="0.35">
      <c r="A11" s="36" t="s">
        <v>4370</v>
      </c>
      <c r="B11" s="142" cm="1">
        <f t="array" ref="B11">IFERROR(IF($D$4="TODOS",IF($B$4="TODOS",AVERAGE('BD SECOS'!Y2:Y455,'BD PPA'!AE2:AE386,'BD FRESCOS'!AE2:AE236),IF($B$4="SECOS",AVERAGE('BD SECOS'!Y2:Y455),IF($B$4="PPA",AVERAGE('BD PPA'!AE2:AE386),AVERAGE('BD FRESCOS'!AE2:AE236)))),IF($B$4="TODOS",(SUMPRODUCT(('BD SECOS'!AE2:AE455=$D$4)*'BD SECOS'!Y2:Y455)+SUMPRODUCT(('BD PPA'!AK2:AK386=$D$4)*'BD PPA'!AE2:AE386)+SUMPRODUCT(('BD FRESCOS'!AK2:AK236=$D$4)*'BD FRESCOS'!AE2:AE236))/(COUNTIF('BD SECOS'!AE2:AE455,$D$4)+COUNTIF('BD PPA'!AK2:AK386,$D$4)+COUNTIF('BD FRESCOS'!AK2:AK236,$D$4)),IF($B$4="SECOS",AVERAGEIF('BD SECOS'!AE2:AE455,$D$4,'BD SECOS'!Y2:Y455),IF($B$4="PPA",AVERAGEIF('BD PPA'!AK2:AK386,$D$4,'BD PPA'!AE2:AE386),AVERAGEIF('BD FRESCOS'!AK2:AK236,$D$4,'BD FRESCOS'!AE2:AE236))))),"N/A")</f>
        <v>1.9980392156862747</v>
      </c>
      <c r="D11" t="s">
        <v>3247</v>
      </c>
      <c r="E11" s="38">
        <f>IF($D$4="TODOS",
            IF($B$4="TODOS",COUNTIF('BD SECOS'!V:V,"*Lejos*")+COUNTIF('BD PPA'!AB:AB,"*Lejos*")+COUNTIF('BD FRESCOS'!AB:AB,"*Lejos*"),
                IF($B$4="SECOS",COUNTIF('BD SECOS'!V:V,"*Lejos*"),
                    IF($B$4="PPA",COUNTIF('BD PPA'!AB:AB,"*Lejos*"),COUNTIF('BD FRESCOS'!AB:AB,"*Lejos*")))),
            IF($B$4="TODOS",
                COUNTIFS('BD SECOS'!V:V,"*Lejos*",'BD SECOS'!AE:AE,$D$4)+COUNTIFS('BD PPA'!AB:AB,"*Lejos*",'BD PPA'!AK:AK,$D$4)+COUNTIFS('BD FRESCOS'!AB:AB,"*Lejos*",'BD FRESCOS'!AK:AK,$D$4),
                IF($B$4="SECOS",COUNTIFS('BD SECOS'!V:V,"*Lejos*",'BD SECOS'!AE:AE,$D$4),
                    IF($B$4="PPA",COUNTIFS('BD PPA'!AB:AB,"*Lejos*",'BD PPA'!AK:AK,$D$4),COUNTIFS('BD FRESCOS'!AB:AB,"*Lejos*",'BD FRESCOS'!AK:AK,$D$4)))))</f>
        <v>33</v>
      </c>
      <c r="F11" s="47">
        <f>IFERROR(IF($B$8=0,0,E11/$B$8),0)</f>
        <v>0.21568627450980393</v>
      </c>
      <c r="H11" t="s">
        <v>4363</v>
      </c>
      <c r="I11" s="38">
        <f>IF($D$4="TODOS",
            IF($B$4="TODOS",COUNTIF('BD SECOS'!Z:Z,"*Lejos*")+COUNTIF('BD PPA'!AF:AF,"*Lejos*")+COUNTIF('BD FRESCOS'!AF:AF,"*Lejos*"),
                IF($B$4="SECOS",COUNTIF('BD SECOS'!Z:Z,"*Lejos*"),
                    IF($B$4="PPA",COUNTIF('BD PPA'!AF:AF,"*Lejos*"),COUNTIF('BD FRESCOS'!AF:AF,"*Lejos*")))),
            IF($B$4="TODOS",
                COUNTIFS('BD SECOS'!Z:Z,"*Lejos*",'BD SECOS'!AE:AE,$D$4)+COUNTIFS('BD PPA'!AF:AF,"*Lejos*",'BD PPA'!AK:AK,$D$4)+COUNTIFS('BD FRESCOS'!AF:AF,"*Lejos*",'BD FRESCOS'!AK:AK,$D$4),
                IF($B$4="SECOS",COUNTIFS('BD SECOS'!Z:Z,"*Lejos*",'BD SECOS'!AE:AE,$D$4),
                    IF($B$4="PPA",COUNTIFS('BD PPA'!AF:AF,"*Lejos*",'BD PPA'!AK:AK,$D$4),COUNTIFS('BD FRESCOS'!AF:AF,"*Lejos*",'BD FRESCOS'!AK:AK,$D$4)))))</f>
        <v>11</v>
      </c>
      <c r="J11" s="65">
        <f>IFERROR(IF($B$8=0,0,I11/$B$8),0)</f>
        <v>7.1895424836601302E-2</v>
      </c>
    </row>
    <row r="12" spans="1:15" x14ac:dyDescent="0.35">
      <c r="A12" s="36" t="s">
        <v>4644</v>
      </c>
      <c r="B12" s="143">
        <f>COUNTIF($W$98:$W$111,"&gt;0")</f>
        <v>0</v>
      </c>
    </row>
    <row r="17" spans="1:15" x14ac:dyDescent="0.35">
      <c r="A17" s="214" t="s">
        <v>4559</v>
      </c>
      <c r="B17" s="215"/>
      <c r="C17" s="215"/>
      <c r="D17" s="216"/>
      <c r="F17" s="211" t="s">
        <v>4536</v>
      </c>
      <c r="G17" s="212"/>
      <c r="H17" s="212"/>
      <c r="I17" s="213"/>
      <c r="K17" s="217" t="s">
        <v>4373</v>
      </c>
      <c r="L17" s="218"/>
      <c r="M17" s="218"/>
      <c r="N17" s="218"/>
      <c r="O17" s="219"/>
    </row>
    <row r="18" spans="1:15" x14ac:dyDescent="0.35">
      <c r="A18" s="138" t="s">
        <v>3243</v>
      </c>
      <c r="B18" s="139" t="s">
        <v>21</v>
      </c>
      <c r="C18" s="139" t="s">
        <v>3242</v>
      </c>
      <c r="D18" s="140" t="s">
        <v>3249</v>
      </c>
      <c r="F18" s="133" t="s">
        <v>3243</v>
      </c>
      <c r="G18" s="133" t="s">
        <v>4234</v>
      </c>
      <c r="H18" s="133" t="s">
        <v>3242</v>
      </c>
      <c r="I18" s="133" t="s">
        <v>4372</v>
      </c>
      <c r="K18" s="134" t="s">
        <v>3243</v>
      </c>
      <c r="L18" s="134" t="s">
        <v>4236</v>
      </c>
      <c r="M18" s="134" t="s">
        <v>4234</v>
      </c>
      <c r="N18" s="134" t="s">
        <v>3242</v>
      </c>
      <c r="O18" s="134" t="s">
        <v>4372</v>
      </c>
    </row>
    <row r="19" spans="1:15" x14ac:dyDescent="0.35">
      <c r="A19" s="135">
        <v>1</v>
      </c>
      <c r="B19" s="136" t="str">
        <f>IFERROR(INDEX(Distritos!$H$7:$H$51,MATCH(SMALL(Distritos!$J$7:$J$51,1),Distritos!$J$7:$J$51,0)),"")</f>
        <v>Ate</v>
      </c>
      <c r="C19" s="137">
        <f>IFERROR(INDEX(Distritos!$I$7:$I$51,MATCH(SMALL(Distritos!$J$7:$J$51,1),Distritos!$J$7:$J$51,0)),0)</f>
        <v>25</v>
      </c>
      <c r="D19" s="141">
        <f t="shared" ref="D19:D28" si="0">IFERROR(IF(OR($B$8=0,C19="",C19=0),0,C19/$B$8),0)</f>
        <v>0.16339869281045752</v>
      </c>
      <c r="F19" s="135">
        <v>1</v>
      </c>
      <c r="G19" s="136" t="str">
        <f>IFERROR(INDEX(Distritos!$L$7:$L$20,MATCH(SMALL(Distritos!$N$7:$N$20,1),Distritos!$N$7:$N$20,0)),"")</f>
        <v>RUTA 7</v>
      </c>
      <c r="H19" s="137">
        <f>IFERROR(INDEX(Distritos!$M$7:$M$20,MATCH(SMALL(Distritos!$N$7:$N$20,1),Distritos!$N$7:$N$20,0)),0)</f>
        <v>29</v>
      </c>
      <c r="I19" s="141">
        <f t="shared" ref="I19:I32" si="1">IFERROR(IF(OR($B$8=0,H19="",H19=0),0,H19/$B$8),0)</f>
        <v>0.18954248366013071</v>
      </c>
      <c r="K19" s="135">
        <v>1</v>
      </c>
      <c r="L19" s="136" t="str">
        <f>IFERROR(INDEX(Distritos!$O$7:$O$46,MATCH(SMALL(Distritos!$R$7:$R$46,1),Distritos!$R$7:$R$46,0)),"")</f>
        <v>Paradero Arco San Antonio</v>
      </c>
      <c r="M19" s="137" t="str">
        <f>IFERROR(INDEX(Distritos!$P$7:$P$46,MATCH(SMALL(Distritos!$R$7:$R$46,1),Distritos!$R$7:$R$46,0)),"")</f>
        <v>RUTA 2</v>
      </c>
      <c r="N19" s="137">
        <f>IFERROR(INDEX(Distritos!$Q$7:$Q$46,MATCH(SMALL(Distritos!$R$7:$R$46,1),Distritos!$R$7:$R$46,0)),0)</f>
        <v>8</v>
      </c>
      <c r="O19" s="141">
        <f t="shared" ref="O19:O28" si="2">IFERROR(IF(OR($B$8=0,N19="",N19=0),0,N19/$B$8),0)</f>
        <v>5.2287581699346407E-2</v>
      </c>
    </row>
    <row r="20" spans="1:15" x14ac:dyDescent="0.35">
      <c r="A20" s="135">
        <v>2</v>
      </c>
      <c r="B20" s="136" t="str">
        <f>IFERROR(INDEX(Distritos!$H$7:$H$51,MATCH(SMALL(Distritos!$J$7:$J$51,2),Distritos!$J$7:$J$51,0)),"")</f>
        <v>San Juan De Lurigancho</v>
      </c>
      <c r="C20" s="137">
        <f>IFERROR(INDEX(Distritos!$I$7:$I$51,MATCH(SMALL(Distritos!$J$7:$J$51,2),Distritos!$J$7:$J$51,0)),0)</f>
        <v>22</v>
      </c>
      <c r="D20" s="141">
        <f t="shared" si="0"/>
        <v>0.1437908496732026</v>
      </c>
      <c r="F20" s="135">
        <v>2</v>
      </c>
      <c r="G20" s="136" t="str">
        <f>IFERROR(INDEX(Distritos!$L$7:$L$20,MATCH(SMALL(Distritos!$N$7:$N$20,2),Distritos!$N$7:$N$20,0)),"")</f>
        <v>RUTA 4A</v>
      </c>
      <c r="H20" s="137">
        <f>IFERROR(INDEX(Distritos!$M$7:$M$20,MATCH(SMALL(Distritos!$N$7:$N$20,2),Distritos!$N$7:$N$20,0)),0)</f>
        <v>18</v>
      </c>
      <c r="I20" s="141">
        <f t="shared" si="1"/>
        <v>0.11764705882352941</v>
      </c>
      <c r="K20" s="135">
        <v>2</v>
      </c>
      <c r="L20" s="136" t="str">
        <f>IFERROR(INDEX(Distritos!$O$7:$O$46,MATCH(SMALL(Distritos!$R$7:$R$46,2),Distritos!$R$7:$R$46,0)),"")</f>
        <v>Paradero Berlín con Javier prado (cruzando el semáforo) aplica solo al ingreso.</v>
      </c>
      <c r="M20" s="137" t="str">
        <f>IFERROR(INDEX(Distritos!$P$7:$P$46,MATCH(SMALL(Distritos!$R$7:$R$46,2),Distritos!$R$7:$R$46,0)),"")</f>
        <v>RUTA 4A</v>
      </c>
      <c r="N20" s="137">
        <f>IFERROR(INDEX(Distritos!$Q$7:$Q$46,MATCH(SMALL(Distritos!$R$7:$R$46,2),Distritos!$R$7:$R$46,0)),0)</f>
        <v>7</v>
      </c>
      <c r="O20" s="141">
        <f t="shared" si="2"/>
        <v>4.5751633986928102E-2</v>
      </c>
    </row>
    <row r="21" spans="1:15" x14ac:dyDescent="0.35">
      <c r="A21" s="135">
        <v>3</v>
      </c>
      <c r="B21" s="136" t="str">
        <f>IFERROR(INDEX(Distritos!$H$7:$H$51,MATCH(SMALL(Distritos!$J$7:$J$51,3),Distritos!$J$7:$J$51,0)),"")</f>
        <v>Lurigancho</v>
      </c>
      <c r="C21" s="137">
        <f>IFERROR(INDEX(Distritos!$I$7:$I$51,MATCH(SMALL(Distritos!$J$7:$J$51,3),Distritos!$J$7:$J$51,0)),0)</f>
        <v>21</v>
      </c>
      <c r="D21" s="141">
        <f t="shared" si="0"/>
        <v>0.13725490196078433</v>
      </c>
      <c r="F21" s="135">
        <v>3</v>
      </c>
      <c r="G21" s="136" t="str">
        <f>IFERROR(INDEX(Distritos!$L$7:$L$20,MATCH(SMALL(Distritos!$N$7:$N$20,3),Distritos!$N$7:$N$20,0)),"")</f>
        <v>RUTA 8</v>
      </c>
      <c r="H21" s="137">
        <f>IFERROR(INDEX(Distritos!$M$7:$M$20,MATCH(SMALL(Distritos!$N$7:$N$20,3),Distritos!$N$7:$N$20,0)),0)</f>
        <v>17</v>
      </c>
      <c r="I21" s="141">
        <f t="shared" si="1"/>
        <v>0.1111111111111111</v>
      </c>
      <c r="K21" s="135">
        <v>3</v>
      </c>
      <c r="L21" s="136" t="str">
        <f>IFERROR(INDEX(Distritos!$O$7:$O$46,MATCH(SMALL(Distritos!$R$7:$R$46,3),Distritos!$R$7:$R$46,0)),"")</f>
        <v>Real Plaza Puruchuco (Grifo Primax)</v>
      </c>
      <c r="M21" s="137" t="str">
        <f>IFERROR(INDEX(Distritos!$P$7:$P$46,MATCH(SMALL(Distritos!$R$7:$R$46,3),Distritos!$R$7:$R$46,0)),"")</f>
        <v>RUTA 4A</v>
      </c>
      <c r="N21" s="137">
        <f>IFERROR(INDEX(Distritos!$Q$7:$Q$46,MATCH(SMALL(Distritos!$R$7:$R$46,3),Distritos!$R$7:$R$46,0)),0)</f>
        <v>5</v>
      </c>
      <c r="O21" s="141">
        <f t="shared" si="2"/>
        <v>3.2679738562091505E-2</v>
      </c>
    </row>
    <row r="22" spans="1:15" x14ac:dyDescent="0.35">
      <c r="A22" s="135">
        <v>4</v>
      </c>
      <c r="B22" s="136" t="str">
        <f>IFERROR(INDEX(Distritos!$H$7:$H$51,MATCH(SMALL(Distritos!$J$7:$J$51,4),Distritos!$J$7:$J$51,0)),"")</f>
        <v>Lima</v>
      </c>
      <c r="C22" s="137">
        <f>IFERROR(INDEX(Distritos!$I$7:$I$51,MATCH(SMALL(Distritos!$J$7:$J$51,4),Distritos!$J$7:$J$51,0)),0)</f>
        <v>10</v>
      </c>
      <c r="D22" s="141">
        <f t="shared" si="0"/>
        <v>6.535947712418301E-2</v>
      </c>
      <c r="F22" s="135">
        <v>4</v>
      </c>
      <c r="G22" s="136" t="str">
        <f>IFERROR(INDEX(Distritos!$L$7:$L$20,MATCH(SMALL(Distritos!$N$7:$N$20,4),Distritos!$N$7:$N$20,0)),"")</f>
        <v>RUTA 5B</v>
      </c>
      <c r="H22" s="137">
        <f>IFERROR(INDEX(Distritos!$M$7:$M$20,MATCH(SMALL(Distritos!$N$7:$N$20,4),Distritos!$N$7:$N$20,0)),0)</f>
        <v>12</v>
      </c>
      <c r="I22" s="141">
        <f t="shared" si="1"/>
        <v>7.8431372549019607E-2</v>
      </c>
      <c r="K22" s="135">
        <v>4</v>
      </c>
      <c r="L22" s="136" t="str">
        <f>IFERROR(INDEX(Distritos!$O$7:$O$46,MATCH(SMALL(Distritos!$R$7:$R$46,4),Distritos!$R$7:$R$46,0)),"")</f>
        <v>Real Plaza Puruchuco (Grifo Primax)</v>
      </c>
      <c r="M22" s="137" t="str">
        <f>IFERROR(INDEX(Distritos!$P$7:$P$46,MATCH(SMALL(Distritos!$R$7:$R$46,4),Distritos!$R$7:$R$46,0)),"")</f>
        <v>RUTA 4A</v>
      </c>
      <c r="N22" s="137">
        <f>IFERROR(INDEX(Distritos!$Q$7:$Q$46,MATCH(SMALL(Distritos!$R$7:$R$46,4),Distritos!$R$7:$R$46,0)),0)</f>
        <v>5</v>
      </c>
      <c r="O22" s="141">
        <f t="shared" si="2"/>
        <v>3.2679738562091505E-2</v>
      </c>
    </row>
    <row r="23" spans="1:15" x14ac:dyDescent="0.35">
      <c r="A23" s="135">
        <v>5</v>
      </c>
      <c r="B23" s="136" t="str">
        <f>IFERROR(INDEX(Distritos!$H$7:$H$51,MATCH(SMALL(Distritos!$J$7:$J$51,5),Distritos!$J$7:$J$51,0)),"")</f>
        <v>Santiago De Surco</v>
      </c>
      <c r="C23" s="137">
        <f>IFERROR(INDEX(Distritos!$I$7:$I$51,MATCH(SMALL(Distritos!$J$7:$J$51,5),Distritos!$J$7:$J$51,0)),0)</f>
        <v>7</v>
      </c>
      <c r="D23" s="141">
        <f t="shared" si="0"/>
        <v>4.5751633986928102E-2</v>
      </c>
      <c r="F23" s="135">
        <v>5</v>
      </c>
      <c r="G23" s="136" t="str">
        <f>IFERROR(INDEX(Distritos!$L$7:$L$20,MATCH(SMALL(Distritos!$N$7:$N$20,5),Distritos!$N$7:$N$20,0)),"")</f>
        <v>RUTA 3</v>
      </c>
      <c r="H23" s="137">
        <f>IFERROR(INDEX(Distritos!$M$7:$M$20,MATCH(SMALL(Distritos!$N$7:$N$20,5),Distritos!$N$7:$N$20,0)),0)</f>
        <v>11</v>
      </c>
      <c r="I23" s="141">
        <f t="shared" si="1"/>
        <v>7.1895424836601302E-2</v>
      </c>
      <c r="K23" s="135">
        <v>5</v>
      </c>
      <c r="L23" s="136" t="str">
        <f>IFERROR(INDEX(Distritos!$O$7:$O$46,MATCH(SMALL(Distritos!$R$7:$R$46,5),Distritos!$R$7:$R$46,0)),"")</f>
        <v>Real Plaza Puruchuco (Grifo Primax)</v>
      </c>
      <c r="M23" s="137" t="str">
        <f>IFERROR(INDEX(Distritos!$P$7:$P$46,MATCH(SMALL(Distritos!$R$7:$R$46,5),Distritos!$R$7:$R$46,0)),"")</f>
        <v>RUTA 4A</v>
      </c>
      <c r="N23" s="137">
        <f>IFERROR(INDEX(Distritos!$Q$7:$Q$46,MATCH(SMALL(Distritos!$R$7:$R$46,5),Distritos!$R$7:$R$46,0)),0)</f>
        <v>5</v>
      </c>
      <c r="O23" s="141">
        <f t="shared" si="2"/>
        <v>3.2679738562091505E-2</v>
      </c>
    </row>
    <row r="24" spans="1:15" x14ac:dyDescent="0.35">
      <c r="A24" s="135">
        <v>6</v>
      </c>
      <c r="B24" s="136" t="str">
        <f>IFERROR(INDEX(Distritos!$H$7:$H$51,MATCH(SMALL(Distritos!$J$7:$J$51,6),Distritos!$J$7:$J$51,0)),"")</f>
        <v>Callao</v>
      </c>
      <c r="C24" s="137">
        <f>IFERROR(INDEX(Distritos!$I$7:$I$51,MATCH(SMALL(Distritos!$J$7:$J$51,6),Distritos!$J$7:$J$51,0)),0)</f>
        <v>6</v>
      </c>
      <c r="D24" s="141">
        <f t="shared" si="0"/>
        <v>3.9215686274509803E-2</v>
      </c>
      <c r="F24" s="135">
        <v>6</v>
      </c>
      <c r="G24" s="136" t="str">
        <f>IFERROR(INDEX(Distritos!$L$7:$L$20,MATCH(SMALL(Distritos!$N$7:$N$20,6),Distritos!$N$7:$N$20,0)),"")</f>
        <v>RUTA 3</v>
      </c>
      <c r="H24" s="137">
        <f>IFERROR(INDEX(Distritos!$M$7:$M$20,MATCH(SMALL(Distritos!$N$7:$N$20,6),Distritos!$N$7:$N$20,0)),0)</f>
        <v>11</v>
      </c>
      <c r="I24" s="141">
        <f t="shared" si="1"/>
        <v>7.1895424836601302E-2</v>
      </c>
      <c r="K24" s="135">
        <v>6</v>
      </c>
      <c r="L24" s="136" t="str">
        <f>IFERROR(INDEX(Distritos!$O$7:$O$46,MATCH(SMALL(Distritos!$R$7:$R$46,6),Distritos!$R$7:$R$46,0)),"")</f>
        <v>Paradero Rompemuelle</v>
      </c>
      <c r="M24" s="137" t="str">
        <f>IFERROR(INDEX(Distritos!$P$7:$P$46,MATCH(SMALL(Distritos!$R$7:$R$46,6),Distritos!$R$7:$R$46,0)),"")</f>
        <v>RUTA 3</v>
      </c>
      <c r="N24" s="137">
        <f>IFERROR(INDEX(Distritos!$Q$7:$Q$46,MATCH(SMALL(Distritos!$R$7:$R$46,6),Distritos!$R$7:$R$46,0)),0)</f>
        <v>4</v>
      </c>
      <c r="O24" s="141">
        <f t="shared" si="2"/>
        <v>2.6143790849673203E-2</v>
      </c>
    </row>
    <row r="25" spans="1:15" x14ac:dyDescent="0.35">
      <c r="A25" s="135">
        <v>7</v>
      </c>
      <c r="B25" s="136" t="str">
        <f>IFERROR(INDEX(Distritos!$H$7:$H$51,MATCH(SMALL(Distritos!$J$7:$J$51,7),Distritos!$J$7:$J$51,0)),"")</f>
        <v>Los Olivos</v>
      </c>
      <c r="C25" s="137">
        <f>IFERROR(INDEX(Distritos!$I$7:$I$51,MATCH(SMALL(Distritos!$J$7:$J$51,7),Distritos!$J$7:$J$51,0)),0)</f>
        <v>6</v>
      </c>
      <c r="D25" s="141">
        <f t="shared" si="0"/>
        <v>3.9215686274509803E-2</v>
      </c>
      <c r="F25" s="135">
        <v>7</v>
      </c>
      <c r="G25" s="136" t="str">
        <f>IFERROR(INDEX(Distritos!$L$7:$L$20,MATCH(SMALL(Distritos!$N$7:$N$20,7),Distritos!$N$7:$N$20,0)),"")</f>
        <v>RUTA 3</v>
      </c>
      <c r="H25" s="137">
        <f>IFERROR(INDEX(Distritos!$M$7:$M$20,MATCH(SMALL(Distritos!$N$7:$N$20,7),Distritos!$N$7:$N$20,0)),0)</f>
        <v>11</v>
      </c>
      <c r="I25" s="141">
        <f t="shared" si="1"/>
        <v>7.1895424836601302E-2</v>
      </c>
      <c r="K25" s="135">
        <v>7</v>
      </c>
      <c r="L25" s="136" t="str">
        <f>IFERROR(INDEX(Distritos!$O$7:$O$46,MATCH(SMALL(Distritos!$R$7:$R$46,7),Distritos!$R$7:$R$46,0)),"")</f>
        <v>Paradero Rompemuelle</v>
      </c>
      <c r="M25" s="137" t="str">
        <f>IFERROR(INDEX(Distritos!$P$7:$P$46,MATCH(SMALL(Distritos!$R$7:$R$46,7),Distritos!$R$7:$R$46,0)),"")</f>
        <v>RUTA 3</v>
      </c>
      <c r="N25" s="137">
        <f>IFERROR(INDEX(Distritos!$Q$7:$Q$46,MATCH(SMALL(Distritos!$R$7:$R$46,7),Distritos!$R$7:$R$46,0)),0)</f>
        <v>4</v>
      </c>
      <c r="O25" s="141">
        <f t="shared" si="2"/>
        <v>2.6143790849673203E-2</v>
      </c>
    </row>
    <row r="26" spans="1:15" x14ac:dyDescent="0.35">
      <c r="A26" s="135">
        <v>8</v>
      </c>
      <c r="B26" s="136" t="str">
        <f>IFERROR(INDEX(Distritos!$H$7:$H$51,MATCH(SMALL(Distritos!$J$7:$J$51,8),Distritos!$J$7:$J$51,0)),"")</f>
        <v>Carabayllo</v>
      </c>
      <c r="C26" s="137">
        <f>IFERROR(INDEX(Distritos!$I$7:$I$51,MATCH(SMALL(Distritos!$J$7:$J$51,8),Distritos!$J$7:$J$51,0)),0)</f>
        <v>4</v>
      </c>
      <c r="D26" s="141">
        <f t="shared" si="0"/>
        <v>2.6143790849673203E-2</v>
      </c>
      <c r="F26" s="135">
        <v>8</v>
      </c>
      <c r="G26" s="136" t="str">
        <f>IFERROR(INDEX(Distritos!$L$7:$L$20,MATCH(SMALL(Distritos!$N$7:$N$20,8),Distritos!$N$7:$N$20,0)),"")</f>
        <v>RUTA 4B</v>
      </c>
      <c r="H26" s="137">
        <f>IFERROR(INDEX(Distritos!$M$7:$M$20,MATCH(SMALL(Distritos!$N$7:$N$20,8),Distritos!$N$7:$N$20,0)),0)</f>
        <v>10</v>
      </c>
      <c r="I26" s="141">
        <f t="shared" si="1"/>
        <v>6.535947712418301E-2</v>
      </c>
      <c r="K26" s="135">
        <v>8</v>
      </c>
      <c r="L26" s="136" t="str">
        <f>IFERROR(INDEX(Distritos!$O$7:$O$46,MATCH(SMALL(Distritos!$R$7:$R$46,8),Distritos!$R$7:$R$46,0)),"")</f>
        <v>Paradero Rompemuelle</v>
      </c>
      <c r="M26" s="137" t="str">
        <f>IFERROR(INDEX(Distritos!$P$7:$P$46,MATCH(SMALL(Distritos!$R$7:$R$46,8),Distritos!$R$7:$R$46,0)),"")</f>
        <v>RUTA 3</v>
      </c>
      <c r="N26" s="137">
        <f>IFERROR(INDEX(Distritos!$Q$7:$Q$46,MATCH(SMALL(Distritos!$R$7:$R$46,8),Distritos!$R$7:$R$46,0)),0)</f>
        <v>4</v>
      </c>
      <c r="O26" s="141">
        <f t="shared" si="2"/>
        <v>2.6143790849673203E-2</v>
      </c>
    </row>
    <row r="27" spans="1:15" x14ac:dyDescent="0.35">
      <c r="A27" s="135">
        <v>9</v>
      </c>
      <c r="B27" s="136" t="str">
        <f>IFERROR(INDEX(Distritos!$H$7:$H$51,MATCH(SMALL(Distritos!$J$7:$J$51,9),Distritos!$J$7:$J$51,0)),"")</f>
        <v>Chaclacayo</v>
      </c>
      <c r="C27" s="137">
        <f>IFERROR(INDEX(Distritos!$I$7:$I$51,MATCH(SMALL(Distritos!$J$7:$J$51,9),Distritos!$J$7:$J$51,0)),0)</f>
        <v>4</v>
      </c>
      <c r="D27" s="141">
        <f t="shared" si="0"/>
        <v>2.6143790849673203E-2</v>
      </c>
      <c r="F27" s="135">
        <v>9</v>
      </c>
      <c r="G27" s="136" t="str">
        <f>IFERROR(INDEX(Distritos!$L$7:$L$20,MATCH(SMALL(Distritos!$N$7:$N$20,9),Distritos!$N$7:$N$20,0)),"")</f>
        <v>RUTA 2</v>
      </c>
      <c r="H27" s="137">
        <f>IFERROR(INDEX(Distritos!$M$7:$M$20,MATCH(SMALL(Distritos!$N$7:$N$20,9),Distritos!$N$7:$N$20,0)),0)</f>
        <v>8</v>
      </c>
      <c r="I27" s="141">
        <f t="shared" si="1"/>
        <v>5.2287581699346407E-2</v>
      </c>
      <c r="K27" s="135">
        <v>9</v>
      </c>
      <c r="L27" s="136" t="str">
        <f>IFERROR(INDEX(Distritos!$O$7:$O$46,MATCH(SMALL(Distritos!$R$7:$R$46,9),Distritos!$R$7:$R$46,0)),"")</f>
        <v>Paradero Rompemuelle</v>
      </c>
      <c r="M27" s="137" t="str">
        <f>IFERROR(INDEX(Distritos!$P$7:$P$46,MATCH(SMALL(Distritos!$R$7:$R$46,9),Distritos!$R$7:$R$46,0)),"")</f>
        <v>RUTA 3</v>
      </c>
      <c r="N27" s="137">
        <f>IFERROR(INDEX(Distritos!$Q$7:$Q$46,MATCH(SMALL(Distritos!$R$7:$R$46,9),Distritos!$R$7:$R$46,0)),0)</f>
        <v>4</v>
      </c>
      <c r="O27" s="141">
        <f t="shared" si="2"/>
        <v>2.6143790849673203E-2</v>
      </c>
    </row>
    <row r="28" spans="1:15" x14ac:dyDescent="0.35">
      <c r="A28" s="135">
        <v>10</v>
      </c>
      <c r="B28" s="136" t="str">
        <f>IFERROR(INDEX(Distritos!$H$7:$H$51,MATCH(SMALL(Distritos!$J$7:$J$51,10),Distritos!$J$7:$J$51,0)),"")</f>
        <v>San Juan De Miraflores</v>
      </c>
      <c r="C28" s="137">
        <f>IFERROR(INDEX(Distritos!$I$7:$I$51,MATCH(SMALL(Distritos!$J$7:$J$51,10),Distritos!$J$7:$J$51,0)),0)</f>
        <v>4</v>
      </c>
      <c r="D28" s="141">
        <f t="shared" si="0"/>
        <v>2.6143790849673203E-2</v>
      </c>
      <c r="F28" s="135">
        <v>10</v>
      </c>
      <c r="G28" s="136" t="str">
        <f>IFERROR(INDEX(Distritos!$L$7:$L$20,MATCH(SMALL(Distritos!$N$7:$N$20,10),Distritos!$N$7:$N$20,0)),"")</f>
        <v>RUTA 2</v>
      </c>
      <c r="H28" s="137">
        <f>IFERROR(INDEX(Distritos!$M$7:$M$20,MATCH(SMALL(Distritos!$N$7:$N$20,10),Distritos!$N$7:$N$20,0)),0)</f>
        <v>8</v>
      </c>
      <c r="I28" s="141">
        <f t="shared" si="1"/>
        <v>5.2287581699346407E-2</v>
      </c>
      <c r="K28" s="135">
        <v>10</v>
      </c>
      <c r="L28" s="136" t="str">
        <f>IFERROR(INDEX(Distritos!$O$7:$O$46,MATCH(SMALL(Distritos!$R$7:$R$46,10),Distritos!$R$7:$R$46,0)),"")</f>
        <v>Paradero Rompemuelle</v>
      </c>
      <c r="M28" s="137" t="str">
        <f>IFERROR(INDEX(Distritos!$P$7:$P$46,MATCH(SMALL(Distritos!$R$7:$R$46,10),Distritos!$R$7:$R$46,0)),"")</f>
        <v>RUTA 3</v>
      </c>
      <c r="N28" s="137">
        <f>IFERROR(INDEX(Distritos!$Q$7:$Q$46,MATCH(SMALL(Distritos!$R$7:$R$46,10),Distritos!$R$7:$R$46,0)),0)</f>
        <v>4</v>
      </c>
      <c r="O28" s="141">
        <f t="shared" si="2"/>
        <v>2.6143790849673203E-2</v>
      </c>
    </row>
    <row r="29" spans="1:15" x14ac:dyDescent="0.35">
      <c r="F29" s="135">
        <v>11</v>
      </c>
      <c r="G29" s="136" t="str">
        <f>IFERROR(INDEX(Distritos!$L$7:$L$20,MATCH(SMALL(Distritos!$N$7:$N$20,11),Distritos!$N$7:$N$20,0)),"")</f>
        <v>RUTA 6A</v>
      </c>
      <c r="H29" s="137">
        <f>IFERROR(INDEX(Distritos!$M$7:$M$20,MATCH(SMALL(Distritos!$N$7:$N$20,11),Distritos!$N$7:$N$20,0)),0)</f>
        <v>7</v>
      </c>
      <c r="I29" s="141">
        <f t="shared" si="1"/>
        <v>4.5751633986928102E-2</v>
      </c>
    </row>
    <row r="30" spans="1:15" x14ac:dyDescent="0.35">
      <c r="F30" s="135">
        <v>12</v>
      </c>
      <c r="G30" s="136" t="str">
        <f>IFERROR(INDEX(Distritos!$L$7:$L$20,MATCH(SMALL(Distritos!$N$7:$N$20,12),Distritos!$N$7:$N$20,0)),"")</f>
        <v>RUTA 6C</v>
      </c>
      <c r="H30" s="137">
        <f>IFERROR(INDEX(Distritos!$M$7:$M$20,MATCH(SMALL(Distritos!$N$7:$N$20,12),Distritos!$N$7:$N$20,0)),0)</f>
        <v>5</v>
      </c>
      <c r="I30" s="141">
        <f t="shared" si="1"/>
        <v>3.2679738562091505E-2</v>
      </c>
    </row>
    <row r="31" spans="1:15" x14ac:dyDescent="0.35">
      <c r="F31" s="135">
        <v>13</v>
      </c>
      <c r="G31" s="136" t="str">
        <f>IFERROR(INDEX(Distritos!$L$7:$L$20,MATCH(SMALL(Distritos!$N$7:$N$20,13),Distritos!$N$7:$N$20,0)),"")</f>
        <v>RUTA 1</v>
      </c>
      <c r="H31" s="137">
        <f>IFERROR(INDEX(Distritos!$M$7:$M$20,MATCH(SMALL(Distritos!$N$7:$N$20,13),Distritos!$N$7:$N$20,0)),0)</f>
        <v>4</v>
      </c>
      <c r="I31" s="141">
        <f t="shared" si="1"/>
        <v>2.6143790849673203E-2</v>
      </c>
    </row>
    <row r="32" spans="1:15" x14ac:dyDescent="0.35">
      <c r="F32" s="135">
        <v>14</v>
      </c>
      <c r="G32" s="136" t="str">
        <f>IFERROR(INDEX(Distritos!$L$7:$L$20,MATCH(SMALL(Distritos!$N$7:$N$20,14),Distritos!$N$7:$N$20,0)),"")</f>
        <v>RUTA 5C</v>
      </c>
      <c r="H32" s="137">
        <f>IFERROR(INDEX(Distritos!$M$7:$M$20,MATCH(SMALL(Distritos!$N$7:$N$20,14),Distritos!$N$7:$N$20,0)),0)</f>
        <v>2</v>
      </c>
      <c r="I32" s="141">
        <f t="shared" si="1"/>
        <v>1.3071895424836602E-2</v>
      </c>
    </row>
    <row r="36" spans="1:10" x14ac:dyDescent="0.35">
      <c r="A36" s="39"/>
      <c r="B36" s="39"/>
      <c r="C36" s="39"/>
      <c r="D36" s="39"/>
      <c r="E36" s="39"/>
      <c r="F36" s="39"/>
      <c r="G36" s="39"/>
      <c r="H36" s="39"/>
      <c r="I36" s="39"/>
      <c r="J36" s="39"/>
    </row>
    <row r="37" spans="1:10" ht="18.5" x14ac:dyDescent="0.45">
      <c r="A37" s="205" t="s">
        <v>4374</v>
      </c>
      <c r="B37" s="205"/>
      <c r="C37" s="205"/>
      <c r="D37" s="205"/>
      <c r="E37" s="205"/>
      <c r="F37" s="205"/>
      <c r="G37" s="205"/>
      <c r="H37" s="205"/>
      <c r="I37" s="205"/>
      <c r="J37" s="205"/>
    </row>
    <row r="38" spans="1:10" x14ac:dyDescent="0.35">
      <c r="A38" s="40" t="s">
        <v>3243</v>
      </c>
      <c r="B38" s="41" t="s">
        <v>21</v>
      </c>
      <c r="C38" s="41" t="s">
        <v>3242</v>
      </c>
      <c r="D38" s="41" t="s">
        <v>4372</v>
      </c>
      <c r="E38" s="41" t="s">
        <v>4375</v>
      </c>
      <c r="F38" s="41" t="s">
        <v>4376</v>
      </c>
      <c r="G38" s="41" t="s">
        <v>4377</v>
      </c>
      <c r="H38" s="41" t="s">
        <v>4378</v>
      </c>
      <c r="I38" s="41" t="s">
        <v>4379</v>
      </c>
      <c r="J38" s="42" t="s">
        <v>4380</v>
      </c>
    </row>
    <row r="39" spans="1:10" x14ac:dyDescent="0.35">
      <c r="A39" s="43">
        <f>IF(OR($B$8=0,C39="",C39=0),"",1)</f>
        <v>1</v>
      </c>
      <c r="B39" s="44" t="str">
        <f>IF($B$8=0,"",IFERROR(IF(INDEX(Distritos!$I$7:$I$66,MATCH(SMALL(Distritos!$J$7:$J$66,1),Distritos!$J$7:$J$66,0))=0,"",INDEX(Distritos!$H$7:$H$66,MATCH(SMALL(Distritos!$J$7:$J$66,1),Distritos!$J$7:$J$66,0))),""))</f>
        <v>Ate</v>
      </c>
      <c r="C39" s="71">
        <f>IF($B$8=0,"",IFERROR(IF(INDEX(Distritos!$I$7:$I$66,MATCH(SMALL(Distritos!$J$7:$J$66,1),Distritos!$J$7:$J$66,0))=0,"",INDEX(Distritos!$I$7:$I$66,MATCH(SMALL(Distritos!$J$7:$J$66,1),Distritos!$J$7:$J$66,0))),""))</f>
        <v>25</v>
      </c>
      <c r="D39" s="70">
        <f t="shared" ref="D39:D70" si="3">IF(OR($B$8=0,C39="",C39=0),"",C39/$B$8)</f>
        <v>0.16339869281045752</v>
      </c>
      <c r="E39" s="69">
        <f>IF(OR($B$8=0,B39=""),"",IFERROR(ROUND(IF($D$4="TODOS",IF($B$4="TODOS",(SUMIF('BD SECOS'!Q:Q,B39,'BD SECOS'!U:U)+SUMIF('BD PPA'!U:U,B39,'BD PPA'!AA:AA)+SUMIF('BD FRESCOS'!U:U,B39,'BD FRESCOS'!AA:AA))/(COUNTIF('BD SECOS'!Q:Q,B39)+COUNTIF('BD PPA'!U:U,B39)+COUNTIF('BD FRESCOS'!U:U,B39)),IF($B$4="SECOS",AVERAGEIF('BD SECOS'!Q:Q,B39,'BD SECOS'!U:U),IF($B$4="PPA",AVERAGEIF('BD PPA'!U:U,B39,'BD PPA'!AA:AA),AVERAGEIF('BD FRESCOS'!U:U,B39,'BD FRESCOS'!AA:AA)))),IF($B$4="TODOS",(SUMIFS('BD SECOS'!U:U,'BD SECOS'!Q:Q,B39,'BD SECOS'!AE:AE,$D$4)+SUMIFS('BD PPA'!AA:AA,'BD PPA'!U:U,B39,'BD PPA'!AK:AK,$D$4)+SUMIFS('BD FRESCOS'!AA:AA,'BD FRESCOS'!U:U,B39,'BD FRESCOS'!AK:AK,$D$4))/(COUNTIFS('BD SECOS'!Q:Q,B39,'BD SECOS'!AE:AE,$D$4)+COUNTIFS('BD PPA'!U:U,B39,'BD PPA'!AK:AK,$D$4)+COUNTIFS('BD FRESCOS'!U:U,B39,'BD FRESCOS'!AK:AK,$D$4)),IF($B$4="SECOS",AVERAGEIFS('BD SECOS'!U:U,'BD SECOS'!Q:Q,B39,'BD SECOS'!AE:AE,$D$4),IF($B$4="PPA",AVERAGEIFS('BD PPA'!AA:AA,'BD PPA'!U:U,B39,'BD PPA'!AK:AK,$D$4),AVERAGEIFS('BD FRESCOS'!AA:AA,'BD FRESCOS'!U:U,B39,'BD FRESCOS'!AK:AK,$D$4))))),2),""))</f>
        <v>7.82</v>
      </c>
      <c r="F39" s="75" t="str">
        <f>IF(OR($B$8=0,E39=""),"",IF(E39&lt;=5,"🟢 Muy Cerca",IF(E39&lt;=10,"🟡 Cerca",IF(E39&lt;=20,"🟠 Moderada","🔴 Lejos"))))</f>
        <v>🟡 Cerca</v>
      </c>
      <c r="G39" s="69">
        <f>IF(OR($B$8=0,B39=""),"",IFERROR(ROUND(IF($D$4="TODOS",IF($B$4="TODOS",(SUMIF('BD SECOS'!Q:Q,B39,'BD SECOS'!Y:Y)+SUMIF('BD PPA'!U:U,B39,'BD PPA'!AE:AE)+SUMIF('BD FRESCOS'!U:U,B39,'BD FRESCOS'!AE:AE))/(COUNTIF('BD SECOS'!Q:Q,B39)+COUNTIF('BD PPA'!U:U,B39)+COUNTIF('BD FRESCOS'!U:U,B39)),IF($B$4="SECOS",AVERAGEIF('BD SECOS'!Q:Q,B39,'BD SECOS'!Y:Y),IF($B$4="PPA",AVERAGEIF('BD PPA'!U:U,B39,'BD PPA'!AE:AE),AVERAGEIF('BD FRESCOS'!U:U,B39,'BD FRESCOS'!AE:AE)))),IF($B$4="TODOS",(SUMIFS('BD SECOS'!Y:Y,'BD SECOS'!Q:Q,B39,'BD SECOS'!AE:AE,$D$4)+SUMIFS('BD PPA'!AE:AE,'BD PPA'!U:U,B39,'BD PPA'!AK:AK,$D$4)+SUMIFS('BD FRESCOS'!AE:AE,'BD FRESCOS'!U:U,B39,'BD FRESCOS'!AK:AK,$D$4))/(COUNTIFS('BD SECOS'!Q:Q,B39,'BD SECOS'!AE:AE,$D$4)+COUNTIFS('BD PPA'!U:U,B39,'BD PPA'!AK:AK,$D$4)+COUNTIFS('BD FRESCOS'!U:U,B39,'BD FRESCOS'!AK:AK,$D$4)),IF($B$4="SECOS",AVERAGEIFS('BD SECOS'!Y:Y,'BD SECOS'!Q:Q,B39,'BD SECOS'!AE:AE,$D$4),IF($B$4="PPA",AVERAGEIFS('BD PPA'!AE:AE,'BD PPA'!U:U,B39,'BD PPA'!AK:AK,$D$4),AVERAGEIFS('BD FRESCOS'!AE:AE,'BD FRESCOS'!U:U,B39,'BD FRESCOS'!AK:AK,$D$4))))),2),""))</f>
        <v>1.29</v>
      </c>
      <c r="H39" s="75" t="str">
        <f>IF(OR($B$8=0,G39=""),"",IF(G39&lt;=1,"🟢 Muy Cerca",IF(G39&lt;=3,"🟡 Cerca",IF(G39&lt;=5,"🟠 Moderada","🔴 Lejos"))))</f>
        <v>🟡 Cerca</v>
      </c>
      <c r="I39" s="75" t="str" cm="1">
        <f t="array" ref="I39">IF(OR($B$8=0,B39=""),"",IFERROR(IF($D$4="TODOS",IF($B$4="TODOS",INDEX('BD SECOS'!X:X,MATCH(B39,'BD SECOS'!Q:Q,0)),IF($B$4="SECOS",INDEX('BD SECOS'!X:X,MATCH(B39,'BD SECOS'!Q:Q,0)),IF($B$4="PPA",INDEX('BD PPA'!AD:AD,MATCH(B39,'BD PPA'!U:U,0)),INDEX('BD FRESCOS'!AD:AD,MATCH(B39,'BD FRESCOS'!U:U,0))))),IF($B$4="TODOS",IFERROR(INDEX('BD SECOS'!X:X,MATCH(1,('BD SECOS'!Q:Q=B39)*('BD SECOS'!AE:AE=$D$4),0)),IFERROR(INDEX('BD PPA'!AD:AD,MATCH(1,('BD PPA'!U:U=B39)*('BD PPA'!AK:AK=$D$4),0)),INDEX('BD FRESCOS'!AD:AD,MATCH(1,('BD FRESCOS'!U:U=B39)*('BD FRESCOS'!AK:AK=$D$4),0)))),IF($B$4="SECOS",INDEX('BD SECOS'!X:X,MATCH(1,('BD SECOS'!Q:Q=B39)*('BD SECOS'!AE:AE=$D$4),0)),IF($B$4="PPA",INDEX('BD PPA'!AD:AD,MATCH(1,('BD PPA'!U:U=B39)*('BD PPA'!AK:AK=$D$4),0)),INDEX('BD FRESCOS'!AD:AD,MATCH(1,('BD FRESCOS'!U:U=B39)*('BD FRESCOS'!AK:AK=$D$4),0)))))),""))</f>
        <v>RUTA 7</v>
      </c>
      <c r="J39" s="78" t="str">
        <f t="shared" ref="J39:J55" si="4">IF(OR($B$8=0,B39=""),"",IF(AND(E39&gt;20,G39&gt;5),"⚠️ Muy lejos del CD y paraderos",IF(E39&gt;20,"⚠️ Muy lejos del CD",IF(G39&gt;5,"⚠️ Lejos de paraderos","📍 Normal"))))</f>
        <v>📍 Normal</v>
      </c>
    </row>
    <row r="40" spans="1:10" x14ac:dyDescent="0.35">
      <c r="A40" s="43">
        <f>IF(OR($B$8=0,C40="",C40=0),"",2)</f>
        <v>2</v>
      </c>
      <c r="B40" s="44" t="str">
        <f>IF($B$8=0,"",IFERROR(IF(INDEX(Distritos!$I$7:$I$66,MATCH(SMALL(Distritos!$J$7:$J$66,2),Distritos!$J$7:$J$66,0))=0,"",INDEX(Distritos!$H$7:$H$66,MATCH(SMALL(Distritos!$J$7:$J$66,2),Distritos!$J$7:$J$66,0))),""))</f>
        <v>San Juan De Lurigancho</v>
      </c>
      <c r="C40" s="71">
        <f>IF($B$8=0,"",IFERROR(IF(INDEX(Distritos!$I$7:$I$66,MATCH(SMALL(Distritos!$J$7:$J$66,2),Distritos!$J$7:$J$66,0))=0,"",INDEX(Distritos!$I$7:$I$66,MATCH(SMALL(Distritos!$J$7:$J$66,2),Distritos!$J$7:$J$66,0))),""))</f>
        <v>22</v>
      </c>
      <c r="D40" s="70">
        <f t="shared" si="3"/>
        <v>0.1437908496732026</v>
      </c>
      <c r="E40" s="69">
        <f>IF(OR($B$8=0,B40=""),"",IFERROR(ROUND(IF($D$4="TODOS",IF($B$4="TODOS",(SUMIF('BD SECOS'!Q:Q,B40,'BD SECOS'!U:U)+SUMIF('BD PPA'!U:U,B40,'BD PPA'!AA:AA)+SUMIF('BD FRESCOS'!U:U,B40,'BD FRESCOS'!AA:AA))/(COUNTIF('BD SECOS'!Q:Q,B40)+COUNTIF('BD PPA'!U:U,B40)+COUNTIF('BD FRESCOS'!U:U,B40)),IF($B$4="SECOS",AVERAGEIF('BD SECOS'!Q:Q,B40,'BD SECOS'!U:U),IF($B$4="PPA",AVERAGEIF('BD PPA'!U:U,B40,'BD PPA'!AA:AA),AVERAGEIF('BD FRESCOS'!U:U,B40,'BD FRESCOS'!AA:AA)))),IF($B$4="TODOS",(SUMIFS('BD SECOS'!U:U,'BD SECOS'!Q:Q,B40,'BD SECOS'!AE:AE,$D$4)+SUMIFS('BD PPA'!AA:AA,'BD PPA'!U:U,B40,'BD PPA'!AK:AK,$D$4)+SUMIFS('BD FRESCOS'!AA:AA,'BD FRESCOS'!U:U,B40,'BD FRESCOS'!AK:AK,$D$4))/(COUNTIFS('BD SECOS'!Q:Q,B40,'BD SECOS'!AE:AE,$D$4)+COUNTIFS('BD PPA'!U:U,B40,'BD PPA'!AK:AK,$D$4)+COUNTIFS('BD FRESCOS'!U:U,B40,'BD FRESCOS'!AK:AK,$D$4)),IF($B$4="SECOS",AVERAGEIFS('BD SECOS'!U:U,'BD SECOS'!Q:Q,B40,'BD SECOS'!AE:AE,$D$4),IF($B$4="PPA",AVERAGEIFS('BD PPA'!AA:AA,'BD PPA'!U:U,B40,'BD PPA'!AK:AK,$D$4),AVERAGEIFS('BD FRESCOS'!AA:AA,'BD FRESCOS'!U:U,B40,'BD FRESCOS'!AK:AK,$D$4))))),2),""))</f>
        <v>11.75</v>
      </c>
      <c r="F40" s="75" t="str">
        <f t="shared" ref="F40:F89" si="5">IF(OR($B$8=0,E40=""),"",IF(E40&lt;=5,"🟢 Muy Cerca",IF(E40&lt;=10,"🟡 Cerca",IF(E40&lt;=20,"🟠 Moderada","🔴 Lejos"))))</f>
        <v>🟠 Moderada</v>
      </c>
      <c r="G40" s="69">
        <f>IF(OR($B$8=0,B40=""),"",IFERROR(ROUND(IF($D$4="TODOS",IF($B$4="TODOS",(SUMIF('BD SECOS'!Q:Q,B40,'BD SECOS'!Y:Y)+SUMIF('BD PPA'!U:U,B40,'BD PPA'!AE:AE)+SUMIF('BD FRESCOS'!U:U,B40,'BD FRESCOS'!AE:AE))/(COUNTIF('BD SECOS'!Q:Q,B40)+COUNTIF('BD PPA'!U:U,B40)+COUNTIF('BD FRESCOS'!U:U,B40)),IF($B$4="SECOS",AVERAGEIF('BD SECOS'!Q:Q,B40,'BD SECOS'!Y:Y),IF($B$4="PPA",AVERAGEIF('BD PPA'!U:U,B40,'BD PPA'!AE:AE),AVERAGEIF('BD FRESCOS'!U:U,B40,'BD FRESCOS'!AE:AE)))),IF($B$4="TODOS",(SUMIFS('BD SECOS'!Y:Y,'BD SECOS'!Q:Q,B40,'BD SECOS'!AE:AE,$D$4)+SUMIFS('BD PPA'!AE:AE,'BD PPA'!U:U,B40,'BD PPA'!AK:AK,$D$4)+SUMIFS('BD FRESCOS'!AE:AE,'BD FRESCOS'!U:U,B40,'BD FRESCOS'!AK:AK,$D$4))/(COUNTIFS('BD SECOS'!Q:Q,B40,'BD SECOS'!AE:AE,$D$4)+COUNTIFS('BD PPA'!U:U,B40,'BD PPA'!AK:AK,$D$4)+COUNTIFS('BD FRESCOS'!U:U,B40,'BD FRESCOS'!AK:AK,$D$4)),IF($B$4="SECOS",AVERAGEIFS('BD SECOS'!Y:Y,'BD SECOS'!Q:Q,B40,'BD SECOS'!AE:AE,$D$4),IF($B$4="PPA",AVERAGEIFS('BD PPA'!AE:AE,'BD PPA'!U:U,B40,'BD PPA'!AK:AK,$D$4),AVERAGEIFS('BD FRESCOS'!AE:AE,'BD FRESCOS'!U:U,B40,'BD FRESCOS'!AK:AK,$D$4))))),2),""))</f>
        <v>1.78</v>
      </c>
      <c r="H40" s="75" t="str">
        <f t="shared" ref="H40:H74" si="6">IF(OR($B$8=0,G40=""),"",IF(G40&lt;=1,"🟢 Muy Cerca",IF(G40&lt;=3,"🟡 Cerca",IF(G40&lt;=5,"🟠 Moderada","🔴 Lejos"))))</f>
        <v>🟡 Cerca</v>
      </c>
      <c r="I40" s="75" t="str" cm="1">
        <f t="array" ref="I40">IF(OR($B$8=0,B40=""),"",IFERROR(IF($D$4="TODOS",IF($B$4="TODOS",INDEX('BD SECOS'!X:X,MATCH(B40,'BD SECOS'!Q:Q,0)),IF($B$4="SECOS",INDEX('BD SECOS'!X:X,MATCH(B40,'BD SECOS'!Q:Q,0)),IF($B$4="PPA",INDEX('BD PPA'!AD:AD,MATCH(B40,'BD PPA'!U:U,0)),INDEX('BD FRESCOS'!AD:AD,MATCH(B40,'BD FRESCOS'!U:U,0))))),IF($B$4="TODOS",IFERROR(INDEX('BD SECOS'!X:X,MATCH(1,('BD SECOS'!Q:Q=B40)*('BD SECOS'!AE:AE=$D$4),0)),IFERROR(INDEX('BD PPA'!AD:AD,MATCH(1,('BD PPA'!U:U=B40)*('BD PPA'!AK:AK=$D$4),0)),INDEX('BD FRESCOS'!AD:AD,MATCH(1,('BD FRESCOS'!U:U=B40)*('BD FRESCOS'!AK:AK=$D$4),0)))),IF($B$4="SECOS",INDEX('BD SECOS'!X:X,MATCH(1,('BD SECOS'!Q:Q=B40)*('BD SECOS'!AE:AE=$D$4),0)),IF($B$4="PPA",INDEX('BD PPA'!AD:AD,MATCH(1,('BD PPA'!U:U=B40)*('BD PPA'!AK:AK=$D$4),0)),INDEX('BD FRESCOS'!AD:AD,MATCH(1,('BD FRESCOS'!U:U=B40)*('BD FRESCOS'!AK:AK=$D$4),0)))))),""))</f>
        <v>RUTA 8</v>
      </c>
      <c r="J40" s="78" t="str">
        <f t="shared" si="4"/>
        <v>📍 Normal</v>
      </c>
    </row>
    <row r="41" spans="1:10" x14ac:dyDescent="0.35">
      <c r="A41" s="43">
        <f>IF(OR($B$8=0,C41="",C41=0),"",3)</f>
        <v>3</v>
      </c>
      <c r="B41" s="44" t="str">
        <f>IF($B$8=0,"",IFERROR(IF(INDEX(Distritos!$I$7:$I$66,MATCH(SMALL(Distritos!$J$7:$J$66,3),Distritos!$J$7:$J$66,0))=0,"",INDEX(Distritos!$H$7:$H$66,MATCH(SMALL(Distritos!$J$7:$J$66,3),Distritos!$J$7:$J$66,0))),""))</f>
        <v>Lurigancho</v>
      </c>
      <c r="C41" s="71">
        <f>IF($B$8=0,"",IFERROR(IF(INDEX(Distritos!$I$7:$I$66,MATCH(SMALL(Distritos!$J$7:$J$66,3),Distritos!$J$7:$J$66,0))=0,"",INDEX(Distritos!$I$7:$I$66,MATCH(SMALL(Distritos!$J$7:$J$66,3),Distritos!$J$7:$J$66,0))),""))</f>
        <v>21</v>
      </c>
      <c r="D41" s="70">
        <f t="shared" si="3"/>
        <v>0.13725490196078433</v>
      </c>
      <c r="E41" s="69">
        <f>IF(OR($B$8=0,B41=""),"",IFERROR(ROUND(IF($D$4="TODOS",IF($B$4="TODOS",(SUMIF('BD SECOS'!Q:Q,B41,'BD SECOS'!U:U)+SUMIF('BD PPA'!U:U,B41,'BD PPA'!AA:AA)+SUMIF('BD FRESCOS'!U:U,B41,'BD FRESCOS'!AA:AA))/(COUNTIF('BD SECOS'!Q:Q,B41)+COUNTIF('BD PPA'!U:U,B41)+COUNTIF('BD FRESCOS'!U:U,B41)),IF($B$4="SECOS",AVERAGEIF('BD SECOS'!Q:Q,B41,'BD SECOS'!U:U),IF($B$4="PPA",AVERAGEIF('BD PPA'!U:U,B41,'BD PPA'!AA:AA),AVERAGEIF('BD FRESCOS'!U:U,B41,'BD FRESCOS'!AA:AA)))),IF($B$4="TODOS",(SUMIFS('BD SECOS'!U:U,'BD SECOS'!Q:Q,B41,'BD SECOS'!AE:AE,$D$4)+SUMIFS('BD PPA'!AA:AA,'BD PPA'!U:U,B41,'BD PPA'!AK:AK,$D$4)+SUMIFS('BD FRESCOS'!AA:AA,'BD FRESCOS'!U:U,B41,'BD FRESCOS'!AK:AK,$D$4))/(COUNTIFS('BD SECOS'!Q:Q,B41,'BD SECOS'!AE:AE,$D$4)+COUNTIFS('BD PPA'!U:U,B41,'BD PPA'!AK:AK,$D$4)+COUNTIFS('BD FRESCOS'!U:U,B41,'BD FRESCOS'!AK:AK,$D$4)),IF($B$4="SECOS",AVERAGEIFS('BD SECOS'!U:U,'BD SECOS'!Q:Q,B41,'BD SECOS'!AE:AE,$D$4),IF($B$4="PPA",AVERAGEIFS('BD PPA'!AA:AA,'BD PPA'!U:U,B41,'BD PPA'!AK:AK,$D$4),AVERAGEIFS('BD FRESCOS'!AA:AA,'BD FRESCOS'!U:U,B41,'BD FRESCOS'!AK:AK,$D$4))))),2),""))</f>
        <v>9.7100000000000009</v>
      </c>
      <c r="F41" s="75" t="str">
        <f t="shared" si="5"/>
        <v>🟡 Cerca</v>
      </c>
      <c r="G41" s="69">
        <f>IF(OR($B$8=0,B41=""),"",IFERROR(ROUND(IF($D$4="TODOS",IF($B$4="TODOS",(SUMIF('BD SECOS'!Q:Q,B41,'BD SECOS'!Y:Y)+SUMIF('BD PPA'!U:U,B41,'BD PPA'!AE:AE)+SUMIF('BD FRESCOS'!U:U,B41,'BD FRESCOS'!AE:AE))/(COUNTIF('BD SECOS'!Q:Q,B41)+COUNTIF('BD PPA'!U:U,B41)+COUNTIF('BD FRESCOS'!U:U,B41)),IF($B$4="SECOS",AVERAGEIF('BD SECOS'!Q:Q,B41,'BD SECOS'!Y:Y),IF($B$4="PPA",AVERAGEIF('BD PPA'!U:U,B41,'BD PPA'!AE:AE),AVERAGEIF('BD FRESCOS'!U:U,B41,'BD FRESCOS'!AE:AE)))),IF($B$4="TODOS",(SUMIFS('BD SECOS'!Y:Y,'BD SECOS'!Q:Q,B41,'BD SECOS'!AE:AE,$D$4)+SUMIFS('BD PPA'!AE:AE,'BD PPA'!U:U,B41,'BD PPA'!AK:AK,$D$4)+SUMIFS('BD FRESCOS'!AE:AE,'BD FRESCOS'!U:U,B41,'BD FRESCOS'!AK:AK,$D$4))/(COUNTIFS('BD SECOS'!Q:Q,B41,'BD SECOS'!AE:AE,$D$4)+COUNTIFS('BD PPA'!U:U,B41,'BD PPA'!AK:AK,$D$4)+COUNTIFS('BD FRESCOS'!U:U,B41,'BD FRESCOS'!AK:AK,$D$4)),IF($B$4="SECOS",AVERAGEIFS('BD SECOS'!Y:Y,'BD SECOS'!Q:Q,B41,'BD SECOS'!AE:AE,$D$4),IF($B$4="PPA",AVERAGEIFS('BD PPA'!AE:AE,'BD PPA'!U:U,B41,'BD PPA'!AK:AK,$D$4),AVERAGEIFS('BD FRESCOS'!AE:AE,'BD FRESCOS'!U:U,B41,'BD FRESCOS'!AK:AK,$D$4))))),2),""))</f>
        <v>3.41</v>
      </c>
      <c r="H41" s="75" t="str">
        <f t="shared" si="6"/>
        <v>🟠 Moderada</v>
      </c>
      <c r="I41" s="75" t="str" cm="1">
        <f t="array" ref="I41">IF(OR($B$8=0,B41=""),"",IFERROR(IF($D$4="TODOS",IF($B$4="TODOS",INDEX('BD SECOS'!X:X,MATCH(B41,'BD SECOS'!Q:Q,0)),IF($B$4="SECOS",INDEX('BD SECOS'!X:X,MATCH(B41,'BD SECOS'!Q:Q,0)),IF($B$4="PPA",INDEX('BD PPA'!AD:AD,MATCH(B41,'BD PPA'!U:U,0)),INDEX('BD FRESCOS'!AD:AD,MATCH(B41,'BD FRESCOS'!U:U,0))))),IF($B$4="TODOS",IFERROR(INDEX('BD SECOS'!X:X,MATCH(1,('BD SECOS'!Q:Q=B41)*('BD SECOS'!AE:AE=$D$4),0)),IFERROR(INDEX('BD PPA'!AD:AD,MATCH(1,('BD PPA'!U:U=B41)*('BD PPA'!AK:AK=$D$4),0)),INDEX('BD FRESCOS'!AD:AD,MATCH(1,('BD FRESCOS'!U:U=B41)*('BD FRESCOS'!AK:AK=$D$4),0)))),IF($B$4="SECOS",INDEX('BD SECOS'!X:X,MATCH(1,('BD SECOS'!Q:Q=B41)*('BD SECOS'!AE:AE=$D$4),0)),IF($B$4="PPA",INDEX('BD PPA'!AD:AD,MATCH(1,('BD PPA'!U:U=B41)*('BD PPA'!AK:AK=$D$4),0)),INDEX('BD FRESCOS'!AD:AD,MATCH(1,('BD FRESCOS'!U:U=B41)*('BD FRESCOS'!AK:AK=$D$4),0)))))),""))</f>
        <v>RUTA 2</v>
      </c>
      <c r="J41" s="78" t="str">
        <f t="shared" si="4"/>
        <v>📍 Normal</v>
      </c>
    </row>
    <row r="42" spans="1:10" x14ac:dyDescent="0.35">
      <c r="A42" s="43">
        <f>IF(OR($B$8=0,C42="",C42=0),"",4)</f>
        <v>4</v>
      </c>
      <c r="B42" s="44" t="str">
        <f>IF($B$8=0,"",IFERROR(IF(INDEX(Distritos!$I$7:$I$66,MATCH(SMALL(Distritos!$J$7:$J$66,4),Distritos!$J$7:$J$66,0))=0,"",INDEX(Distritos!$H$7:$H$66,MATCH(SMALL(Distritos!$J$7:$J$66,4),Distritos!$J$7:$J$66,0))),""))</f>
        <v>Lima</v>
      </c>
      <c r="C42" s="71">
        <f>IF($B$8=0,"",IFERROR(IF(INDEX(Distritos!$I$7:$I$66,MATCH(SMALL(Distritos!$J$7:$J$66,4),Distritos!$J$7:$J$66,0))=0,"",INDEX(Distritos!$I$7:$I$66,MATCH(SMALL(Distritos!$J$7:$J$66,4),Distritos!$J$7:$J$66,0))),""))</f>
        <v>10</v>
      </c>
      <c r="D42" s="70">
        <f t="shared" si="3"/>
        <v>6.535947712418301E-2</v>
      </c>
      <c r="E42" s="69">
        <f>IF(OR($B$8=0,B42=""),"",IFERROR(ROUND(IF($D$4="TODOS",IF($B$4="TODOS",(SUMIF('BD SECOS'!Q:Q,B42,'BD SECOS'!U:U)+SUMIF('BD PPA'!U:U,B42,'BD PPA'!AA:AA)+SUMIF('BD FRESCOS'!U:U,B42,'BD FRESCOS'!AA:AA))/(COUNTIF('BD SECOS'!Q:Q,B42)+COUNTIF('BD PPA'!U:U,B42)+COUNTIF('BD FRESCOS'!U:U,B42)),IF($B$4="SECOS",AVERAGEIF('BD SECOS'!Q:Q,B42,'BD SECOS'!U:U),IF($B$4="PPA",AVERAGEIF('BD PPA'!U:U,B42,'BD PPA'!AA:AA),AVERAGEIF('BD FRESCOS'!U:U,B42,'BD FRESCOS'!AA:AA)))),IF($B$4="TODOS",(SUMIFS('BD SECOS'!U:U,'BD SECOS'!Q:Q,B42,'BD SECOS'!AE:AE,$D$4)+SUMIFS('BD PPA'!AA:AA,'BD PPA'!U:U,B42,'BD PPA'!AK:AK,$D$4)+SUMIFS('BD FRESCOS'!AA:AA,'BD FRESCOS'!U:U,B42,'BD FRESCOS'!AK:AK,$D$4))/(COUNTIFS('BD SECOS'!Q:Q,B42,'BD SECOS'!AE:AE,$D$4)+COUNTIFS('BD PPA'!U:U,B42,'BD PPA'!AK:AK,$D$4)+COUNTIFS('BD FRESCOS'!U:U,B42,'BD FRESCOS'!AK:AK,$D$4)),IF($B$4="SECOS",AVERAGEIFS('BD SECOS'!U:U,'BD SECOS'!Q:Q,B42,'BD SECOS'!AE:AE,$D$4),IF($B$4="PPA",AVERAGEIFS('BD PPA'!AA:AA,'BD PPA'!U:U,B42,'BD PPA'!AK:AK,$D$4),AVERAGEIFS('BD FRESCOS'!AA:AA,'BD FRESCOS'!U:U,B42,'BD FRESCOS'!AK:AK,$D$4))))),2),""))</f>
        <v>16.920000000000002</v>
      </c>
      <c r="F42" s="75" t="str">
        <f t="shared" si="5"/>
        <v>🟠 Moderada</v>
      </c>
      <c r="G42" s="69">
        <f>IF(OR($B$8=0,B42=""),"",IFERROR(ROUND(IF($D$4="TODOS",IF($B$4="TODOS",(SUMIF('BD SECOS'!Q:Q,B42,'BD SECOS'!Y:Y)+SUMIF('BD PPA'!U:U,B42,'BD PPA'!AE:AE)+SUMIF('BD FRESCOS'!U:U,B42,'BD FRESCOS'!AE:AE))/(COUNTIF('BD SECOS'!Q:Q,B42)+COUNTIF('BD PPA'!U:U,B42)+COUNTIF('BD FRESCOS'!U:U,B42)),IF($B$4="SECOS",AVERAGEIF('BD SECOS'!Q:Q,B42,'BD SECOS'!Y:Y),IF($B$4="PPA",AVERAGEIF('BD PPA'!U:U,B42,'BD PPA'!AE:AE),AVERAGEIF('BD FRESCOS'!U:U,B42,'BD FRESCOS'!AE:AE)))),IF($B$4="TODOS",(SUMIFS('BD SECOS'!Y:Y,'BD SECOS'!Q:Q,B42,'BD SECOS'!AE:AE,$D$4)+SUMIFS('BD PPA'!AE:AE,'BD PPA'!U:U,B42,'BD PPA'!AK:AK,$D$4)+SUMIFS('BD FRESCOS'!AE:AE,'BD FRESCOS'!U:U,B42,'BD FRESCOS'!AK:AK,$D$4))/(COUNTIFS('BD SECOS'!Q:Q,B42,'BD SECOS'!AE:AE,$D$4)+COUNTIFS('BD PPA'!U:U,B42,'BD PPA'!AK:AK,$D$4)+COUNTIFS('BD FRESCOS'!U:U,B42,'BD FRESCOS'!AK:AK,$D$4)),IF($B$4="SECOS",AVERAGEIFS('BD SECOS'!Y:Y,'BD SECOS'!Q:Q,B42,'BD SECOS'!AE:AE,$D$4),IF($B$4="PPA",AVERAGEIFS('BD PPA'!AE:AE,'BD PPA'!U:U,B42,'BD PPA'!AK:AK,$D$4),AVERAGEIFS('BD FRESCOS'!AE:AE,'BD FRESCOS'!U:U,B42,'BD FRESCOS'!AK:AK,$D$4))))),2),""))</f>
        <v>1.37</v>
      </c>
      <c r="H42" s="75" t="str">
        <f t="shared" si="6"/>
        <v>🟡 Cerca</v>
      </c>
      <c r="I42" s="75" t="str" cm="1">
        <f t="array" ref="I42">IF(OR($B$8=0,B42=""),"",IFERROR(IF($D$4="TODOS",IF($B$4="TODOS",INDEX('BD SECOS'!X:X,MATCH(B42,'BD SECOS'!Q:Q,0)),IF($B$4="SECOS",INDEX('BD SECOS'!X:X,MATCH(B42,'BD SECOS'!Q:Q,0)),IF($B$4="PPA",INDEX('BD PPA'!AD:AD,MATCH(B42,'BD PPA'!U:U,0)),INDEX('BD FRESCOS'!AD:AD,MATCH(B42,'BD FRESCOS'!U:U,0))))),IF($B$4="TODOS",IFERROR(INDEX('BD SECOS'!X:X,MATCH(1,('BD SECOS'!Q:Q=B42)*('BD SECOS'!AE:AE=$D$4),0)),IFERROR(INDEX('BD PPA'!AD:AD,MATCH(1,('BD PPA'!U:U=B42)*('BD PPA'!AK:AK=$D$4),0)),INDEX('BD FRESCOS'!AD:AD,MATCH(1,('BD FRESCOS'!U:U=B42)*('BD FRESCOS'!AK:AK=$D$4),0)))),IF($B$4="SECOS",INDEX('BD SECOS'!X:X,MATCH(1,('BD SECOS'!Q:Q=B42)*('BD SECOS'!AE:AE=$D$4),0)),IF($B$4="PPA",INDEX('BD PPA'!AD:AD,MATCH(1,('BD PPA'!U:U=B42)*('BD PPA'!AK:AK=$D$4),0)),INDEX('BD FRESCOS'!AD:AD,MATCH(1,('BD FRESCOS'!U:U=B42)*('BD FRESCOS'!AK:AK=$D$4),0)))))),""))</f>
        <v>RUTA 9</v>
      </c>
      <c r="J42" s="78" t="str">
        <f t="shared" si="4"/>
        <v>📍 Normal</v>
      </c>
    </row>
    <row r="43" spans="1:10" x14ac:dyDescent="0.35">
      <c r="A43" s="43">
        <f>IF(OR($B$8=0,C43="",C43=0),"",5)</f>
        <v>5</v>
      </c>
      <c r="B43" s="44" t="str">
        <f>IF($B$8=0,"",IFERROR(IF(INDEX(Distritos!$I$7:$I$66,MATCH(SMALL(Distritos!$J$7:$J$66,5),Distritos!$J$7:$J$66,0))=0,"",INDEX(Distritos!$H$7:$H$66,MATCH(SMALL(Distritos!$J$7:$J$66,5),Distritos!$J$7:$J$66,0))),""))</f>
        <v>Santiago De Surco</v>
      </c>
      <c r="C43" s="71">
        <f>IF($B$8=0,"",IFERROR(IF(INDEX(Distritos!$I$7:$I$66,MATCH(SMALL(Distritos!$J$7:$J$66,5),Distritos!$J$7:$J$66,0))=0,"",INDEX(Distritos!$I$7:$I$66,MATCH(SMALL(Distritos!$J$7:$J$66,5),Distritos!$J$7:$J$66,0))),""))</f>
        <v>7</v>
      </c>
      <c r="D43" s="70">
        <f t="shared" si="3"/>
        <v>4.5751633986928102E-2</v>
      </c>
      <c r="E43" s="69">
        <f>IF(OR($B$8=0,B43=""),"",IFERROR(ROUND(IF($D$4="TODOS",IF($B$4="TODOS",(SUMIF('BD SECOS'!Q:Q,B43,'BD SECOS'!U:U)+SUMIF('BD PPA'!U:U,B43,'BD PPA'!AA:AA)+SUMIF('BD FRESCOS'!U:U,B43,'BD FRESCOS'!AA:AA))/(COUNTIF('BD SECOS'!Q:Q,B43)+COUNTIF('BD PPA'!U:U,B43)+COUNTIF('BD FRESCOS'!U:U,B43)),IF($B$4="SECOS",AVERAGEIF('BD SECOS'!Q:Q,B43,'BD SECOS'!U:U),IF($B$4="PPA",AVERAGEIF('BD PPA'!U:U,B43,'BD PPA'!AA:AA),AVERAGEIF('BD FRESCOS'!U:U,B43,'BD FRESCOS'!AA:AA)))),IF($B$4="TODOS",(SUMIFS('BD SECOS'!U:U,'BD SECOS'!Q:Q,B43,'BD SECOS'!AE:AE,$D$4)+SUMIFS('BD PPA'!AA:AA,'BD PPA'!U:U,B43,'BD PPA'!AK:AK,$D$4)+SUMIFS('BD FRESCOS'!AA:AA,'BD FRESCOS'!U:U,B43,'BD FRESCOS'!AK:AK,$D$4))/(COUNTIFS('BD SECOS'!Q:Q,B43,'BD SECOS'!AE:AE,$D$4)+COUNTIFS('BD PPA'!U:U,B43,'BD PPA'!AK:AK,$D$4)+COUNTIFS('BD FRESCOS'!U:U,B43,'BD FRESCOS'!AK:AK,$D$4)),IF($B$4="SECOS",AVERAGEIFS('BD SECOS'!U:U,'BD SECOS'!Q:Q,B43,'BD SECOS'!AE:AE,$D$4),IF($B$4="PPA",AVERAGEIFS('BD PPA'!AA:AA,'BD PPA'!U:U,B43,'BD PPA'!AK:AK,$D$4),AVERAGEIFS('BD FRESCOS'!AA:AA,'BD FRESCOS'!U:U,B43,'BD FRESCOS'!AK:AK,$D$4))))),2),""))</f>
        <v>18.72</v>
      </c>
      <c r="F43" s="75" t="str">
        <f t="shared" si="5"/>
        <v>🟠 Moderada</v>
      </c>
      <c r="G43" s="69">
        <f>IF(OR($B$8=0,B43=""),"",IFERROR(ROUND(IF($D$4="TODOS",IF($B$4="TODOS",(SUMIF('BD SECOS'!Q:Q,B43,'BD SECOS'!Y:Y)+SUMIF('BD PPA'!U:U,B43,'BD PPA'!AE:AE)+SUMIF('BD FRESCOS'!U:U,B43,'BD FRESCOS'!AE:AE))/(COUNTIF('BD SECOS'!Q:Q,B43)+COUNTIF('BD PPA'!U:U,B43)+COUNTIF('BD FRESCOS'!U:U,B43)),IF($B$4="SECOS",AVERAGEIF('BD SECOS'!Q:Q,B43,'BD SECOS'!Y:Y),IF($B$4="PPA",AVERAGEIF('BD PPA'!U:U,B43,'BD PPA'!AE:AE),AVERAGEIF('BD FRESCOS'!U:U,B43,'BD FRESCOS'!AE:AE)))),IF($B$4="TODOS",(SUMIFS('BD SECOS'!Y:Y,'BD SECOS'!Q:Q,B43,'BD SECOS'!AE:AE,$D$4)+SUMIFS('BD PPA'!AE:AE,'BD PPA'!U:U,B43,'BD PPA'!AK:AK,$D$4)+SUMIFS('BD FRESCOS'!AE:AE,'BD FRESCOS'!U:U,B43,'BD FRESCOS'!AK:AK,$D$4))/(COUNTIFS('BD SECOS'!Q:Q,B43,'BD SECOS'!AE:AE,$D$4)+COUNTIFS('BD PPA'!U:U,B43,'BD PPA'!AK:AK,$D$4)+COUNTIFS('BD FRESCOS'!U:U,B43,'BD FRESCOS'!AK:AK,$D$4)),IF($B$4="SECOS",AVERAGEIFS('BD SECOS'!Y:Y,'BD SECOS'!Q:Q,B43,'BD SECOS'!AE:AE,$D$4),IF($B$4="PPA",AVERAGEIFS('BD PPA'!AE:AE,'BD PPA'!U:U,B43,'BD PPA'!AK:AK,$D$4),AVERAGEIFS('BD FRESCOS'!AE:AE,'BD FRESCOS'!U:U,B43,'BD FRESCOS'!AK:AK,$D$4))))),2),""))</f>
        <v>1.29</v>
      </c>
      <c r="H43" s="75" t="str">
        <f t="shared" si="6"/>
        <v>🟡 Cerca</v>
      </c>
      <c r="I43" s="75" t="str" cm="1">
        <f t="array" ref="I43">IF(OR($B$8=0,B43=""),"",IFERROR(IF($D$4="TODOS",IF($B$4="TODOS",INDEX('BD SECOS'!X:X,MATCH(B43,'BD SECOS'!Q:Q,0)),IF($B$4="SECOS",INDEX('BD SECOS'!X:X,MATCH(B43,'BD SECOS'!Q:Q,0)),IF($B$4="PPA",INDEX('BD PPA'!AD:AD,MATCH(B43,'BD PPA'!U:U,0)),INDEX('BD FRESCOS'!AD:AD,MATCH(B43,'BD FRESCOS'!U:U,0))))),IF($B$4="TODOS",IFERROR(INDEX('BD SECOS'!X:X,MATCH(1,('BD SECOS'!Q:Q=B43)*('BD SECOS'!AE:AE=$D$4),0)),IFERROR(INDEX('BD PPA'!AD:AD,MATCH(1,('BD PPA'!U:U=B43)*('BD PPA'!AK:AK=$D$4),0)),INDEX('BD FRESCOS'!AD:AD,MATCH(1,('BD FRESCOS'!U:U=B43)*('BD FRESCOS'!AK:AK=$D$4),0)))),IF($B$4="SECOS",INDEX('BD SECOS'!X:X,MATCH(1,('BD SECOS'!Q:Q=B43)*('BD SECOS'!AE:AE=$D$4),0)),IF($B$4="PPA",INDEX('BD PPA'!AD:AD,MATCH(1,('BD PPA'!U:U=B43)*('BD PPA'!AK:AK=$D$4),0)),INDEX('BD FRESCOS'!AD:AD,MATCH(1,('BD FRESCOS'!U:U=B43)*('BD FRESCOS'!AK:AK=$D$4),0)))))),""))</f>
        <v>RUTA 7</v>
      </c>
      <c r="J43" s="78" t="str">
        <f t="shared" si="4"/>
        <v>📍 Normal</v>
      </c>
    </row>
    <row r="44" spans="1:10" x14ac:dyDescent="0.35">
      <c r="A44" s="43">
        <f>IF(OR($B$8=0,C44="",C44=0),"",6)</f>
        <v>6</v>
      </c>
      <c r="B44" s="44" t="str">
        <f>IF($B$8=0,"",IFERROR(IF(INDEX(Distritos!$I$7:$I$66,MATCH(SMALL(Distritos!$J$7:$J$66,6),Distritos!$J$7:$J$66,0))=0,"",INDEX(Distritos!$H$7:$H$66,MATCH(SMALL(Distritos!$J$7:$J$66,6),Distritos!$J$7:$J$66,0))),""))</f>
        <v>Callao</v>
      </c>
      <c r="C44" s="71">
        <f>IF($B$8=0,"",IFERROR(IF(INDEX(Distritos!$I$7:$I$66,MATCH(SMALL(Distritos!$J$7:$J$66,6),Distritos!$J$7:$J$66,0))=0,"",INDEX(Distritos!$I$7:$I$66,MATCH(SMALL(Distritos!$J$7:$J$66,6),Distritos!$J$7:$J$66,0))),""))</f>
        <v>6</v>
      </c>
      <c r="D44" s="70">
        <f t="shared" si="3"/>
        <v>3.9215686274509803E-2</v>
      </c>
      <c r="E44" s="69">
        <f>IF(OR($B$8=0,B44=""),"",IFERROR(ROUND(IF($D$4="TODOS",IF($B$4="TODOS",(SUMIF('BD SECOS'!Q:Q,B44,'BD SECOS'!U:U)+SUMIF('BD PPA'!U:U,B44,'BD PPA'!AA:AA)+SUMIF('BD FRESCOS'!U:U,B44,'BD FRESCOS'!AA:AA))/(COUNTIF('BD SECOS'!Q:Q,B44)+COUNTIF('BD PPA'!U:U,B44)+COUNTIF('BD FRESCOS'!U:U,B44)),IF($B$4="SECOS",AVERAGEIF('BD SECOS'!Q:Q,B44,'BD SECOS'!U:U),IF($B$4="PPA",AVERAGEIF('BD PPA'!U:U,B44,'BD PPA'!AA:AA),AVERAGEIF('BD FRESCOS'!U:U,B44,'BD FRESCOS'!AA:AA)))),IF($B$4="TODOS",(SUMIFS('BD SECOS'!U:U,'BD SECOS'!Q:Q,B44,'BD SECOS'!AE:AE,$D$4)+SUMIFS('BD PPA'!AA:AA,'BD PPA'!U:U,B44,'BD PPA'!AK:AK,$D$4)+SUMIFS('BD FRESCOS'!AA:AA,'BD FRESCOS'!U:U,B44,'BD FRESCOS'!AK:AK,$D$4))/(COUNTIFS('BD SECOS'!Q:Q,B44,'BD SECOS'!AE:AE,$D$4)+COUNTIFS('BD PPA'!U:U,B44,'BD PPA'!AK:AK,$D$4)+COUNTIFS('BD FRESCOS'!U:U,B44,'BD FRESCOS'!AK:AK,$D$4)),IF($B$4="SECOS",AVERAGEIFS('BD SECOS'!U:U,'BD SECOS'!Q:Q,B44,'BD SECOS'!AE:AE,$D$4),IF($B$4="PPA",AVERAGEIFS('BD PPA'!AA:AA,'BD PPA'!U:U,B44,'BD PPA'!AK:AK,$D$4),AVERAGEIFS('BD FRESCOS'!AA:AA,'BD FRESCOS'!U:U,B44,'BD FRESCOS'!AK:AK,$D$4))))),2),""))</f>
        <v>23.02</v>
      </c>
      <c r="F44" s="75" t="str">
        <f t="shared" si="5"/>
        <v>🔴 Lejos</v>
      </c>
      <c r="G44" s="69">
        <f>IF(OR($B$8=0,B44=""),"",IFERROR(ROUND(IF($D$4="TODOS",IF($B$4="TODOS",(SUMIF('BD SECOS'!Q:Q,B44,'BD SECOS'!Y:Y)+SUMIF('BD PPA'!U:U,B44,'BD PPA'!AE:AE)+SUMIF('BD FRESCOS'!U:U,B44,'BD FRESCOS'!AE:AE))/(COUNTIF('BD SECOS'!Q:Q,B44)+COUNTIF('BD PPA'!U:U,B44)+COUNTIF('BD FRESCOS'!U:U,B44)),IF($B$4="SECOS",AVERAGEIF('BD SECOS'!Q:Q,B44,'BD SECOS'!Y:Y),IF($B$4="PPA",AVERAGEIF('BD PPA'!U:U,B44,'BD PPA'!AE:AE),AVERAGEIF('BD FRESCOS'!U:U,B44,'BD FRESCOS'!AE:AE)))),IF($B$4="TODOS",(SUMIFS('BD SECOS'!Y:Y,'BD SECOS'!Q:Q,B44,'BD SECOS'!AE:AE,$D$4)+SUMIFS('BD PPA'!AE:AE,'BD PPA'!U:U,B44,'BD PPA'!AK:AK,$D$4)+SUMIFS('BD FRESCOS'!AE:AE,'BD FRESCOS'!U:U,B44,'BD FRESCOS'!AK:AK,$D$4))/(COUNTIFS('BD SECOS'!Q:Q,B44,'BD SECOS'!AE:AE,$D$4)+COUNTIFS('BD PPA'!U:U,B44,'BD PPA'!AK:AK,$D$4)+COUNTIFS('BD FRESCOS'!U:U,B44,'BD FRESCOS'!AK:AK,$D$4)),IF($B$4="SECOS",AVERAGEIFS('BD SECOS'!Y:Y,'BD SECOS'!Q:Q,B44,'BD SECOS'!AE:AE,$D$4),IF($B$4="PPA",AVERAGEIFS('BD PPA'!AE:AE,'BD PPA'!U:U,B44,'BD PPA'!AK:AK,$D$4),AVERAGEIFS('BD FRESCOS'!AE:AE,'BD FRESCOS'!U:U,B44,'BD FRESCOS'!AK:AK,$D$4))))),2),""))</f>
        <v>1.53</v>
      </c>
      <c r="H44" s="75" t="str">
        <f t="shared" si="6"/>
        <v>🟡 Cerca</v>
      </c>
      <c r="I44" s="75" t="str" cm="1">
        <f t="array" ref="I44">IF(OR($B$8=0,B44=""),"",IFERROR(IF($D$4="TODOS",IF($B$4="TODOS",INDEX('BD SECOS'!X:X,MATCH(B44,'BD SECOS'!Q:Q,0)),IF($B$4="SECOS",INDEX('BD SECOS'!X:X,MATCH(B44,'BD SECOS'!Q:Q,0)),IF($B$4="PPA",INDEX('BD PPA'!AD:AD,MATCH(B44,'BD PPA'!U:U,0)),INDEX('BD FRESCOS'!AD:AD,MATCH(B44,'BD FRESCOS'!U:U,0))))),IF($B$4="TODOS",IFERROR(INDEX('BD SECOS'!X:X,MATCH(1,('BD SECOS'!Q:Q=B44)*('BD SECOS'!AE:AE=$D$4),0)),IFERROR(INDEX('BD PPA'!AD:AD,MATCH(1,('BD PPA'!U:U=B44)*('BD PPA'!AK:AK=$D$4),0)),INDEX('BD FRESCOS'!AD:AD,MATCH(1,('BD FRESCOS'!U:U=B44)*('BD FRESCOS'!AK:AK=$D$4),0)))),IF($B$4="SECOS",INDEX('BD SECOS'!X:X,MATCH(1,('BD SECOS'!Q:Q=B44)*('BD SECOS'!AE:AE=$D$4),0)),IF($B$4="PPA",INDEX('BD PPA'!AD:AD,MATCH(1,('BD PPA'!U:U=B44)*('BD PPA'!AK:AK=$D$4),0)),INDEX('BD FRESCOS'!AD:AD,MATCH(1,('BD FRESCOS'!U:U=B44)*('BD FRESCOS'!AK:AK=$D$4),0)))))),""))</f>
        <v>RUTA 3</v>
      </c>
      <c r="J44" s="78" t="str">
        <f t="shared" si="4"/>
        <v>⚠️ Muy lejos del CD</v>
      </c>
    </row>
    <row r="45" spans="1:10" x14ac:dyDescent="0.35">
      <c r="A45" s="43">
        <f>IF(OR($B$8=0,C45="",C45=0),"",7)</f>
        <v>7</v>
      </c>
      <c r="B45" s="44" t="str">
        <f>IF($B$8=0,"",IFERROR(IF(INDEX(Distritos!$I$7:$I$66,MATCH(SMALL(Distritos!$J$7:$J$66,7),Distritos!$J$7:$J$66,0))=0,"",INDEX(Distritos!$H$7:$H$66,MATCH(SMALL(Distritos!$J$7:$J$66,7),Distritos!$J$7:$J$66,0))),""))</f>
        <v>Los Olivos</v>
      </c>
      <c r="C45" s="71">
        <f>IF($B$8=0,"",IFERROR(IF(INDEX(Distritos!$I$7:$I$66,MATCH(SMALL(Distritos!$J$7:$J$66,7),Distritos!$J$7:$J$66,0))=0,"",INDEX(Distritos!$I$7:$I$66,MATCH(SMALL(Distritos!$J$7:$J$66,7),Distritos!$J$7:$J$66,0))),""))</f>
        <v>6</v>
      </c>
      <c r="D45" s="70">
        <f t="shared" si="3"/>
        <v>3.9215686274509803E-2</v>
      </c>
      <c r="E45" s="69">
        <f>IF(OR($B$8=0,B45=""),"",IFERROR(ROUND(IF($D$4="TODOS",IF($B$4="TODOS",(SUMIF('BD SECOS'!Q:Q,B45,'BD SECOS'!U:U)+SUMIF('BD PPA'!U:U,B45,'BD PPA'!AA:AA)+SUMIF('BD FRESCOS'!U:U,B45,'BD FRESCOS'!AA:AA))/(COUNTIF('BD SECOS'!Q:Q,B45)+COUNTIF('BD PPA'!U:U,B45)+COUNTIF('BD FRESCOS'!U:U,B45)),IF($B$4="SECOS",AVERAGEIF('BD SECOS'!Q:Q,B45,'BD SECOS'!U:U),IF($B$4="PPA",AVERAGEIF('BD PPA'!U:U,B45,'BD PPA'!AA:AA),AVERAGEIF('BD FRESCOS'!U:U,B45,'BD FRESCOS'!AA:AA)))),IF($B$4="TODOS",(SUMIFS('BD SECOS'!U:U,'BD SECOS'!Q:Q,B45,'BD SECOS'!AE:AE,$D$4)+SUMIFS('BD PPA'!AA:AA,'BD PPA'!U:U,B45,'BD PPA'!AK:AK,$D$4)+SUMIFS('BD FRESCOS'!AA:AA,'BD FRESCOS'!U:U,B45,'BD FRESCOS'!AK:AK,$D$4))/(COUNTIFS('BD SECOS'!Q:Q,B45,'BD SECOS'!AE:AE,$D$4)+COUNTIFS('BD PPA'!U:U,B45,'BD PPA'!AK:AK,$D$4)+COUNTIFS('BD FRESCOS'!U:U,B45,'BD FRESCOS'!AK:AK,$D$4)),IF($B$4="SECOS",AVERAGEIFS('BD SECOS'!U:U,'BD SECOS'!Q:Q,B45,'BD SECOS'!AE:AE,$D$4),IF($B$4="PPA",AVERAGEIFS('BD PPA'!AA:AA,'BD PPA'!U:U,B45,'BD PPA'!AK:AK,$D$4),AVERAGEIFS('BD FRESCOS'!AA:AA,'BD FRESCOS'!U:U,B45,'BD FRESCOS'!AK:AK,$D$4))))),2),""))</f>
        <v>18.88</v>
      </c>
      <c r="F45" s="75" t="str">
        <f t="shared" si="5"/>
        <v>🟠 Moderada</v>
      </c>
      <c r="G45" s="69">
        <f>IF(OR($B$8=0,B45=""),"",IFERROR(ROUND(IF($D$4="TODOS",IF($B$4="TODOS",(SUMIF('BD SECOS'!Q:Q,B45,'BD SECOS'!Y:Y)+SUMIF('BD PPA'!U:U,B45,'BD PPA'!AE:AE)+SUMIF('BD FRESCOS'!U:U,B45,'BD FRESCOS'!AE:AE))/(COUNTIF('BD SECOS'!Q:Q,B45)+COUNTIF('BD PPA'!U:U,B45)+COUNTIF('BD FRESCOS'!U:U,B45)),IF($B$4="SECOS",AVERAGEIF('BD SECOS'!Q:Q,B45,'BD SECOS'!Y:Y),IF($B$4="PPA",AVERAGEIF('BD PPA'!U:U,B45,'BD PPA'!AE:AE),AVERAGEIF('BD FRESCOS'!U:U,B45,'BD FRESCOS'!AE:AE)))),IF($B$4="TODOS",(SUMIFS('BD SECOS'!Y:Y,'BD SECOS'!Q:Q,B45,'BD SECOS'!AE:AE,$D$4)+SUMIFS('BD PPA'!AE:AE,'BD PPA'!U:U,B45,'BD PPA'!AK:AK,$D$4)+SUMIFS('BD FRESCOS'!AE:AE,'BD FRESCOS'!U:U,B45,'BD FRESCOS'!AK:AK,$D$4))/(COUNTIFS('BD SECOS'!Q:Q,B45,'BD SECOS'!AE:AE,$D$4)+COUNTIFS('BD PPA'!U:U,B45,'BD PPA'!AK:AK,$D$4)+COUNTIFS('BD FRESCOS'!U:U,B45,'BD FRESCOS'!AK:AK,$D$4)),IF($B$4="SECOS",AVERAGEIFS('BD SECOS'!Y:Y,'BD SECOS'!Q:Q,B45,'BD SECOS'!AE:AE,$D$4),IF($B$4="PPA",AVERAGEIFS('BD PPA'!AE:AE,'BD PPA'!U:U,B45,'BD PPA'!AK:AK,$D$4),AVERAGEIFS('BD FRESCOS'!AE:AE,'BD FRESCOS'!U:U,B45,'BD FRESCOS'!AK:AK,$D$4))))),2),""))</f>
        <v>0.83</v>
      </c>
      <c r="H45" s="75" t="str">
        <f t="shared" si="6"/>
        <v>🟢 Muy Cerca</v>
      </c>
      <c r="I45" s="75" t="str" cm="1">
        <f t="array" ref="I45">IF(OR($B$8=0,B45=""),"",IFERROR(IF($D$4="TODOS",IF($B$4="TODOS",INDEX('BD SECOS'!X:X,MATCH(B45,'BD SECOS'!Q:Q,0)),IF($B$4="SECOS",INDEX('BD SECOS'!X:X,MATCH(B45,'BD SECOS'!Q:Q,0)),IF($B$4="PPA",INDEX('BD PPA'!AD:AD,MATCH(B45,'BD PPA'!U:U,0)),INDEX('BD FRESCOS'!AD:AD,MATCH(B45,'BD FRESCOS'!U:U,0))))),IF($B$4="TODOS",IFERROR(INDEX('BD SECOS'!X:X,MATCH(1,('BD SECOS'!Q:Q=B45)*('BD SECOS'!AE:AE=$D$4),0)),IFERROR(INDEX('BD PPA'!AD:AD,MATCH(1,('BD PPA'!U:U=B45)*('BD PPA'!AK:AK=$D$4),0)),INDEX('BD FRESCOS'!AD:AD,MATCH(1,('BD FRESCOS'!U:U=B45)*('BD FRESCOS'!AK:AK=$D$4),0)))),IF($B$4="SECOS",INDEX('BD SECOS'!X:X,MATCH(1,('BD SECOS'!Q:Q=B45)*('BD SECOS'!AE:AE=$D$4),0)),IF($B$4="PPA",INDEX('BD PPA'!AD:AD,MATCH(1,('BD PPA'!U:U=B45)*('BD PPA'!AK:AK=$D$4),0)),INDEX('BD FRESCOS'!AD:AD,MATCH(1,('BD FRESCOS'!U:U=B45)*('BD FRESCOS'!AK:AK=$D$4),0)))))),""))</f>
        <v>RUTA 7</v>
      </c>
      <c r="J45" s="78" t="str">
        <f t="shared" si="4"/>
        <v>📍 Normal</v>
      </c>
    </row>
    <row r="46" spans="1:10" x14ac:dyDescent="0.35">
      <c r="A46" s="43">
        <f>IF(OR($B$8=0,C46="",C46=0),"",8)</f>
        <v>8</v>
      </c>
      <c r="B46" s="44" t="str">
        <f>IF($B$8=0,"",IFERROR(IF(INDEX(Distritos!$I$7:$I$66,MATCH(SMALL(Distritos!$J$7:$J$66,8),Distritos!$J$7:$J$66,0))=0,"",INDEX(Distritos!$H$7:$H$66,MATCH(SMALL(Distritos!$J$7:$J$66,8),Distritos!$J$7:$J$66,0))),""))</f>
        <v>Carabayllo</v>
      </c>
      <c r="C46" s="71">
        <f>IF($B$8=0,"",IFERROR(IF(INDEX(Distritos!$I$7:$I$66,MATCH(SMALL(Distritos!$J$7:$J$66,8),Distritos!$J$7:$J$66,0))=0,"",INDEX(Distritos!$I$7:$I$66,MATCH(SMALL(Distritos!$J$7:$J$66,8),Distritos!$J$7:$J$66,0))),""))</f>
        <v>4</v>
      </c>
      <c r="D46" s="70">
        <f t="shared" si="3"/>
        <v>2.6143790849673203E-2</v>
      </c>
      <c r="E46" s="69">
        <f>IF(OR($B$8=0,B46=""),"",IFERROR(ROUND(IF($D$4="TODOS",IF($B$4="TODOS",(SUMIF('BD SECOS'!Q:Q,B46,'BD SECOS'!U:U)+SUMIF('BD PPA'!U:U,B46,'BD PPA'!AA:AA)+SUMIF('BD FRESCOS'!U:U,B46,'BD FRESCOS'!AA:AA))/(COUNTIF('BD SECOS'!Q:Q,B46)+COUNTIF('BD PPA'!U:U,B46)+COUNTIF('BD FRESCOS'!U:U,B46)),IF($B$4="SECOS",AVERAGEIF('BD SECOS'!Q:Q,B46,'BD SECOS'!U:U),IF($B$4="PPA",AVERAGEIF('BD PPA'!U:U,B46,'BD PPA'!AA:AA),AVERAGEIF('BD FRESCOS'!U:U,B46,'BD FRESCOS'!AA:AA)))),IF($B$4="TODOS",(SUMIFS('BD SECOS'!U:U,'BD SECOS'!Q:Q,B46,'BD SECOS'!AE:AE,$D$4)+SUMIFS('BD PPA'!AA:AA,'BD PPA'!U:U,B46,'BD PPA'!AK:AK,$D$4)+SUMIFS('BD FRESCOS'!AA:AA,'BD FRESCOS'!U:U,B46,'BD FRESCOS'!AK:AK,$D$4))/(COUNTIFS('BD SECOS'!Q:Q,B46,'BD SECOS'!AE:AE,$D$4)+COUNTIFS('BD PPA'!U:U,B46,'BD PPA'!AK:AK,$D$4)+COUNTIFS('BD FRESCOS'!U:U,B46,'BD FRESCOS'!AK:AK,$D$4)),IF($B$4="SECOS",AVERAGEIFS('BD SECOS'!U:U,'BD SECOS'!Q:Q,B46,'BD SECOS'!AE:AE,$D$4),IF($B$4="PPA",AVERAGEIFS('BD PPA'!AA:AA,'BD PPA'!U:U,B46,'BD PPA'!AK:AK,$D$4),AVERAGEIFS('BD FRESCOS'!AA:AA,'BD FRESCOS'!U:U,B46,'BD FRESCOS'!AK:AK,$D$4))))),2),""))</f>
        <v>20.41</v>
      </c>
      <c r="F46" s="75" t="str">
        <f t="shared" si="5"/>
        <v>🔴 Lejos</v>
      </c>
      <c r="G46" s="69">
        <f>IF(OR($B$8=0,B46=""),"",IFERROR(ROUND(IF($D$4="TODOS",IF($B$4="TODOS",(SUMIF('BD SECOS'!Q:Q,B46,'BD SECOS'!Y:Y)+SUMIF('BD PPA'!U:U,B46,'BD PPA'!AE:AE)+SUMIF('BD FRESCOS'!U:U,B46,'BD FRESCOS'!AE:AE))/(COUNTIF('BD SECOS'!Q:Q,B46)+COUNTIF('BD PPA'!U:U,B46)+COUNTIF('BD FRESCOS'!U:U,B46)),IF($B$4="SECOS",AVERAGEIF('BD SECOS'!Q:Q,B46,'BD SECOS'!Y:Y),IF($B$4="PPA",AVERAGEIF('BD PPA'!U:U,B46,'BD PPA'!AE:AE),AVERAGEIF('BD FRESCOS'!U:U,B46,'BD FRESCOS'!AE:AE)))),IF($B$4="TODOS",(SUMIFS('BD SECOS'!Y:Y,'BD SECOS'!Q:Q,B46,'BD SECOS'!AE:AE,$D$4)+SUMIFS('BD PPA'!AE:AE,'BD PPA'!U:U,B46,'BD PPA'!AK:AK,$D$4)+SUMIFS('BD FRESCOS'!AE:AE,'BD FRESCOS'!U:U,B46,'BD FRESCOS'!AK:AK,$D$4))/(COUNTIFS('BD SECOS'!Q:Q,B46,'BD SECOS'!AE:AE,$D$4)+COUNTIFS('BD PPA'!U:U,B46,'BD PPA'!AK:AK,$D$4)+COUNTIFS('BD FRESCOS'!U:U,B46,'BD FRESCOS'!AK:AK,$D$4)),IF($B$4="SECOS",AVERAGEIFS('BD SECOS'!Y:Y,'BD SECOS'!Q:Q,B46,'BD SECOS'!AE:AE,$D$4),IF($B$4="PPA",AVERAGEIFS('BD PPA'!AE:AE,'BD PPA'!U:U,B46,'BD PPA'!AK:AK,$D$4),AVERAGEIFS('BD FRESCOS'!AE:AE,'BD FRESCOS'!U:U,B46,'BD FRESCOS'!AK:AK,$D$4))))),2),""))</f>
        <v>5.62</v>
      </c>
      <c r="H46" s="75" t="str">
        <f t="shared" si="6"/>
        <v>🔴 Lejos</v>
      </c>
      <c r="I46" s="75" t="str" cm="1">
        <f t="array" ref="I46">IF(OR($B$8=0,B46=""),"",IFERROR(IF($D$4="TODOS",IF($B$4="TODOS",INDEX('BD SECOS'!X:X,MATCH(B46,'BD SECOS'!Q:Q,0)),IF($B$4="SECOS",INDEX('BD SECOS'!X:X,MATCH(B46,'BD SECOS'!Q:Q,0)),IF($B$4="PPA",INDEX('BD PPA'!AD:AD,MATCH(B46,'BD PPA'!U:U,0)),INDEX('BD FRESCOS'!AD:AD,MATCH(B46,'BD FRESCOS'!U:U,0))))),IF($B$4="TODOS",IFERROR(INDEX('BD SECOS'!X:X,MATCH(1,('BD SECOS'!Q:Q=B46)*('BD SECOS'!AE:AE=$D$4),0)),IFERROR(INDEX('BD PPA'!AD:AD,MATCH(1,('BD PPA'!U:U=B46)*('BD PPA'!AK:AK=$D$4),0)),INDEX('BD FRESCOS'!AD:AD,MATCH(1,('BD FRESCOS'!U:U=B46)*('BD FRESCOS'!AK:AK=$D$4),0)))),IF($B$4="SECOS",INDEX('BD SECOS'!X:X,MATCH(1,('BD SECOS'!Q:Q=B46)*('BD SECOS'!AE:AE=$D$4),0)),IF($B$4="PPA",INDEX('BD PPA'!AD:AD,MATCH(1,('BD PPA'!U:U=B46)*('BD PPA'!AK:AK=$D$4),0)),INDEX('BD FRESCOS'!AD:AD,MATCH(1,('BD FRESCOS'!U:U=B46)*('BD FRESCOS'!AK:AK=$D$4),0)))))),""))</f>
        <v>RUTA 4B</v>
      </c>
      <c r="J46" s="78" t="str">
        <f t="shared" si="4"/>
        <v>⚠️ Muy lejos del CD y paraderos</v>
      </c>
    </row>
    <row r="47" spans="1:10" x14ac:dyDescent="0.35">
      <c r="A47" s="43">
        <f>IF(OR($B$8=0,C47="",C47=0),"",9)</f>
        <v>9</v>
      </c>
      <c r="B47" s="44" t="str">
        <f>IF($B$8=0,"",IFERROR(IF(INDEX(Distritos!$I$7:$I$66,MATCH(SMALL(Distritos!$J$7:$J$66,9),Distritos!$J$7:$J$66,0))=0,"",INDEX(Distritos!$H$7:$H$66,MATCH(SMALL(Distritos!$J$7:$J$66,9),Distritos!$J$7:$J$66,0))),""))</f>
        <v>Chaclacayo</v>
      </c>
      <c r="C47" s="71">
        <f>IF($B$8=0,"",IFERROR(IF(INDEX(Distritos!$I$7:$I$66,MATCH(SMALL(Distritos!$J$7:$J$66,9),Distritos!$J$7:$J$66,0))=0,"",INDEX(Distritos!$I$7:$I$66,MATCH(SMALL(Distritos!$J$7:$J$66,9),Distritos!$J$7:$J$66,0))),""))</f>
        <v>4</v>
      </c>
      <c r="D47" s="70">
        <f t="shared" si="3"/>
        <v>2.6143790849673203E-2</v>
      </c>
      <c r="E47" s="69">
        <f>IF(OR($B$8=0,B47=""),"",IFERROR(ROUND(IF($D$4="TODOS",IF($B$4="TODOS",(SUMIF('BD SECOS'!Q:Q,B47,'BD SECOS'!U:U)+SUMIF('BD PPA'!U:U,B47,'BD PPA'!AA:AA)+SUMIF('BD FRESCOS'!U:U,B47,'BD FRESCOS'!AA:AA))/(COUNTIF('BD SECOS'!Q:Q,B47)+COUNTIF('BD PPA'!U:U,B47)+COUNTIF('BD FRESCOS'!U:U,B47)),IF($B$4="SECOS",AVERAGEIF('BD SECOS'!Q:Q,B47,'BD SECOS'!U:U),IF($B$4="PPA",AVERAGEIF('BD PPA'!U:U,B47,'BD PPA'!AA:AA),AVERAGEIF('BD FRESCOS'!U:U,B47,'BD FRESCOS'!AA:AA)))),IF($B$4="TODOS",(SUMIFS('BD SECOS'!U:U,'BD SECOS'!Q:Q,B47,'BD SECOS'!AE:AE,$D$4)+SUMIFS('BD PPA'!AA:AA,'BD PPA'!U:U,B47,'BD PPA'!AK:AK,$D$4)+SUMIFS('BD FRESCOS'!AA:AA,'BD FRESCOS'!U:U,B47,'BD FRESCOS'!AK:AK,$D$4))/(COUNTIFS('BD SECOS'!Q:Q,B47,'BD SECOS'!AE:AE,$D$4)+COUNTIFS('BD PPA'!U:U,B47,'BD PPA'!AK:AK,$D$4)+COUNTIFS('BD FRESCOS'!U:U,B47,'BD FRESCOS'!AK:AK,$D$4)),IF($B$4="SECOS",AVERAGEIFS('BD SECOS'!U:U,'BD SECOS'!Q:Q,B47,'BD SECOS'!AE:AE,$D$4),IF($B$4="PPA",AVERAGEIFS('BD PPA'!AA:AA,'BD PPA'!U:U,B47,'BD PPA'!AK:AK,$D$4),AVERAGEIFS('BD FRESCOS'!AA:AA,'BD FRESCOS'!U:U,B47,'BD FRESCOS'!AK:AK,$D$4))))),2),""))</f>
        <v>10.41</v>
      </c>
      <c r="F47" s="75" t="str">
        <f t="shared" si="5"/>
        <v>🟠 Moderada</v>
      </c>
      <c r="G47" s="69">
        <f>IF(OR($B$8=0,B47=""),"",IFERROR(ROUND(IF($D$4="TODOS",IF($B$4="TODOS",(SUMIF('BD SECOS'!Q:Q,B47,'BD SECOS'!Y:Y)+SUMIF('BD PPA'!U:U,B47,'BD PPA'!AE:AE)+SUMIF('BD FRESCOS'!U:U,B47,'BD FRESCOS'!AE:AE))/(COUNTIF('BD SECOS'!Q:Q,B47)+COUNTIF('BD PPA'!U:U,B47)+COUNTIF('BD FRESCOS'!U:U,B47)),IF($B$4="SECOS",AVERAGEIF('BD SECOS'!Q:Q,B47,'BD SECOS'!Y:Y),IF($B$4="PPA",AVERAGEIF('BD PPA'!U:U,B47,'BD PPA'!AE:AE),AVERAGEIF('BD FRESCOS'!U:U,B47,'BD FRESCOS'!AE:AE)))),IF($B$4="TODOS",(SUMIFS('BD SECOS'!Y:Y,'BD SECOS'!Q:Q,B47,'BD SECOS'!AE:AE,$D$4)+SUMIFS('BD PPA'!AE:AE,'BD PPA'!U:U,B47,'BD PPA'!AK:AK,$D$4)+SUMIFS('BD FRESCOS'!AE:AE,'BD FRESCOS'!U:U,B47,'BD FRESCOS'!AK:AK,$D$4))/(COUNTIFS('BD SECOS'!Q:Q,B47,'BD SECOS'!AE:AE,$D$4)+COUNTIFS('BD PPA'!U:U,B47,'BD PPA'!AK:AK,$D$4)+COUNTIFS('BD FRESCOS'!U:U,B47,'BD FRESCOS'!AK:AK,$D$4)),IF($B$4="SECOS",AVERAGEIFS('BD SECOS'!Y:Y,'BD SECOS'!Q:Q,B47,'BD SECOS'!AE:AE,$D$4),IF($B$4="PPA",AVERAGEIFS('BD PPA'!AE:AE,'BD PPA'!U:U,B47,'BD PPA'!AK:AK,$D$4),AVERAGEIFS('BD FRESCOS'!AE:AE,'BD FRESCOS'!U:U,B47,'BD FRESCOS'!AK:AK,$D$4))))),2),""))</f>
        <v>0.84</v>
      </c>
      <c r="H47" s="75" t="str">
        <f t="shared" si="6"/>
        <v>🟢 Muy Cerca</v>
      </c>
      <c r="I47" s="75" t="str" cm="1">
        <f t="array" ref="I47">IF(OR($B$8=0,B47=""),"",IFERROR(IF($D$4="TODOS",IF($B$4="TODOS",INDEX('BD SECOS'!X:X,MATCH(B47,'BD SECOS'!Q:Q,0)),IF($B$4="SECOS",INDEX('BD SECOS'!X:X,MATCH(B47,'BD SECOS'!Q:Q,0)),IF($B$4="PPA",INDEX('BD PPA'!AD:AD,MATCH(B47,'BD PPA'!U:U,0)),INDEX('BD FRESCOS'!AD:AD,MATCH(B47,'BD FRESCOS'!U:U,0))))),IF($B$4="TODOS",IFERROR(INDEX('BD SECOS'!X:X,MATCH(1,('BD SECOS'!Q:Q=B47)*('BD SECOS'!AE:AE=$D$4),0)),IFERROR(INDEX('BD PPA'!AD:AD,MATCH(1,('BD PPA'!U:U=B47)*('BD PPA'!AK:AK=$D$4),0)),INDEX('BD FRESCOS'!AD:AD,MATCH(1,('BD FRESCOS'!U:U=B47)*('BD FRESCOS'!AK:AK=$D$4),0)))),IF($B$4="SECOS",INDEX('BD SECOS'!X:X,MATCH(1,('BD SECOS'!Q:Q=B47)*('BD SECOS'!AE:AE=$D$4),0)),IF($B$4="PPA",INDEX('BD PPA'!AD:AD,MATCH(1,('BD PPA'!U:U=B47)*('BD PPA'!AK:AK=$D$4),0)),INDEX('BD FRESCOS'!AD:AD,MATCH(1,('BD FRESCOS'!U:U=B47)*('BD FRESCOS'!AK:AK=$D$4),0)))))),""))</f>
        <v>RUTA 5A</v>
      </c>
      <c r="J47" s="78" t="str">
        <f t="shared" si="4"/>
        <v>📍 Normal</v>
      </c>
    </row>
    <row r="48" spans="1:10" x14ac:dyDescent="0.35">
      <c r="A48" s="43">
        <f>IF(OR($B$8=0,C48="",C48=0),"",10)</f>
        <v>10</v>
      </c>
      <c r="B48" s="44" t="str">
        <f>IF($B$8=0,"",IFERROR(IF(INDEX(Distritos!$I$7:$I$66,MATCH(SMALL(Distritos!$J$7:$J$66,10),Distritos!$J$7:$J$66,0))=0,"",INDEX(Distritos!$H$7:$H$66,MATCH(SMALL(Distritos!$J$7:$J$66,10),Distritos!$J$7:$J$66,0))),""))</f>
        <v>San Juan De Miraflores</v>
      </c>
      <c r="C48" s="71">
        <f>IF($B$8=0,"",IFERROR(IF(INDEX(Distritos!$I$7:$I$66,MATCH(SMALL(Distritos!$J$7:$J$66,10),Distritos!$J$7:$J$66,0))=0,"",INDEX(Distritos!$I$7:$I$66,MATCH(SMALL(Distritos!$J$7:$J$66,10),Distritos!$J$7:$J$66,0))),""))</f>
        <v>4</v>
      </c>
      <c r="D48" s="70">
        <f t="shared" si="3"/>
        <v>2.6143790849673203E-2</v>
      </c>
      <c r="E48" s="69">
        <f>IF(OR($B$8=0,B48=""),"",IFERROR(ROUND(IF($D$4="TODOS",IF($B$4="TODOS",(SUMIF('BD SECOS'!Q:Q,B48,'BD SECOS'!U:U)+SUMIF('BD PPA'!U:U,B48,'BD PPA'!AA:AA)+SUMIF('BD FRESCOS'!U:U,B48,'BD FRESCOS'!AA:AA))/(COUNTIF('BD SECOS'!Q:Q,B48)+COUNTIF('BD PPA'!U:U,B48)+COUNTIF('BD FRESCOS'!U:U,B48)),IF($B$4="SECOS",AVERAGEIF('BD SECOS'!Q:Q,B48,'BD SECOS'!U:U),IF($B$4="PPA",AVERAGEIF('BD PPA'!U:U,B48,'BD PPA'!AA:AA),AVERAGEIF('BD FRESCOS'!U:U,B48,'BD FRESCOS'!AA:AA)))),IF($B$4="TODOS",(SUMIFS('BD SECOS'!U:U,'BD SECOS'!Q:Q,B48,'BD SECOS'!AE:AE,$D$4)+SUMIFS('BD PPA'!AA:AA,'BD PPA'!U:U,B48,'BD PPA'!AK:AK,$D$4)+SUMIFS('BD FRESCOS'!AA:AA,'BD FRESCOS'!U:U,B48,'BD FRESCOS'!AK:AK,$D$4))/(COUNTIFS('BD SECOS'!Q:Q,B48,'BD SECOS'!AE:AE,$D$4)+COUNTIFS('BD PPA'!U:U,B48,'BD PPA'!AK:AK,$D$4)+COUNTIFS('BD FRESCOS'!U:U,B48,'BD FRESCOS'!AK:AK,$D$4)),IF($B$4="SECOS",AVERAGEIFS('BD SECOS'!U:U,'BD SECOS'!Q:Q,B48,'BD SECOS'!AE:AE,$D$4),IF($B$4="PPA",AVERAGEIFS('BD PPA'!AA:AA,'BD PPA'!U:U,B48,'BD PPA'!AK:AK,$D$4),AVERAGEIFS('BD FRESCOS'!AA:AA,'BD FRESCOS'!U:U,B48,'BD FRESCOS'!AK:AK,$D$4))))),2),""))</f>
        <v>18.940000000000001</v>
      </c>
      <c r="F48" s="75" t="str">
        <f t="shared" si="5"/>
        <v>🟠 Moderada</v>
      </c>
      <c r="G48" s="69">
        <f>IF(OR($B$8=0,B48=""),"",IFERROR(ROUND(IF($D$4="TODOS",IF($B$4="TODOS",(SUMIF('BD SECOS'!Q:Q,B48,'BD SECOS'!Y:Y)+SUMIF('BD PPA'!U:U,B48,'BD PPA'!AE:AE)+SUMIF('BD FRESCOS'!U:U,B48,'BD FRESCOS'!AE:AE))/(COUNTIF('BD SECOS'!Q:Q,B48)+COUNTIF('BD PPA'!U:U,B48)+COUNTIF('BD FRESCOS'!U:U,B48)),IF($B$4="SECOS",AVERAGEIF('BD SECOS'!Q:Q,B48,'BD SECOS'!Y:Y),IF($B$4="PPA",AVERAGEIF('BD PPA'!U:U,B48,'BD PPA'!AE:AE),AVERAGEIF('BD FRESCOS'!U:U,B48,'BD FRESCOS'!AE:AE)))),IF($B$4="TODOS",(SUMIFS('BD SECOS'!Y:Y,'BD SECOS'!Q:Q,B48,'BD SECOS'!AE:AE,$D$4)+SUMIFS('BD PPA'!AE:AE,'BD PPA'!U:U,B48,'BD PPA'!AK:AK,$D$4)+SUMIFS('BD FRESCOS'!AE:AE,'BD FRESCOS'!U:U,B48,'BD FRESCOS'!AK:AK,$D$4))/(COUNTIFS('BD SECOS'!Q:Q,B48,'BD SECOS'!AE:AE,$D$4)+COUNTIFS('BD PPA'!U:U,B48,'BD PPA'!AK:AK,$D$4)+COUNTIFS('BD FRESCOS'!U:U,B48,'BD FRESCOS'!AK:AK,$D$4)),IF($B$4="SECOS",AVERAGEIFS('BD SECOS'!Y:Y,'BD SECOS'!Q:Q,B48,'BD SECOS'!AE:AE,$D$4),IF($B$4="PPA",AVERAGEIFS('BD PPA'!AE:AE,'BD PPA'!U:U,B48,'BD PPA'!AK:AK,$D$4),AVERAGEIFS('BD FRESCOS'!AE:AE,'BD FRESCOS'!U:U,B48,'BD FRESCOS'!AK:AK,$D$4))))),2),""))</f>
        <v>1.63</v>
      </c>
      <c r="H48" s="75" t="str">
        <f t="shared" si="6"/>
        <v>🟡 Cerca</v>
      </c>
      <c r="I48" s="75" t="str" cm="1">
        <f t="array" ref="I48">IF(OR($B$8=0,B48=""),"",IFERROR(IF($D$4="TODOS",IF($B$4="TODOS",INDEX('BD SECOS'!X:X,MATCH(B48,'BD SECOS'!Q:Q,0)),IF($B$4="SECOS",INDEX('BD SECOS'!X:X,MATCH(B48,'BD SECOS'!Q:Q,0)),IF($B$4="PPA",INDEX('BD PPA'!AD:AD,MATCH(B48,'BD PPA'!U:U,0)),INDEX('BD FRESCOS'!AD:AD,MATCH(B48,'BD FRESCOS'!U:U,0))))),IF($B$4="TODOS",IFERROR(INDEX('BD SECOS'!X:X,MATCH(1,('BD SECOS'!Q:Q=B48)*('BD SECOS'!AE:AE=$D$4),0)),IFERROR(INDEX('BD PPA'!AD:AD,MATCH(1,('BD PPA'!U:U=B48)*('BD PPA'!AK:AK=$D$4),0)),INDEX('BD FRESCOS'!AD:AD,MATCH(1,('BD FRESCOS'!U:U=B48)*('BD FRESCOS'!AK:AK=$D$4),0)))),IF($B$4="SECOS",INDEX('BD SECOS'!X:X,MATCH(1,('BD SECOS'!Q:Q=B48)*('BD SECOS'!AE:AE=$D$4),0)),IF($B$4="PPA",INDEX('BD PPA'!AD:AD,MATCH(1,('BD PPA'!U:U=B48)*('BD PPA'!AK:AK=$D$4),0)),INDEX('BD FRESCOS'!AD:AD,MATCH(1,('BD FRESCOS'!U:U=B48)*('BD FRESCOS'!AK:AK=$D$4),0)))))),""))</f>
        <v>RUTA 7</v>
      </c>
      <c r="J48" s="78" t="str">
        <f t="shared" si="4"/>
        <v>📍 Normal</v>
      </c>
    </row>
    <row r="49" spans="1:10" x14ac:dyDescent="0.35">
      <c r="A49" s="43">
        <f>IF(OR($B$8=0,C49="",C49=0),"",11)</f>
        <v>11</v>
      </c>
      <c r="B49" s="44" t="str">
        <f>IF($B$8=0,"",IFERROR(IF(INDEX(Distritos!$I$7:$I$66,MATCH(SMALL(Distritos!$J$7:$J$66,11),Distritos!$J$7:$J$66,0))=0,"",INDEX(Distritos!$H$7:$H$66,MATCH(SMALL(Distritos!$J$7:$J$66,11),Distritos!$J$7:$J$66,0))),""))</f>
        <v>San Martin De Porres</v>
      </c>
      <c r="C49" s="71">
        <f>IF($B$8=0,"",IFERROR(IF(INDEX(Distritos!$I$7:$I$66,MATCH(SMALL(Distritos!$J$7:$J$66,11),Distritos!$J$7:$J$66,0))=0,"",INDEX(Distritos!$I$7:$I$66,MATCH(SMALL(Distritos!$J$7:$J$66,11),Distritos!$J$7:$J$66,0))),""))</f>
        <v>4</v>
      </c>
      <c r="D49" s="70">
        <f t="shared" si="3"/>
        <v>2.6143790849673203E-2</v>
      </c>
      <c r="E49" s="69">
        <f>IF(OR($B$8=0,B49=""),"",IFERROR(ROUND(IF($D$4="TODOS",IF($B$4="TODOS",(SUMIF('BD SECOS'!Q:Q,B49,'BD SECOS'!U:U)+SUMIF('BD PPA'!U:U,B49,'BD PPA'!AA:AA)+SUMIF('BD FRESCOS'!U:U,B49,'BD FRESCOS'!AA:AA))/(COUNTIF('BD SECOS'!Q:Q,B49)+COUNTIF('BD PPA'!U:U,B49)+COUNTIF('BD FRESCOS'!U:U,B49)),IF($B$4="SECOS",AVERAGEIF('BD SECOS'!Q:Q,B49,'BD SECOS'!U:U),IF($B$4="PPA",AVERAGEIF('BD PPA'!U:U,B49,'BD PPA'!AA:AA),AVERAGEIF('BD FRESCOS'!U:U,B49,'BD FRESCOS'!AA:AA)))),IF($B$4="TODOS",(SUMIFS('BD SECOS'!U:U,'BD SECOS'!Q:Q,B49,'BD SECOS'!AE:AE,$D$4)+SUMIFS('BD PPA'!AA:AA,'BD PPA'!U:U,B49,'BD PPA'!AK:AK,$D$4)+SUMIFS('BD FRESCOS'!AA:AA,'BD FRESCOS'!U:U,B49,'BD FRESCOS'!AK:AK,$D$4))/(COUNTIFS('BD SECOS'!Q:Q,B49,'BD SECOS'!AE:AE,$D$4)+COUNTIFS('BD PPA'!U:U,B49,'BD PPA'!AK:AK,$D$4)+COUNTIFS('BD FRESCOS'!U:U,B49,'BD FRESCOS'!AK:AK,$D$4)),IF($B$4="SECOS",AVERAGEIFS('BD SECOS'!U:U,'BD SECOS'!Q:Q,B49,'BD SECOS'!AE:AE,$D$4),IF($B$4="PPA",AVERAGEIFS('BD PPA'!AA:AA,'BD PPA'!U:U,B49,'BD PPA'!AK:AK,$D$4),AVERAGEIFS('BD FRESCOS'!AA:AA,'BD FRESCOS'!U:U,B49,'BD FRESCOS'!AK:AK,$D$4))))),2),""))</f>
        <v>19.420000000000002</v>
      </c>
      <c r="F49" s="75" t="str">
        <f t="shared" si="5"/>
        <v>🟠 Moderada</v>
      </c>
      <c r="G49" s="69">
        <f>IF(OR($B$8=0,B49=""),"",IFERROR(ROUND(IF($D$4="TODOS",IF($B$4="TODOS",(SUMIF('BD SECOS'!Q:Q,B49,'BD SECOS'!Y:Y)+SUMIF('BD PPA'!U:U,B49,'BD PPA'!AE:AE)+SUMIF('BD FRESCOS'!U:U,B49,'BD FRESCOS'!AE:AE))/(COUNTIF('BD SECOS'!Q:Q,B49)+COUNTIF('BD PPA'!U:U,B49)+COUNTIF('BD FRESCOS'!U:U,B49)),IF($B$4="SECOS",AVERAGEIF('BD SECOS'!Q:Q,B49,'BD SECOS'!Y:Y),IF($B$4="PPA",AVERAGEIF('BD PPA'!U:U,B49,'BD PPA'!AE:AE),AVERAGEIF('BD FRESCOS'!U:U,B49,'BD FRESCOS'!AE:AE)))),IF($B$4="TODOS",(SUMIFS('BD SECOS'!Y:Y,'BD SECOS'!Q:Q,B49,'BD SECOS'!AE:AE,$D$4)+SUMIFS('BD PPA'!AE:AE,'BD PPA'!U:U,B49,'BD PPA'!AK:AK,$D$4)+SUMIFS('BD FRESCOS'!AE:AE,'BD FRESCOS'!U:U,B49,'BD FRESCOS'!AK:AK,$D$4))/(COUNTIFS('BD SECOS'!Q:Q,B49,'BD SECOS'!AE:AE,$D$4)+COUNTIFS('BD PPA'!U:U,B49,'BD PPA'!AK:AK,$D$4)+COUNTIFS('BD FRESCOS'!U:U,B49,'BD FRESCOS'!AK:AK,$D$4)),IF($B$4="SECOS",AVERAGEIFS('BD SECOS'!Y:Y,'BD SECOS'!Q:Q,B49,'BD SECOS'!AE:AE,$D$4),IF($B$4="PPA",AVERAGEIFS('BD PPA'!AE:AE,'BD PPA'!U:U,B49,'BD PPA'!AK:AK,$D$4),AVERAGEIFS('BD FRESCOS'!AE:AE,'BD FRESCOS'!U:U,B49,'BD FRESCOS'!AK:AK,$D$4))))),2),""))</f>
        <v>1.0900000000000001</v>
      </c>
      <c r="H49" s="75" t="str">
        <f t="shared" si="6"/>
        <v>🟡 Cerca</v>
      </c>
      <c r="I49" s="75" t="str" cm="1">
        <f t="array" ref="I49">IF(OR($B$8=0,B49=""),"",IFERROR(IF($D$4="TODOS",IF($B$4="TODOS",INDEX('BD SECOS'!X:X,MATCH(B49,'BD SECOS'!Q:Q,0)),IF($B$4="SECOS",INDEX('BD SECOS'!X:X,MATCH(B49,'BD SECOS'!Q:Q,0)),IF($B$4="PPA",INDEX('BD PPA'!AD:AD,MATCH(B49,'BD PPA'!U:U,0)),INDEX('BD FRESCOS'!AD:AD,MATCH(B49,'BD FRESCOS'!U:U,0))))),IF($B$4="TODOS",IFERROR(INDEX('BD SECOS'!X:X,MATCH(1,('BD SECOS'!Q:Q=B49)*('BD SECOS'!AE:AE=$D$4),0)),IFERROR(INDEX('BD PPA'!AD:AD,MATCH(1,('BD PPA'!U:U=B49)*('BD PPA'!AK:AK=$D$4),0)),INDEX('BD FRESCOS'!AD:AD,MATCH(1,('BD FRESCOS'!U:U=B49)*('BD FRESCOS'!AK:AK=$D$4),0)))),IF($B$4="SECOS",INDEX('BD SECOS'!X:X,MATCH(1,('BD SECOS'!Q:Q=B49)*('BD SECOS'!AE:AE=$D$4),0)),IF($B$4="PPA",INDEX('BD PPA'!AD:AD,MATCH(1,('BD PPA'!U:U=B49)*('BD PPA'!AK:AK=$D$4),0)),INDEX('BD FRESCOS'!AD:AD,MATCH(1,('BD FRESCOS'!U:U=B49)*('BD FRESCOS'!AK:AK=$D$4),0)))))),""))</f>
        <v>RUTA 5A</v>
      </c>
      <c r="J49" s="78" t="str">
        <f t="shared" si="4"/>
        <v>📍 Normal</v>
      </c>
    </row>
    <row r="50" spans="1:10" x14ac:dyDescent="0.35">
      <c r="A50" s="43">
        <f>IF(OR($B$8=0,C50="",C50=0),"",12)</f>
        <v>12</v>
      </c>
      <c r="B50" s="44" t="str">
        <f>IF($B$8=0,"",IFERROR(IF(INDEX(Distritos!$I$7:$I$66,MATCH(SMALL(Distritos!$J$7:$J$66,12),Distritos!$J$7:$J$66,0))=0,"",INDEX(Distritos!$H$7:$H$66,MATCH(SMALL(Distritos!$J$7:$J$66,12),Distritos!$J$7:$J$66,0))),""))</f>
        <v>Santa Anita</v>
      </c>
      <c r="C50" s="71">
        <f>IF($B$8=0,"",IFERROR(IF(INDEX(Distritos!$I$7:$I$66,MATCH(SMALL(Distritos!$J$7:$J$66,12),Distritos!$J$7:$J$66,0))=0,"",INDEX(Distritos!$I$7:$I$66,MATCH(SMALL(Distritos!$J$7:$J$66,12),Distritos!$J$7:$J$66,0))),""))</f>
        <v>4</v>
      </c>
      <c r="D50" s="70">
        <f t="shared" si="3"/>
        <v>2.6143790849673203E-2</v>
      </c>
      <c r="E50" s="69">
        <f>IF(OR($B$8=0,B50=""),"",IFERROR(ROUND(IF($D$4="TODOS",IF($B$4="TODOS",(SUMIF('BD SECOS'!Q:Q,B50,'BD SECOS'!U:U)+SUMIF('BD PPA'!U:U,B50,'BD PPA'!AA:AA)+SUMIF('BD FRESCOS'!U:U,B50,'BD FRESCOS'!AA:AA))/(COUNTIF('BD SECOS'!Q:Q,B50)+COUNTIF('BD PPA'!U:U,B50)+COUNTIF('BD FRESCOS'!U:U,B50)),IF($B$4="SECOS",AVERAGEIF('BD SECOS'!Q:Q,B50,'BD SECOS'!U:U),IF($B$4="PPA",AVERAGEIF('BD PPA'!U:U,B50,'BD PPA'!AA:AA),AVERAGEIF('BD FRESCOS'!U:U,B50,'BD FRESCOS'!AA:AA)))),IF($B$4="TODOS",(SUMIFS('BD SECOS'!U:U,'BD SECOS'!Q:Q,B50,'BD SECOS'!AE:AE,$D$4)+SUMIFS('BD PPA'!AA:AA,'BD PPA'!U:U,B50,'BD PPA'!AK:AK,$D$4)+SUMIFS('BD FRESCOS'!AA:AA,'BD FRESCOS'!U:U,B50,'BD FRESCOS'!AK:AK,$D$4))/(COUNTIFS('BD SECOS'!Q:Q,B50,'BD SECOS'!AE:AE,$D$4)+COUNTIFS('BD PPA'!U:U,B50,'BD PPA'!AK:AK,$D$4)+COUNTIFS('BD FRESCOS'!U:U,B50,'BD FRESCOS'!AK:AK,$D$4)),IF($B$4="SECOS",AVERAGEIFS('BD SECOS'!U:U,'BD SECOS'!Q:Q,B50,'BD SECOS'!AE:AE,$D$4),IF($B$4="PPA",AVERAGEIFS('BD PPA'!AA:AA,'BD PPA'!U:U,B50,'BD PPA'!AK:AK,$D$4),AVERAGEIFS('BD FRESCOS'!AA:AA,'BD FRESCOS'!U:U,B50,'BD FRESCOS'!AK:AK,$D$4))))),2),""))</f>
        <v>7.93</v>
      </c>
      <c r="F50" s="75" t="str">
        <f t="shared" si="5"/>
        <v>🟡 Cerca</v>
      </c>
      <c r="G50" s="69">
        <f>IF(OR($B$8=0,B50=""),"",IFERROR(ROUND(IF($D$4="TODOS",IF($B$4="TODOS",(SUMIF('BD SECOS'!Q:Q,B50,'BD SECOS'!Y:Y)+SUMIF('BD PPA'!U:U,B50,'BD PPA'!AE:AE)+SUMIF('BD FRESCOS'!U:U,B50,'BD FRESCOS'!AE:AE))/(COUNTIF('BD SECOS'!Q:Q,B50)+COUNTIF('BD PPA'!U:U,B50)+COUNTIF('BD FRESCOS'!U:U,B50)),IF($B$4="SECOS",AVERAGEIF('BD SECOS'!Q:Q,B50,'BD SECOS'!Y:Y),IF($B$4="PPA",AVERAGEIF('BD PPA'!U:U,B50,'BD PPA'!AE:AE),AVERAGEIF('BD FRESCOS'!U:U,B50,'BD FRESCOS'!AE:AE)))),IF($B$4="TODOS",(SUMIFS('BD SECOS'!Y:Y,'BD SECOS'!Q:Q,B50,'BD SECOS'!AE:AE,$D$4)+SUMIFS('BD PPA'!AE:AE,'BD PPA'!U:U,B50,'BD PPA'!AK:AK,$D$4)+SUMIFS('BD FRESCOS'!AE:AE,'BD FRESCOS'!U:U,B50,'BD FRESCOS'!AK:AK,$D$4))/(COUNTIFS('BD SECOS'!Q:Q,B50,'BD SECOS'!AE:AE,$D$4)+COUNTIFS('BD PPA'!U:U,B50,'BD PPA'!AK:AK,$D$4)+COUNTIFS('BD FRESCOS'!U:U,B50,'BD FRESCOS'!AK:AK,$D$4)),IF($B$4="SECOS",AVERAGEIFS('BD SECOS'!Y:Y,'BD SECOS'!Q:Q,B50,'BD SECOS'!AE:AE,$D$4),IF($B$4="PPA",AVERAGEIFS('BD PPA'!AE:AE,'BD PPA'!U:U,B50,'BD PPA'!AK:AK,$D$4),AVERAGEIFS('BD FRESCOS'!AE:AE,'BD FRESCOS'!U:U,B50,'BD FRESCOS'!AK:AK,$D$4))))),2),""))</f>
        <v>0.52</v>
      </c>
      <c r="H50" s="75" t="str">
        <f t="shared" si="6"/>
        <v>🟢 Muy Cerca</v>
      </c>
      <c r="I50" s="75" t="str" cm="1">
        <f t="array" ref="I50">IF(OR($B$8=0,B50=""),"",IFERROR(IF($D$4="TODOS",IF($B$4="TODOS",INDEX('BD SECOS'!X:X,MATCH(B50,'BD SECOS'!Q:Q,0)),IF($B$4="SECOS",INDEX('BD SECOS'!X:X,MATCH(B50,'BD SECOS'!Q:Q,0)),IF($B$4="PPA",INDEX('BD PPA'!AD:AD,MATCH(B50,'BD PPA'!U:U,0)),INDEX('BD FRESCOS'!AD:AD,MATCH(B50,'BD FRESCOS'!U:U,0))))),IF($B$4="TODOS",IFERROR(INDEX('BD SECOS'!X:X,MATCH(1,('BD SECOS'!Q:Q=B50)*('BD SECOS'!AE:AE=$D$4),0)),IFERROR(INDEX('BD PPA'!AD:AD,MATCH(1,('BD PPA'!U:U=B50)*('BD PPA'!AK:AK=$D$4),0)),INDEX('BD FRESCOS'!AD:AD,MATCH(1,('BD FRESCOS'!U:U=B50)*('BD FRESCOS'!AK:AK=$D$4),0)))),IF($B$4="SECOS",INDEX('BD SECOS'!X:X,MATCH(1,('BD SECOS'!Q:Q=B50)*('BD SECOS'!AE:AE=$D$4),0)),IF($B$4="PPA",INDEX('BD PPA'!AD:AD,MATCH(1,('BD PPA'!U:U=B50)*('BD PPA'!AK:AK=$D$4),0)),INDEX('BD FRESCOS'!AD:AD,MATCH(1,('BD FRESCOS'!U:U=B50)*('BD FRESCOS'!AK:AK=$D$4),0)))))),""))</f>
        <v>RUTA 4A</v>
      </c>
      <c r="J50" s="78" t="str">
        <f t="shared" si="4"/>
        <v>📍 Normal</v>
      </c>
    </row>
    <row r="51" spans="1:10" x14ac:dyDescent="0.35">
      <c r="A51" s="43">
        <f>IF(OR($B$8=0,C51="",C51=0),"",13)</f>
        <v>13</v>
      </c>
      <c r="B51" s="44" t="str">
        <f>IF($B$8=0,"",IFERROR(IF(INDEX(Distritos!$I$7:$I$66,MATCH(SMALL(Distritos!$J$7:$J$66,13),Distritos!$J$7:$J$66,0))=0,"",INDEX(Distritos!$H$7:$H$66,MATCH(SMALL(Distritos!$J$7:$J$66,13),Distritos!$J$7:$J$66,0))),""))</f>
        <v>El Agustino</v>
      </c>
      <c r="C51" s="71">
        <f>IF($B$8=0,"",IFERROR(IF(INDEX(Distritos!$I$7:$I$66,MATCH(SMALL(Distritos!$J$7:$J$66,13),Distritos!$J$7:$J$66,0))=0,"",INDEX(Distritos!$I$7:$I$66,MATCH(SMALL(Distritos!$J$7:$J$66,13),Distritos!$J$7:$J$66,0))),""))</f>
        <v>3</v>
      </c>
      <c r="D51" s="70">
        <f t="shared" si="3"/>
        <v>1.9607843137254902E-2</v>
      </c>
      <c r="E51" s="69">
        <f>IF(OR($B$8=0,B51=""),"",IFERROR(ROUND(IF($D$4="TODOS",IF($B$4="TODOS",(SUMIF('BD SECOS'!Q:Q,B51,'BD SECOS'!U:U)+SUMIF('BD PPA'!U:U,B51,'BD PPA'!AA:AA)+SUMIF('BD FRESCOS'!U:U,B51,'BD FRESCOS'!AA:AA))/(COUNTIF('BD SECOS'!Q:Q,B51)+COUNTIF('BD PPA'!U:U,B51)+COUNTIF('BD FRESCOS'!U:U,B51)),IF($B$4="SECOS",AVERAGEIF('BD SECOS'!Q:Q,B51,'BD SECOS'!U:U),IF($B$4="PPA",AVERAGEIF('BD PPA'!U:U,B51,'BD PPA'!AA:AA),AVERAGEIF('BD FRESCOS'!U:U,B51,'BD FRESCOS'!AA:AA)))),IF($B$4="TODOS",(SUMIFS('BD SECOS'!U:U,'BD SECOS'!Q:Q,B51,'BD SECOS'!AE:AE,$D$4)+SUMIFS('BD PPA'!AA:AA,'BD PPA'!U:U,B51,'BD PPA'!AK:AK,$D$4)+SUMIFS('BD FRESCOS'!AA:AA,'BD FRESCOS'!U:U,B51,'BD FRESCOS'!AK:AK,$D$4))/(COUNTIFS('BD SECOS'!Q:Q,B51,'BD SECOS'!AE:AE,$D$4)+COUNTIFS('BD PPA'!U:U,B51,'BD PPA'!AK:AK,$D$4)+COUNTIFS('BD FRESCOS'!U:U,B51,'BD FRESCOS'!AK:AK,$D$4)),IF($B$4="SECOS",AVERAGEIFS('BD SECOS'!U:U,'BD SECOS'!Q:Q,B51,'BD SECOS'!AE:AE,$D$4),IF($B$4="PPA",AVERAGEIFS('BD PPA'!AA:AA,'BD PPA'!U:U,B51,'BD PPA'!AK:AK,$D$4),AVERAGEIFS('BD FRESCOS'!AA:AA,'BD FRESCOS'!U:U,B51,'BD FRESCOS'!AK:AK,$D$4))))),2),""))</f>
        <v>10.72</v>
      </c>
      <c r="F51" s="75" t="str">
        <f t="shared" si="5"/>
        <v>🟠 Moderada</v>
      </c>
      <c r="G51" s="69">
        <f>IF(OR($B$8=0,B51=""),"",IFERROR(ROUND(IF($D$4="TODOS",IF($B$4="TODOS",(SUMIF('BD SECOS'!Q:Q,B51,'BD SECOS'!Y:Y)+SUMIF('BD PPA'!U:U,B51,'BD PPA'!AE:AE)+SUMIF('BD FRESCOS'!U:U,B51,'BD FRESCOS'!AE:AE))/(COUNTIF('BD SECOS'!Q:Q,B51)+COUNTIF('BD PPA'!U:U,B51)+COUNTIF('BD FRESCOS'!U:U,B51)),IF($B$4="SECOS",AVERAGEIF('BD SECOS'!Q:Q,B51,'BD SECOS'!Y:Y),IF($B$4="PPA",AVERAGEIF('BD PPA'!U:U,B51,'BD PPA'!AE:AE),AVERAGEIF('BD FRESCOS'!U:U,B51,'BD FRESCOS'!AE:AE)))),IF($B$4="TODOS",(SUMIFS('BD SECOS'!Y:Y,'BD SECOS'!Q:Q,B51,'BD SECOS'!AE:AE,$D$4)+SUMIFS('BD PPA'!AE:AE,'BD PPA'!U:U,B51,'BD PPA'!AK:AK,$D$4)+SUMIFS('BD FRESCOS'!AE:AE,'BD FRESCOS'!U:U,B51,'BD FRESCOS'!AK:AK,$D$4))/(COUNTIFS('BD SECOS'!Q:Q,B51,'BD SECOS'!AE:AE,$D$4)+COUNTIFS('BD PPA'!U:U,B51,'BD PPA'!AK:AK,$D$4)+COUNTIFS('BD FRESCOS'!U:U,B51,'BD FRESCOS'!AK:AK,$D$4)),IF($B$4="SECOS",AVERAGEIFS('BD SECOS'!Y:Y,'BD SECOS'!Q:Q,B51,'BD SECOS'!AE:AE,$D$4),IF($B$4="PPA",AVERAGEIFS('BD PPA'!AE:AE,'BD PPA'!U:U,B51,'BD PPA'!AK:AK,$D$4),AVERAGEIFS('BD FRESCOS'!AE:AE,'BD FRESCOS'!U:U,B51,'BD FRESCOS'!AK:AK,$D$4))))),2),""))</f>
        <v>1.1599999999999999</v>
      </c>
      <c r="H51" s="75" t="str">
        <f t="shared" si="6"/>
        <v>🟡 Cerca</v>
      </c>
      <c r="I51" s="75" t="str" cm="1">
        <f t="array" ref="I51">IF(OR($B$8=0,B51=""),"",IFERROR(IF($D$4="TODOS",IF($B$4="TODOS",INDEX('BD SECOS'!X:X,MATCH(B51,'BD SECOS'!Q:Q,0)),IF($B$4="SECOS",INDEX('BD SECOS'!X:X,MATCH(B51,'BD SECOS'!Q:Q,0)),IF($B$4="PPA",INDEX('BD PPA'!AD:AD,MATCH(B51,'BD PPA'!U:U,0)),INDEX('BD FRESCOS'!AD:AD,MATCH(B51,'BD FRESCOS'!U:U,0))))),IF($B$4="TODOS",IFERROR(INDEX('BD SECOS'!X:X,MATCH(1,('BD SECOS'!Q:Q=B51)*('BD SECOS'!AE:AE=$D$4),0)),IFERROR(INDEX('BD PPA'!AD:AD,MATCH(1,('BD PPA'!U:U=B51)*('BD PPA'!AK:AK=$D$4),0)),INDEX('BD FRESCOS'!AD:AD,MATCH(1,('BD FRESCOS'!U:U=B51)*('BD FRESCOS'!AK:AK=$D$4),0)))),IF($B$4="SECOS",INDEX('BD SECOS'!X:X,MATCH(1,('BD SECOS'!Q:Q=B51)*('BD SECOS'!AE:AE=$D$4),0)),IF($B$4="PPA",INDEX('BD PPA'!AD:AD,MATCH(1,('BD PPA'!U:U=B51)*('BD PPA'!AK:AK=$D$4),0)),INDEX('BD FRESCOS'!AD:AD,MATCH(1,('BD FRESCOS'!U:U=B51)*('BD FRESCOS'!AK:AK=$D$4),0)))))),""))</f>
        <v>RUTA 6C</v>
      </c>
      <c r="J51" s="78" t="str">
        <f t="shared" si="4"/>
        <v>📍 Normal</v>
      </c>
    </row>
    <row r="52" spans="1:10" x14ac:dyDescent="0.35">
      <c r="A52" s="43">
        <f>IF(OR($B$8=0,C52="",C52=0),"",14)</f>
        <v>14</v>
      </c>
      <c r="B52" s="44" t="str">
        <f>IF($B$8=0,"",IFERROR(IF(INDEX(Distritos!$I$7:$I$66,MATCH(SMALL(Distritos!$J$7:$J$66,14),Distritos!$J$7:$J$66,0))=0,"",INDEX(Distritos!$H$7:$H$66,MATCH(SMALL(Distritos!$J$7:$J$66,14),Distritos!$J$7:$J$66,0))),""))</f>
        <v>La Molina</v>
      </c>
      <c r="C52" s="71">
        <f>IF($B$8=0,"",IFERROR(IF(INDEX(Distritos!$I$7:$I$66,MATCH(SMALL(Distritos!$J$7:$J$66,14),Distritos!$J$7:$J$66,0))=0,"",INDEX(Distritos!$I$7:$I$66,MATCH(SMALL(Distritos!$J$7:$J$66,14),Distritos!$J$7:$J$66,0))),""))</f>
        <v>3</v>
      </c>
      <c r="D52" s="70">
        <f t="shared" si="3"/>
        <v>1.9607843137254902E-2</v>
      </c>
      <c r="E52" s="69">
        <f>IF(OR($B$8=0,B52=""),"",IFERROR(ROUND(IF($D$4="TODOS",IF($B$4="TODOS",(SUMIF('BD SECOS'!Q:Q,B52,'BD SECOS'!U:U)+SUMIF('BD PPA'!U:U,B52,'BD PPA'!AA:AA)+SUMIF('BD FRESCOS'!U:U,B52,'BD FRESCOS'!AA:AA))/(COUNTIF('BD SECOS'!Q:Q,B52)+COUNTIF('BD PPA'!U:U,B52)+COUNTIF('BD FRESCOS'!U:U,B52)),IF($B$4="SECOS",AVERAGEIF('BD SECOS'!Q:Q,B52,'BD SECOS'!U:U),IF($B$4="PPA",AVERAGEIF('BD PPA'!U:U,B52,'BD PPA'!AA:AA),AVERAGEIF('BD FRESCOS'!U:U,B52,'BD FRESCOS'!AA:AA)))),IF($B$4="TODOS",(SUMIFS('BD SECOS'!U:U,'BD SECOS'!Q:Q,B52,'BD SECOS'!AE:AE,$D$4)+SUMIFS('BD PPA'!AA:AA,'BD PPA'!U:U,B52,'BD PPA'!AK:AK,$D$4)+SUMIFS('BD FRESCOS'!AA:AA,'BD FRESCOS'!U:U,B52,'BD FRESCOS'!AK:AK,$D$4))/(COUNTIFS('BD SECOS'!Q:Q,B52,'BD SECOS'!AE:AE,$D$4)+COUNTIFS('BD PPA'!U:U,B52,'BD PPA'!AK:AK,$D$4)+COUNTIFS('BD FRESCOS'!U:U,B52,'BD FRESCOS'!AK:AK,$D$4)),IF($B$4="SECOS",AVERAGEIFS('BD SECOS'!U:U,'BD SECOS'!Q:Q,B52,'BD SECOS'!AE:AE,$D$4),IF($B$4="PPA",AVERAGEIFS('BD PPA'!AA:AA,'BD PPA'!U:U,B52,'BD PPA'!AK:AK,$D$4),AVERAGEIFS('BD FRESCOS'!AA:AA,'BD FRESCOS'!U:U,B52,'BD FRESCOS'!AK:AK,$D$4))))),2),""))</f>
        <v>12.23</v>
      </c>
      <c r="F52" s="75" t="str">
        <f t="shared" si="5"/>
        <v>🟠 Moderada</v>
      </c>
      <c r="G52" s="69">
        <f>IF(OR($B$8=0,B52=""),"",IFERROR(ROUND(IF($D$4="TODOS",IF($B$4="TODOS",(SUMIF('BD SECOS'!Q:Q,B52,'BD SECOS'!Y:Y)+SUMIF('BD PPA'!U:U,B52,'BD PPA'!AE:AE)+SUMIF('BD FRESCOS'!U:U,B52,'BD FRESCOS'!AE:AE))/(COUNTIF('BD SECOS'!Q:Q,B52)+COUNTIF('BD PPA'!U:U,B52)+COUNTIF('BD FRESCOS'!U:U,B52)),IF($B$4="SECOS",AVERAGEIF('BD SECOS'!Q:Q,B52,'BD SECOS'!Y:Y),IF($B$4="PPA",AVERAGEIF('BD PPA'!U:U,B52,'BD PPA'!AE:AE),AVERAGEIF('BD FRESCOS'!U:U,B52,'BD FRESCOS'!AE:AE)))),IF($B$4="TODOS",(SUMIFS('BD SECOS'!Y:Y,'BD SECOS'!Q:Q,B52,'BD SECOS'!AE:AE,$D$4)+SUMIFS('BD PPA'!AE:AE,'BD PPA'!U:U,B52,'BD PPA'!AK:AK,$D$4)+SUMIFS('BD FRESCOS'!AE:AE,'BD FRESCOS'!U:U,B52,'BD FRESCOS'!AK:AK,$D$4))/(COUNTIFS('BD SECOS'!Q:Q,B52,'BD SECOS'!AE:AE,$D$4)+COUNTIFS('BD PPA'!U:U,B52,'BD PPA'!AK:AK,$D$4)+COUNTIFS('BD FRESCOS'!U:U,B52,'BD FRESCOS'!AK:AK,$D$4)),IF($B$4="SECOS",AVERAGEIFS('BD SECOS'!Y:Y,'BD SECOS'!Q:Q,B52,'BD SECOS'!AE:AE,$D$4),IF($B$4="PPA",AVERAGEIFS('BD PPA'!AE:AE,'BD PPA'!U:U,B52,'BD PPA'!AK:AK,$D$4),AVERAGEIFS('BD FRESCOS'!AE:AE,'BD FRESCOS'!U:U,B52,'BD FRESCOS'!AK:AK,$D$4))))),2),""))</f>
        <v>2.25</v>
      </c>
      <c r="H52" s="75" t="str">
        <f t="shared" si="6"/>
        <v>🟡 Cerca</v>
      </c>
      <c r="I52" s="75" t="str" cm="1">
        <f t="array" ref="I52">IF(OR($B$8=0,B52=""),"",IFERROR(IF($D$4="TODOS",IF($B$4="TODOS",INDEX('BD SECOS'!X:X,MATCH(B52,'BD SECOS'!Q:Q,0)),IF($B$4="SECOS",INDEX('BD SECOS'!X:X,MATCH(B52,'BD SECOS'!Q:Q,0)),IF($B$4="PPA",INDEX('BD PPA'!AD:AD,MATCH(B52,'BD PPA'!U:U,0)),INDEX('BD FRESCOS'!AD:AD,MATCH(B52,'BD FRESCOS'!U:U,0))))),IF($B$4="TODOS",IFERROR(INDEX('BD SECOS'!X:X,MATCH(1,('BD SECOS'!Q:Q=B52)*('BD SECOS'!AE:AE=$D$4),0)),IFERROR(INDEX('BD PPA'!AD:AD,MATCH(1,('BD PPA'!U:U=B52)*('BD PPA'!AK:AK=$D$4),0)),INDEX('BD FRESCOS'!AD:AD,MATCH(1,('BD FRESCOS'!U:U=B52)*('BD FRESCOS'!AK:AK=$D$4),0)))),IF($B$4="SECOS",INDEX('BD SECOS'!X:X,MATCH(1,('BD SECOS'!Q:Q=B52)*('BD SECOS'!AE:AE=$D$4),0)),IF($B$4="PPA",INDEX('BD PPA'!AD:AD,MATCH(1,('BD PPA'!U:U=B52)*('BD PPA'!AK:AK=$D$4),0)),INDEX('BD FRESCOS'!AD:AD,MATCH(1,('BD FRESCOS'!U:U=B52)*('BD FRESCOS'!AK:AK=$D$4),0)))))),""))</f>
        <v>RUTA 7</v>
      </c>
      <c r="J52" s="78" t="str">
        <f t="shared" si="4"/>
        <v>📍 Normal</v>
      </c>
    </row>
    <row r="53" spans="1:10" x14ac:dyDescent="0.35">
      <c r="A53" s="43">
        <f>IF(OR($B$8=0,C53="",C53=0),"",15)</f>
        <v>15</v>
      </c>
      <c r="B53" s="44" t="str">
        <f>IF($B$8=0,"",IFERROR(IF(INDEX(Distritos!$I$7:$I$66,MATCH(SMALL(Distritos!$J$7:$J$66,15),Distritos!$J$7:$J$66,0))=0,"",INDEX(Distritos!$H$7:$H$66,MATCH(SMALL(Distritos!$J$7:$J$66,15),Distritos!$J$7:$J$66,0))),""))</f>
        <v>Pueblo Libre</v>
      </c>
      <c r="C53" s="71">
        <f>IF($B$8=0,"",IFERROR(IF(INDEX(Distritos!$I$7:$I$66,MATCH(SMALL(Distritos!$J$7:$J$66,15),Distritos!$J$7:$J$66,0))=0,"",INDEX(Distritos!$I$7:$I$66,MATCH(SMALL(Distritos!$J$7:$J$66,15),Distritos!$J$7:$J$66,0))),""))</f>
        <v>3</v>
      </c>
      <c r="D53" s="70">
        <f t="shared" si="3"/>
        <v>1.9607843137254902E-2</v>
      </c>
      <c r="E53" s="69">
        <f>IF(OR($B$8=0,B53=""),"",IFERROR(ROUND(IF($D$4="TODOS",IF($B$4="TODOS",(SUMIF('BD SECOS'!Q:Q,B53,'BD SECOS'!U:U)+SUMIF('BD PPA'!U:U,B53,'BD PPA'!AA:AA)+SUMIF('BD FRESCOS'!U:U,B53,'BD FRESCOS'!AA:AA))/(COUNTIF('BD SECOS'!Q:Q,B53)+COUNTIF('BD PPA'!U:U,B53)+COUNTIF('BD FRESCOS'!U:U,B53)),IF($B$4="SECOS",AVERAGEIF('BD SECOS'!Q:Q,B53,'BD SECOS'!U:U),IF($B$4="PPA",AVERAGEIF('BD PPA'!U:U,B53,'BD PPA'!AA:AA),AVERAGEIF('BD FRESCOS'!U:U,B53,'BD FRESCOS'!AA:AA)))),IF($B$4="TODOS",(SUMIFS('BD SECOS'!U:U,'BD SECOS'!Q:Q,B53,'BD SECOS'!AE:AE,$D$4)+SUMIFS('BD PPA'!AA:AA,'BD PPA'!U:U,B53,'BD PPA'!AK:AK,$D$4)+SUMIFS('BD FRESCOS'!AA:AA,'BD FRESCOS'!U:U,B53,'BD FRESCOS'!AK:AK,$D$4))/(COUNTIFS('BD SECOS'!Q:Q,B53,'BD SECOS'!AE:AE,$D$4)+COUNTIFS('BD PPA'!U:U,B53,'BD PPA'!AK:AK,$D$4)+COUNTIFS('BD FRESCOS'!U:U,B53,'BD FRESCOS'!AK:AK,$D$4)),IF($B$4="SECOS",AVERAGEIFS('BD SECOS'!U:U,'BD SECOS'!Q:Q,B53,'BD SECOS'!AE:AE,$D$4),IF($B$4="PPA",AVERAGEIFS('BD PPA'!AA:AA,'BD PPA'!U:U,B53,'BD PPA'!AK:AK,$D$4),AVERAGEIFS('BD FRESCOS'!AA:AA,'BD FRESCOS'!U:U,B53,'BD FRESCOS'!AK:AK,$D$4))))),2),""))</f>
        <v>20.07</v>
      </c>
      <c r="F53" s="75" t="str">
        <f t="shared" si="5"/>
        <v>🔴 Lejos</v>
      </c>
      <c r="G53" s="69">
        <f>IF(OR($B$8=0,B53=""),"",IFERROR(ROUND(IF($D$4="TODOS",IF($B$4="TODOS",(SUMIF('BD SECOS'!Q:Q,B53,'BD SECOS'!Y:Y)+SUMIF('BD PPA'!U:U,B53,'BD PPA'!AE:AE)+SUMIF('BD FRESCOS'!U:U,B53,'BD FRESCOS'!AE:AE))/(COUNTIF('BD SECOS'!Q:Q,B53)+COUNTIF('BD PPA'!U:U,B53)+COUNTIF('BD FRESCOS'!U:U,B53)),IF($B$4="SECOS",AVERAGEIF('BD SECOS'!Q:Q,B53,'BD SECOS'!Y:Y),IF($B$4="PPA",AVERAGEIF('BD PPA'!U:U,B53,'BD PPA'!AE:AE),AVERAGEIF('BD FRESCOS'!U:U,B53,'BD FRESCOS'!AE:AE)))),IF($B$4="TODOS",(SUMIFS('BD SECOS'!Y:Y,'BD SECOS'!Q:Q,B53,'BD SECOS'!AE:AE,$D$4)+SUMIFS('BD PPA'!AE:AE,'BD PPA'!U:U,B53,'BD PPA'!AK:AK,$D$4)+SUMIFS('BD FRESCOS'!AE:AE,'BD FRESCOS'!U:U,B53,'BD FRESCOS'!AK:AK,$D$4))/(COUNTIFS('BD SECOS'!Q:Q,B53,'BD SECOS'!AE:AE,$D$4)+COUNTIFS('BD PPA'!U:U,B53,'BD PPA'!AK:AK,$D$4)+COUNTIFS('BD FRESCOS'!U:U,B53,'BD FRESCOS'!AK:AK,$D$4)),IF($B$4="SECOS",AVERAGEIFS('BD SECOS'!Y:Y,'BD SECOS'!Q:Q,B53,'BD SECOS'!AE:AE,$D$4),IF($B$4="PPA",AVERAGEIFS('BD PPA'!AE:AE,'BD PPA'!U:U,B53,'BD PPA'!AK:AK,$D$4),AVERAGEIFS('BD FRESCOS'!AE:AE,'BD FRESCOS'!U:U,B53,'BD FRESCOS'!AK:AK,$D$4))))),2),""))</f>
        <v>1.85</v>
      </c>
      <c r="H53" s="75" t="str">
        <f t="shared" si="6"/>
        <v>🟡 Cerca</v>
      </c>
      <c r="I53" s="75" t="str" cm="1">
        <f t="array" ref="I53">IF(OR($B$8=0,B53=""),"",IFERROR(IF($D$4="TODOS",IF($B$4="TODOS",INDEX('BD SECOS'!X:X,MATCH(B53,'BD SECOS'!Q:Q,0)),IF($B$4="SECOS",INDEX('BD SECOS'!X:X,MATCH(B53,'BD SECOS'!Q:Q,0)),IF($B$4="PPA",INDEX('BD PPA'!AD:AD,MATCH(B53,'BD PPA'!U:U,0)),INDEX('BD FRESCOS'!AD:AD,MATCH(B53,'BD FRESCOS'!U:U,0))))),IF($B$4="TODOS",IFERROR(INDEX('BD SECOS'!X:X,MATCH(1,('BD SECOS'!Q:Q=B53)*('BD SECOS'!AE:AE=$D$4),0)),IFERROR(INDEX('BD PPA'!AD:AD,MATCH(1,('BD PPA'!U:U=B53)*('BD PPA'!AK:AK=$D$4),0)),INDEX('BD FRESCOS'!AD:AD,MATCH(1,('BD FRESCOS'!U:U=B53)*('BD FRESCOS'!AK:AK=$D$4),0)))),IF($B$4="SECOS",INDEX('BD SECOS'!X:X,MATCH(1,('BD SECOS'!Q:Q=B53)*('BD SECOS'!AE:AE=$D$4),0)),IF($B$4="PPA",INDEX('BD PPA'!AD:AD,MATCH(1,('BD PPA'!U:U=B53)*('BD PPA'!AK:AK=$D$4),0)),INDEX('BD FRESCOS'!AD:AD,MATCH(1,('BD FRESCOS'!U:U=B53)*('BD FRESCOS'!AK:AK=$D$4),0)))))),""))</f>
        <v>RUTA 9</v>
      </c>
      <c r="J53" s="78" t="str">
        <f t="shared" si="4"/>
        <v>⚠️ Muy lejos del CD</v>
      </c>
    </row>
    <row r="54" spans="1:10" x14ac:dyDescent="0.35">
      <c r="A54" s="43">
        <f>IF(OR($B$8=0,C54="",C54=0),"",16)</f>
        <v>16</v>
      </c>
      <c r="B54" s="44" t="str">
        <f>IF($B$8=0,"",IFERROR(IF(INDEX(Distritos!$I$7:$I$66,MATCH(SMALL(Distritos!$J$7:$J$66,16),Distritos!$J$7:$J$66,0))=0,"",INDEX(Distritos!$H$7:$H$66,MATCH(SMALL(Distritos!$J$7:$J$66,16),Distritos!$J$7:$J$66,0))),""))</f>
        <v>Brena</v>
      </c>
      <c r="C54" s="71">
        <f>IF($B$8=0,"",IFERROR(IF(INDEX(Distritos!$I$7:$I$66,MATCH(SMALL(Distritos!$J$7:$J$66,16),Distritos!$J$7:$J$66,0))=0,"",INDEX(Distritos!$I$7:$I$66,MATCH(SMALL(Distritos!$J$7:$J$66,16),Distritos!$J$7:$J$66,0))),""))</f>
        <v>2</v>
      </c>
      <c r="D54" s="70">
        <f t="shared" si="3"/>
        <v>1.3071895424836602E-2</v>
      </c>
      <c r="E54" s="69">
        <f>IF(OR($B$8=0,B54=""),"",IFERROR(ROUND(IF($D$4="TODOS",IF($B$4="TODOS",(SUMIF('BD SECOS'!Q:Q,B54,'BD SECOS'!U:U)+SUMIF('BD PPA'!U:U,B54,'BD PPA'!AA:AA)+SUMIF('BD FRESCOS'!U:U,B54,'BD FRESCOS'!AA:AA))/(COUNTIF('BD SECOS'!Q:Q,B54)+COUNTIF('BD PPA'!U:U,B54)+COUNTIF('BD FRESCOS'!U:U,B54)),IF($B$4="SECOS",AVERAGEIF('BD SECOS'!Q:Q,B54,'BD SECOS'!U:U),IF($B$4="PPA",AVERAGEIF('BD PPA'!U:U,B54,'BD PPA'!AA:AA),AVERAGEIF('BD FRESCOS'!U:U,B54,'BD FRESCOS'!AA:AA)))),IF($B$4="TODOS",(SUMIFS('BD SECOS'!U:U,'BD SECOS'!Q:Q,B54,'BD SECOS'!AE:AE,$D$4)+SUMIFS('BD PPA'!AA:AA,'BD PPA'!U:U,B54,'BD PPA'!AK:AK,$D$4)+SUMIFS('BD FRESCOS'!AA:AA,'BD FRESCOS'!U:U,B54,'BD FRESCOS'!AK:AK,$D$4))/(COUNTIFS('BD SECOS'!Q:Q,B54,'BD SECOS'!AE:AE,$D$4)+COUNTIFS('BD PPA'!U:U,B54,'BD PPA'!AK:AK,$D$4)+COUNTIFS('BD FRESCOS'!U:U,B54,'BD FRESCOS'!AK:AK,$D$4)),IF($B$4="SECOS",AVERAGEIFS('BD SECOS'!U:U,'BD SECOS'!Q:Q,B54,'BD SECOS'!AE:AE,$D$4),IF($B$4="PPA",AVERAGEIFS('BD PPA'!AA:AA,'BD PPA'!U:U,B54,'BD PPA'!AK:AK,$D$4),AVERAGEIFS('BD FRESCOS'!AA:AA,'BD FRESCOS'!U:U,B54,'BD FRESCOS'!AK:AK,$D$4))))),2),""))</f>
        <v>18.02</v>
      </c>
      <c r="F54" s="75" t="str">
        <f t="shared" si="5"/>
        <v>🟠 Moderada</v>
      </c>
      <c r="G54" s="69">
        <f>IF(OR($B$8=0,B54=""),"",IFERROR(ROUND(IF($D$4="TODOS",IF($B$4="TODOS",(SUMIF('BD SECOS'!Q:Q,B54,'BD SECOS'!Y:Y)+SUMIF('BD PPA'!U:U,B54,'BD PPA'!AE:AE)+SUMIF('BD FRESCOS'!U:U,B54,'BD FRESCOS'!AE:AE))/(COUNTIF('BD SECOS'!Q:Q,B54)+COUNTIF('BD PPA'!U:U,B54)+COUNTIF('BD FRESCOS'!U:U,B54)),IF($B$4="SECOS",AVERAGEIF('BD SECOS'!Q:Q,B54,'BD SECOS'!Y:Y),IF($B$4="PPA",AVERAGEIF('BD PPA'!U:U,B54,'BD PPA'!AE:AE),AVERAGEIF('BD FRESCOS'!U:U,B54,'BD FRESCOS'!AE:AE)))),IF($B$4="TODOS",(SUMIFS('BD SECOS'!Y:Y,'BD SECOS'!Q:Q,B54,'BD SECOS'!AE:AE,$D$4)+SUMIFS('BD PPA'!AE:AE,'BD PPA'!U:U,B54,'BD PPA'!AK:AK,$D$4)+SUMIFS('BD FRESCOS'!AE:AE,'BD FRESCOS'!U:U,B54,'BD FRESCOS'!AK:AK,$D$4))/(COUNTIFS('BD SECOS'!Q:Q,B54,'BD SECOS'!AE:AE,$D$4)+COUNTIFS('BD PPA'!U:U,B54,'BD PPA'!AK:AK,$D$4)+COUNTIFS('BD FRESCOS'!U:U,B54,'BD FRESCOS'!AK:AK,$D$4)),IF($B$4="SECOS",AVERAGEIFS('BD SECOS'!Y:Y,'BD SECOS'!Q:Q,B54,'BD SECOS'!AE:AE,$D$4),IF($B$4="PPA",AVERAGEIFS('BD PPA'!AE:AE,'BD PPA'!U:U,B54,'BD PPA'!AK:AK,$D$4),AVERAGEIFS('BD FRESCOS'!AE:AE,'BD FRESCOS'!U:U,B54,'BD FRESCOS'!AK:AK,$D$4))))),2),""))</f>
        <v>1.79</v>
      </c>
      <c r="H54" s="75" t="str">
        <f t="shared" si="6"/>
        <v>🟡 Cerca</v>
      </c>
      <c r="I54" s="75" t="str" cm="1">
        <f t="array" ref="I54">IF(OR($B$8=0,B54=""),"",IFERROR(IF($D$4="TODOS",IF($B$4="TODOS",INDEX('BD SECOS'!X:X,MATCH(B54,'BD SECOS'!Q:Q,0)),IF($B$4="SECOS",INDEX('BD SECOS'!X:X,MATCH(B54,'BD SECOS'!Q:Q,0)),IF($B$4="PPA",INDEX('BD PPA'!AD:AD,MATCH(B54,'BD PPA'!U:U,0)),INDEX('BD FRESCOS'!AD:AD,MATCH(B54,'BD FRESCOS'!U:U,0))))),IF($B$4="TODOS",IFERROR(INDEX('BD SECOS'!X:X,MATCH(1,('BD SECOS'!Q:Q=B54)*('BD SECOS'!AE:AE=$D$4),0)),IFERROR(INDEX('BD PPA'!AD:AD,MATCH(1,('BD PPA'!U:U=B54)*('BD PPA'!AK:AK=$D$4),0)),INDEX('BD FRESCOS'!AD:AD,MATCH(1,('BD FRESCOS'!U:U=B54)*('BD FRESCOS'!AK:AK=$D$4),0)))),IF($B$4="SECOS",INDEX('BD SECOS'!X:X,MATCH(1,('BD SECOS'!Q:Q=B54)*('BD SECOS'!AE:AE=$D$4),0)),IF($B$4="PPA",INDEX('BD PPA'!AD:AD,MATCH(1,('BD PPA'!U:U=B54)*('BD PPA'!AK:AK=$D$4),0)),INDEX('BD FRESCOS'!AD:AD,MATCH(1,('BD FRESCOS'!U:U=B54)*('BD FRESCOS'!AK:AK=$D$4),0)))))),""))</f>
        <v>RUTA 3</v>
      </c>
      <c r="J54" s="78" t="str">
        <f t="shared" si="4"/>
        <v>📍 Normal</v>
      </c>
    </row>
    <row r="55" spans="1:10" x14ac:dyDescent="0.35">
      <c r="A55" s="43">
        <f>IF(OR($B$8=0,C55="",C55=0),"",17)</f>
        <v>17</v>
      </c>
      <c r="B55" s="44" t="str">
        <f>IF($B$8=0,"",IFERROR(IF(INDEX(Distritos!$I$7:$I$66,MATCH(SMALL(Distritos!$J$7:$J$66,17),Distritos!$J$7:$J$66,0))=0,"",INDEX(Distritos!$H$7:$H$66,MATCH(SMALL(Distritos!$J$7:$J$66,17),Distritos!$J$7:$J$66,0))),""))</f>
        <v>Chorrillos</v>
      </c>
      <c r="C55" s="71">
        <f>IF($B$8=0,"",IFERROR(IF(INDEX(Distritos!$I$7:$I$66,MATCH(SMALL(Distritos!$J$7:$J$66,17),Distritos!$J$7:$J$66,0))=0,"",INDEX(Distritos!$I$7:$I$66,MATCH(SMALL(Distritos!$J$7:$J$66,17),Distritos!$J$7:$J$66,0))),""))</f>
        <v>2</v>
      </c>
      <c r="D55" s="70">
        <f t="shared" si="3"/>
        <v>1.3071895424836602E-2</v>
      </c>
      <c r="E55" s="69">
        <f>IF(OR($B$8=0,B55=""),"",IFERROR(ROUND(IF($D$4="TODOS",IF($B$4="TODOS",(SUMIF('BD SECOS'!Q:Q,B55,'BD SECOS'!U:U)+SUMIF('BD PPA'!U:U,B55,'BD PPA'!AA:AA)+SUMIF('BD FRESCOS'!U:U,B55,'BD FRESCOS'!AA:AA))/(COUNTIF('BD SECOS'!Q:Q,B55)+COUNTIF('BD PPA'!U:U,B55)+COUNTIF('BD FRESCOS'!U:U,B55)),IF($B$4="SECOS",AVERAGEIF('BD SECOS'!Q:Q,B55,'BD SECOS'!U:U),IF($B$4="PPA",AVERAGEIF('BD PPA'!U:U,B55,'BD PPA'!AA:AA),AVERAGEIF('BD FRESCOS'!U:U,B55,'BD FRESCOS'!AA:AA)))),IF($B$4="TODOS",(SUMIFS('BD SECOS'!U:U,'BD SECOS'!Q:Q,B55,'BD SECOS'!AE:AE,$D$4)+SUMIFS('BD PPA'!AA:AA,'BD PPA'!U:U,B55,'BD PPA'!AK:AK,$D$4)+SUMIFS('BD FRESCOS'!AA:AA,'BD FRESCOS'!U:U,B55,'BD FRESCOS'!AK:AK,$D$4))/(COUNTIFS('BD SECOS'!Q:Q,B55,'BD SECOS'!AE:AE,$D$4)+COUNTIFS('BD PPA'!U:U,B55,'BD PPA'!AK:AK,$D$4)+COUNTIFS('BD FRESCOS'!U:U,B55,'BD FRESCOS'!AK:AK,$D$4)),IF($B$4="SECOS",AVERAGEIFS('BD SECOS'!U:U,'BD SECOS'!Q:Q,B55,'BD SECOS'!AE:AE,$D$4),IF($B$4="PPA",AVERAGEIFS('BD PPA'!AA:AA,'BD PPA'!U:U,B55,'BD PPA'!AK:AK,$D$4),AVERAGEIFS('BD FRESCOS'!AA:AA,'BD FRESCOS'!U:U,B55,'BD FRESCOS'!AK:AK,$D$4))))),2),""))</f>
        <v>24.03</v>
      </c>
      <c r="F55" s="75" t="str">
        <f t="shared" si="5"/>
        <v>🔴 Lejos</v>
      </c>
      <c r="G55" s="69">
        <f>IF(OR($B$8=0,B55=""),"",IFERROR(ROUND(IF($D$4="TODOS",IF($B$4="TODOS",(SUMIF('BD SECOS'!Q:Q,B55,'BD SECOS'!Y:Y)+SUMIF('BD PPA'!U:U,B55,'BD PPA'!AE:AE)+SUMIF('BD FRESCOS'!U:U,B55,'BD FRESCOS'!AE:AE))/(COUNTIF('BD SECOS'!Q:Q,B55)+COUNTIF('BD PPA'!U:U,B55)+COUNTIF('BD FRESCOS'!U:U,B55)),IF($B$4="SECOS",AVERAGEIF('BD SECOS'!Q:Q,B55,'BD SECOS'!Y:Y),IF($B$4="PPA",AVERAGEIF('BD PPA'!U:U,B55,'BD PPA'!AE:AE),AVERAGEIF('BD FRESCOS'!U:U,B55,'BD FRESCOS'!AE:AE)))),IF($B$4="TODOS",(SUMIFS('BD SECOS'!Y:Y,'BD SECOS'!Q:Q,B55,'BD SECOS'!AE:AE,$D$4)+SUMIFS('BD PPA'!AE:AE,'BD PPA'!U:U,B55,'BD PPA'!AK:AK,$D$4)+SUMIFS('BD FRESCOS'!AE:AE,'BD FRESCOS'!U:U,B55,'BD FRESCOS'!AK:AK,$D$4))/(COUNTIFS('BD SECOS'!Q:Q,B55,'BD SECOS'!AE:AE,$D$4)+COUNTIFS('BD PPA'!U:U,B55,'BD PPA'!AK:AK,$D$4)+COUNTIFS('BD FRESCOS'!U:U,B55,'BD FRESCOS'!AK:AK,$D$4)),IF($B$4="SECOS",AVERAGEIFS('BD SECOS'!Y:Y,'BD SECOS'!Q:Q,B55,'BD SECOS'!AE:AE,$D$4),IF($B$4="PPA",AVERAGEIFS('BD PPA'!AE:AE,'BD PPA'!U:U,B55,'BD PPA'!AK:AK,$D$4),AVERAGEIFS('BD FRESCOS'!AE:AE,'BD FRESCOS'!U:U,B55,'BD FRESCOS'!AK:AK,$D$4))))),2),""))</f>
        <v>3.54</v>
      </c>
      <c r="H55" s="75" t="str">
        <f t="shared" si="6"/>
        <v>🟠 Moderada</v>
      </c>
      <c r="I55" s="75" t="str" cm="1">
        <f t="array" ref="I55">IF(OR($B$8=0,B55=""),"",IFERROR(IF($D$4="TODOS",IF($B$4="TODOS",INDEX('BD SECOS'!X:X,MATCH(B55,'BD SECOS'!Q:Q,0)),IF($B$4="SECOS",INDEX('BD SECOS'!X:X,MATCH(B55,'BD SECOS'!Q:Q,0)),IF($B$4="PPA",INDEX('BD PPA'!AD:AD,MATCH(B55,'BD PPA'!U:U,0)),INDEX('BD FRESCOS'!AD:AD,MATCH(B55,'BD FRESCOS'!U:U,0))))),IF($B$4="TODOS",IFERROR(INDEX('BD SECOS'!X:X,MATCH(1,('BD SECOS'!Q:Q=B55)*('BD SECOS'!AE:AE=$D$4),0)),IFERROR(INDEX('BD PPA'!AD:AD,MATCH(1,('BD PPA'!U:U=B55)*('BD PPA'!AK:AK=$D$4),0)),INDEX('BD FRESCOS'!AD:AD,MATCH(1,('BD FRESCOS'!U:U=B55)*('BD FRESCOS'!AK:AK=$D$4),0)))),IF($B$4="SECOS",INDEX('BD SECOS'!X:X,MATCH(1,('BD SECOS'!Q:Q=B55)*('BD SECOS'!AE:AE=$D$4),0)),IF($B$4="PPA",INDEX('BD PPA'!AD:AD,MATCH(1,('BD PPA'!U:U=B55)*('BD PPA'!AK:AK=$D$4),0)),INDEX('BD FRESCOS'!AD:AD,MATCH(1,('BD FRESCOS'!U:U=B55)*('BD FRESCOS'!AK:AK=$D$4),0)))))),""))</f>
        <v>RUTA 7</v>
      </c>
      <c r="J55" s="78" t="str">
        <f t="shared" si="4"/>
        <v>⚠️ Muy lejos del CD</v>
      </c>
    </row>
    <row r="56" spans="1:10" x14ac:dyDescent="0.35">
      <c r="A56" s="43">
        <f>IF(OR($B$8=0,C56="",C56=0),"",18)</f>
        <v>18</v>
      </c>
      <c r="B56" s="44" t="str">
        <f>IF($B$8=0,"",IFERROR(IF(INDEX(Distritos!$I$7:$I$66,MATCH(SMALL(Distritos!$J$7:$J$66,18),Distritos!$J$7:$J$66,0))=0,"",INDEX(Distritos!$H$7:$H$66,MATCH(SMALL(Distritos!$J$7:$J$66,18),Distritos!$J$7:$J$66,0))),""))</f>
        <v>Independencia</v>
      </c>
      <c r="C56" s="71">
        <f>IF($B$8=0,"",IFERROR(IF(INDEX(Distritos!$I$7:$I$66,MATCH(SMALL(Distritos!$J$7:$J$66,18),Distritos!$J$7:$J$66,0))=0,"",INDEX(Distritos!$I$7:$I$66,MATCH(SMALL(Distritos!$J$7:$J$66,18),Distritos!$J$7:$J$66,0))),""))</f>
        <v>2</v>
      </c>
      <c r="D56" s="70">
        <f t="shared" si="3"/>
        <v>1.3071895424836602E-2</v>
      </c>
      <c r="E56" s="69">
        <f>IF(OR($B$8=0,B56=""),"",IFERROR(ROUND(IF($D$4="TODOS",IF($B$4="TODOS",(SUMIF('BD SECOS'!Q:Q,B56,'BD SECOS'!U:U)+SUMIF('BD PPA'!U:U,B56,'BD PPA'!AA:AA)+SUMIF('BD FRESCOS'!U:U,B56,'BD FRESCOS'!AA:AA))/(COUNTIF('BD SECOS'!Q:Q,B56)+COUNTIF('BD PPA'!U:U,B56)+COUNTIF('BD FRESCOS'!U:U,B56)),IF($B$4="SECOS",AVERAGEIF('BD SECOS'!Q:Q,B56,'BD SECOS'!U:U),IF($B$4="PPA",AVERAGEIF('BD PPA'!U:U,B56,'BD PPA'!AA:AA),AVERAGEIF('BD FRESCOS'!U:U,B56,'BD FRESCOS'!AA:AA)))),IF($B$4="TODOS",(SUMIFS('BD SECOS'!U:U,'BD SECOS'!Q:Q,B56,'BD SECOS'!AE:AE,$D$4)+SUMIFS('BD PPA'!AA:AA,'BD PPA'!U:U,B56,'BD PPA'!AK:AK,$D$4)+SUMIFS('BD FRESCOS'!AA:AA,'BD FRESCOS'!U:U,B56,'BD FRESCOS'!AK:AK,$D$4))/(COUNTIFS('BD SECOS'!Q:Q,B56,'BD SECOS'!AE:AE,$D$4)+COUNTIFS('BD PPA'!U:U,B56,'BD PPA'!AK:AK,$D$4)+COUNTIFS('BD FRESCOS'!U:U,B56,'BD FRESCOS'!AK:AK,$D$4)),IF($B$4="SECOS",AVERAGEIFS('BD SECOS'!U:U,'BD SECOS'!Q:Q,B56,'BD SECOS'!AE:AE,$D$4),IF($B$4="PPA",AVERAGEIFS('BD PPA'!AA:AA,'BD PPA'!U:U,B56,'BD PPA'!AK:AK,$D$4),AVERAGEIFS('BD FRESCOS'!AA:AA,'BD FRESCOS'!U:U,B56,'BD FRESCOS'!AK:AK,$D$4))))),2),""))</f>
        <v>16.73</v>
      </c>
      <c r="F56" s="75" t="str">
        <f t="shared" si="5"/>
        <v>🟠 Moderada</v>
      </c>
      <c r="G56" s="69">
        <f>IF(OR($B$8=0,B56=""),"",IFERROR(ROUND(IF($D$4="TODOS",IF($B$4="TODOS",(SUMIF('BD SECOS'!Q:Q,B56,'BD SECOS'!Y:Y)+SUMIF('BD PPA'!U:U,B56,'BD PPA'!AE:AE)+SUMIF('BD FRESCOS'!U:U,B56,'BD FRESCOS'!AE:AE))/(COUNTIF('BD SECOS'!Q:Q,B56)+COUNTIF('BD PPA'!U:U,B56)+COUNTIF('BD FRESCOS'!U:U,B56)),IF($B$4="SECOS",AVERAGEIF('BD SECOS'!Q:Q,B56,'BD SECOS'!Y:Y),IF($B$4="PPA",AVERAGEIF('BD PPA'!U:U,B56,'BD PPA'!AE:AE),AVERAGEIF('BD FRESCOS'!U:U,B56,'BD FRESCOS'!AE:AE)))),IF($B$4="TODOS",(SUMIFS('BD SECOS'!Y:Y,'BD SECOS'!Q:Q,B56,'BD SECOS'!AE:AE,$D$4)+SUMIFS('BD PPA'!AE:AE,'BD PPA'!U:U,B56,'BD PPA'!AK:AK,$D$4)+SUMIFS('BD FRESCOS'!AE:AE,'BD FRESCOS'!U:U,B56,'BD FRESCOS'!AK:AK,$D$4))/(COUNTIFS('BD SECOS'!Q:Q,B56,'BD SECOS'!AE:AE,$D$4)+COUNTIFS('BD PPA'!U:U,B56,'BD PPA'!AK:AK,$D$4)+COUNTIFS('BD FRESCOS'!U:U,B56,'BD FRESCOS'!AK:AK,$D$4)),IF($B$4="SECOS",AVERAGEIFS('BD SECOS'!Y:Y,'BD SECOS'!Q:Q,B56,'BD SECOS'!AE:AE,$D$4),IF($B$4="PPA",AVERAGEIFS('BD PPA'!AE:AE,'BD PPA'!U:U,B56,'BD PPA'!AK:AK,$D$4),AVERAGEIFS('BD FRESCOS'!AE:AE,'BD FRESCOS'!U:U,B56,'BD FRESCOS'!AK:AK,$D$4))))),2),""))</f>
        <v>1.38</v>
      </c>
      <c r="H56" s="75" t="str">
        <f t="shared" si="6"/>
        <v>🟡 Cerca</v>
      </c>
      <c r="I56" s="75" t="str" cm="1">
        <f t="array" ref="I56">IF(OR($B$8=0,B56=""),"",IFERROR(IF($D$4="TODOS",IF($B$4="TODOS",INDEX('BD SECOS'!X:X,MATCH(B56,'BD SECOS'!Q:Q,0)),IF($B$4="SECOS",INDEX('BD SECOS'!X:X,MATCH(B56,'BD SECOS'!Q:Q,0)),IF($B$4="PPA",INDEX('BD PPA'!AD:AD,MATCH(B56,'BD PPA'!U:U,0)),INDEX('BD FRESCOS'!AD:AD,MATCH(B56,'BD FRESCOS'!U:U,0))))),IF($B$4="TODOS",IFERROR(INDEX('BD SECOS'!X:X,MATCH(1,('BD SECOS'!Q:Q=B56)*('BD SECOS'!AE:AE=$D$4),0)),IFERROR(INDEX('BD PPA'!AD:AD,MATCH(1,('BD PPA'!U:U=B56)*('BD PPA'!AK:AK=$D$4),0)),INDEX('BD FRESCOS'!AD:AD,MATCH(1,('BD FRESCOS'!U:U=B56)*('BD FRESCOS'!AK:AK=$D$4),0)))),IF($B$4="SECOS",INDEX('BD SECOS'!X:X,MATCH(1,('BD SECOS'!Q:Q=B56)*('BD SECOS'!AE:AE=$D$4),0)),IF($B$4="PPA",INDEX('BD PPA'!AD:AD,MATCH(1,('BD PPA'!U:U=B56)*('BD PPA'!AK:AK=$D$4),0)),INDEX('BD FRESCOS'!AD:AD,MATCH(1,('BD FRESCOS'!U:U=B56)*('BD FRESCOS'!AK:AK=$D$4),0)))))),""))</f>
        <v>RUTA 8</v>
      </c>
      <c r="J56" s="78" t="str">
        <f>IF(OR($B$8=0,B56=""),"",IF(AND(E56&gt;20,G56&gt;5),"⚠️ Muy lejos del CD y paraderos",IF(E56&gt;20,"⚠️ Muy lejos del CD",IF(G56&gt;5,"⚠️ Lejos de paraderos","📍 Normal"))))</f>
        <v>📍 Normal</v>
      </c>
    </row>
    <row r="57" spans="1:10" x14ac:dyDescent="0.35">
      <c r="A57" s="43">
        <f>IF(OR($B$8=0,C57="",C57=0),"",19)</f>
        <v>19</v>
      </c>
      <c r="B57" s="44" t="str">
        <f>IF($B$8=0,"",IFERROR(IF(INDEX(Distritos!$I$7:$I$66,MATCH(SMALL(Distritos!$J$7:$J$66,19),Distritos!$J$7:$J$66,0))=0,"",INDEX(Distritos!$H$7:$H$66,MATCH(SMALL(Distritos!$J$7:$J$66,19),Distritos!$J$7:$J$66,0))),""))</f>
        <v>La Victoria</v>
      </c>
      <c r="C57" s="71">
        <f>IF($B$8=0,"",IFERROR(IF(INDEX(Distritos!$I$7:$I$66,MATCH(SMALL(Distritos!$J$7:$J$66,19),Distritos!$J$7:$J$66,0))=0,"",INDEX(Distritos!$I$7:$I$66,MATCH(SMALL(Distritos!$J$7:$J$66,19),Distritos!$J$7:$J$66,0))),""))</f>
        <v>2</v>
      </c>
      <c r="D57" s="70">
        <f t="shared" si="3"/>
        <v>1.3071895424836602E-2</v>
      </c>
      <c r="E57" s="69">
        <f>IF(OR($B$8=0,B57=""),"",IFERROR(ROUND(IF($D$4="TODOS",IF($B$4="TODOS",(SUMIF('BD SECOS'!Q:Q,B57,'BD SECOS'!U:U)+SUMIF('BD PPA'!U:U,B57,'BD PPA'!AA:AA)+SUMIF('BD FRESCOS'!U:U,B57,'BD FRESCOS'!AA:AA))/(COUNTIF('BD SECOS'!Q:Q,B57)+COUNTIF('BD PPA'!U:U,B57)+COUNTIF('BD FRESCOS'!U:U,B57)),IF($B$4="SECOS",AVERAGEIF('BD SECOS'!Q:Q,B57,'BD SECOS'!U:U),IF($B$4="PPA",AVERAGEIF('BD PPA'!U:U,B57,'BD PPA'!AA:AA),AVERAGEIF('BD FRESCOS'!U:U,B57,'BD FRESCOS'!AA:AA)))),IF($B$4="TODOS",(SUMIFS('BD SECOS'!U:U,'BD SECOS'!Q:Q,B57,'BD SECOS'!AE:AE,$D$4)+SUMIFS('BD PPA'!AA:AA,'BD PPA'!U:U,B57,'BD PPA'!AK:AK,$D$4)+SUMIFS('BD FRESCOS'!AA:AA,'BD FRESCOS'!U:U,B57,'BD FRESCOS'!AK:AK,$D$4))/(COUNTIFS('BD SECOS'!Q:Q,B57,'BD SECOS'!AE:AE,$D$4)+COUNTIFS('BD PPA'!U:U,B57,'BD PPA'!AK:AK,$D$4)+COUNTIFS('BD FRESCOS'!U:U,B57,'BD FRESCOS'!AK:AK,$D$4)),IF($B$4="SECOS",AVERAGEIFS('BD SECOS'!U:U,'BD SECOS'!Q:Q,B57,'BD SECOS'!AE:AE,$D$4),IF($B$4="PPA",AVERAGEIFS('BD PPA'!AA:AA,'BD PPA'!U:U,B57,'BD PPA'!AK:AK,$D$4),AVERAGEIFS('BD FRESCOS'!AA:AA,'BD FRESCOS'!U:U,B57,'BD FRESCOS'!AK:AK,$D$4))))),2),""))</f>
        <v>15.52</v>
      </c>
      <c r="F57" s="75" t="str">
        <f t="shared" si="5"/>
        <v>🟠 Moderada</v>
      </c>
      <c r="G57" s="69">
        <f>IF(OR($B$8=0,B57=""),"",IFERROR(ROUND(IF($D$4="TODOS",IF($B$4="TODOS",(SUMIF('BD SECOS'!Q:Q,B57,'BD SECOS'!Y:Y)+SUMIF('BD PPA'!U:U,B57,'BD PPA'!AE:AE)+SUMIF('BD FRESCOS'!U:U,B57,'BD FRESCOS'!AE:AE))/(COUNTIF('BD SECOS'!Q:Q,B57)+COUNTIF('BD PPA'!U:U,B57)+COUNTIF('BD FRESCOS'!U:U,B57)),IF($B$4="SECOS",AVERAGEIF('BD SECOS'!Q:Q,B57,'BD SECOS'!Y:Y),IF($B$4="PPA",AVERAGEIF('BD PPA'!U:U,B57,'BD PPA'!AE:AE),AVERAGEIF('BD FRESCOS'!U:U,B57,'BD FRESCOS'!AE:AE)))),IF($B$4="TODOS",(SUMIFS('BD SECOS'!Y:Y,'BD SECOS'!Q:Q,B57,'BD SECOS'!AE:AE,$D$4)+SUMIFS('BD PPA'!AE:AE,'BD PPA'!U:U,B57,'BD PPA'!AK:AK,$D$4)+SUMIFS('BD FRESCOS'!AE:AE,'BD FRESCOS'!U:U,B57,'BD FRESCOS'!AK:AK,$D$4))/(COUNTIFS('BD SECOS'!Q:Q,B57,'BD SECOS'!AE:AE,$D$4)+COUNTIFS('BD PPA'!U:U,B57,'BD PPA'!AK:AK,$D$4)+COUNTIFS('BD FRESCOS'!U:U,B57,'BD FRESCOS'!AK:AK,$D$4)),IF($B$4="SECOS",AVERAGEIFS('BD SECOS'!Y:Y,'BD SECOS'!Q:Q,B57,'BD SECOS'!AE:AE,$D$4),IF($B$4="PPA",AVERAGEIFS('BD PPA'!AE:AE,'BD PPA'!U:U,B57,'BD PPA'!AK:AK,$D$4),AVERAGEIFS('BD FRESCOS'!AE:AE,'BD FRESCOS'!U:U,B57,'BD FRESCOS'!AK:AK,$D$4))))),2),""))</f>
        <v>1.24</v>
      </c>
      <c r="H57" s="75" t="str">
        <f t="shared" si="6"/>
        <v>🟡 Cerca</v>
      </c>
      <c r="I57" s="75" t="str" cm="1">
        <f t="array" ref="I57">IF(OR($B$8=0,B57=""),"",IFERROR(IF($D$4="TODOS",IF($B$4="TODOS",INDEX('BD SECOS'!X:X,MATCH(B57,'BD SECOS'!Q:Q,0)),IF($B$4="SECOS",INDEX('BD SECOS'!X:X,MATCH(B57,'BD SECOS'!Q:Q,0)),IF($B$4="PPA",INDEX('BD PPA'!AD:AD,MATCH(B57,'BD PPA'!U:U,0)),INDEX('BD FRESCOS'!AD:AD,MATCH(B57,'BD FRESCOS'!U:U,0))))),IF($B$4="TODOS",IFERROR(INDEX('BD SECOS'!X:X,MATCH(1,('BD SECOS'!Q:Q=B57)*('BD SECOS'!AE:AE=$D$4),0)),IFERROR(INDEX('BD PPA'!AD:AD,MATCH(1,('BD PPA'!U:U=B57)*('BD PPA'!AK:AK=$D$4),0)),INDEX('BD FRESCOS'!AD:AD,MATCH(1,('BD FRESCOS'!U:U=B57)*('BD FRESCOS'!AK:AK=$D$4),0)))),IF($B$4="SECOS",INDEX('BD SECOS'!X:X,MATCH(1,('BD SECOS'!Q:Q=B57)*('BD SECOS'!AE:AE=$D$4),0)),IF($B$4="PPA",INDEX('BD PPA'!AD:AD,MATCH(1,('BD PPA'!U:U=B57)*('BD PPA'!AK:AK=$D$4),0)),INDEX('BD FRESCOS'!AD:AD,MATCH(1,('BD FRESCOS'!U:U=B57)*('BD FRESCOS'!AK:AK=$D$4),0)))))),""))</f>
        <v>RUTA 4A</v>
      </c>
      <c r="J57" s="78" t="str">
        <f t="shared" ref="J57:J89" si="7">IF(OR($B$8=0,B57=""),"",IF(AND(E57&gt;20,G57&gt;5),"⚠️ Muy lejos del CD y paraderos",IF(E57&gt;20,"⚠️ Muy lejos del CD",IF(G57&gt;5,"⚠️ Lejos de paraderos","📍 Normal"))))</f>
        <v>📍 Normal</v>
      </c>
    </row>
    <row r="58" spans="1:10" x14ac:dyDescent="0.35">
      <c r="A58" s="43">
        <f>IF(OR($B$8=0,C58="",C58=0),"",20)</f>
        <v>20</v>
      </c>
      <c r="B58" s="44" t="str">
        <f>IF($B$8=0,"",IFERROR(IF(INDEX(Distritos!$I$7:$I$66,MATCH(SMALL(Distritos!$J$7:$J$66,20),Distritos!$J$7:$J$66,0))=0,"",INDEX(Distritos!$H$7:$H$66,MATCH(SMALL(Distritos!$J$7:$J$66,20),Distritos!$J$7:$J$66,0))),""))</f>
        <v>Miraflores</v>
      </c>
      <c r="C58" s="71">
        <f>IF($B$8=0,"",IFERROR(IF(INDEX(Distritos!$I$7:$I$66,MATCH(SMALL(Distritos!$J$7:$J$66,20),Distritos!$J$7:$J$66,0))=0,"",INDEX(Distritos!$I$7:$I$66,MATCH(SMALL(Distritos!$J$7:$J$66,20),Distritos!$J$7:$J$66,0))),""))</f>
        <v>2</v>
      </c>
      <c r="D58" s="70">
        <f t="shared" si="3"/>
        <v>1.3071895424836602E-2</v>
      </c>
      <c r="E58" s="69">
        <f>IF(OR($B$8=0,B58=""),"",IFERROR(ROUND(IF($D$4="TODOS",IF($B$4="TODOS",(SUMIF('BD SECOS'!Q:Q,B58,'BD SECOS'!U:U)+SUMIF('BD PPA'!U:U,B58,'BD PPA'!AA:AA)+SUMIF('BD FRESCOS'!U:U,B58,'BD FRESCOS'!AA:AA))/(COUNTIF('BD SECOS'!Q:Q,B58)+COUNTIF('BD PPA'!U:U,B58)+COUNTIF('BD FRESCOS'!U:U,B58)),IF($B$4="SECOS",AVERAGEIF('BD SECOS'!Q:Q,B58,'BD SECOS'!U:U),IF($B$4="PPA",AVERAGEIF('BD PPA'!U:U,B58,'BD PPA'!AA:AA),AVERAGEIF('BD FRESCOS'!U:U,B58,'BD FRESCOS'!AA:AA)))),IF($B$4="TODOS",(SUMIFS('BD SECOS'!U:U,'BD SECOS'!Q:Q,B58,'BD SECOS'!AE:AE,$D$4)+SUMIFS('BD PPA'!AA:AA,'BD PPA'!U:U,B58,'BD PPA'!AK:AK,$D$4)+SUMIFS('BD FRESCOS'!AA:AA,'BD FRESCOS'!U:U,B58,'BD FRESCOS'!AK:AK,$D$4))/(COUNTIFS('BD SECOS'!Q:Q,B58,'BD SECOS'!AE:AE,$D$4)+COUNTIFS('BD PPA'!U:U,B58,'BD PPA'!AK:AK,$D$4)+COUNTIFS('BD FRESCOS'!U:U,B58,'BD FRESCOS'!AK:AK,$D$4)),IF($B$4="SECOS",AVERAGEIFS('BD SECOS'!U:U,'BD SECOS'!Q:Q,B58,'BD SECOS'!AE:AE,$D$4),IF($B$4="PPA",AVERAGEIFS('BD PPA'!AA:AA,'BD PPA'!U:U,B58,'BD PPA'!AK:AK,$D$4),AVERAGEIFS('BD FRESCOS'!AA:AA,'BD FRESCOS'!U:U,B58,'BD FRESCOS'!AK:AK,$D$4))))),2),""))</f>
        <v>19.25</v>
      </c>
      <c r="F58" s="75" t="str">
        <f t="shared" si="5"/>
        <v>🟠 Moderada</v>
      </c>
      <c r="G58" s="69">
        <f>IF(OR($B$8=0,B58=""),"",IFERROR(ROUND(IF($D$4="TODOS",IF($B$4="TODOS",(SUMIF('BD SECOS'!Q:Q,B58,'BD SECOS'!Y:Y)+SUMIF('BD PPA'!U:U,B58,'BD PPA'!AE:AE)+SUMIF('BD FRESCOS'!U:U,B58,'BD FRESCOS'!AE:AE))/(COUNTIF('BD SECOS'!Q:Q,B58)+COUNTIF('BD PPA'!U:U,B58)+COUNTIF('BD FRESCOS'!U:U,B58)),IF($B$4="SECOS",AVERAGEIF('BD SECOS'!Q:Q,B58,'BD SECOS'!Y:Y),IF($B$4="PPA",AVERAGEIF('BD PPA'!U:U,B58,'BD PPA'!AE:AE),AVERAGEIF('BD FRESCOS'!U:U,B58,'BD FRESCOS'!AE:AE)))),IF($B$4="TODOS",(SUMIFS('BD SECOS'!Y:Y,'BD SECOS'!Q:Q,B58,'BD SECOS'!AE:AE,$D$4)+SUMIFS('BD PPA'!AE:AE,'BD PPA'!U:U,B58,'BD PPA'!AK:AK,$D$4)+SUMIFS('BD FRESCOS'!AE:AE,'BD FRESCOS'!U:U,B58,'BD FRESCOS'!AK:AK,$D$4))/(COUNTIFS('BD SECOS'!Q:Q,B58,'BD SECOS'!AE:AE,$D$4)+COUNTIFS('BD PPA'!U:U,B58,'BD PPA'!AK:AK,$D$4)+COUNTIFS('BD FRESCOS'!U:U,B58,'BD FRESCOS'!AK:AK,$D$4)),IF($B$4="SECOS",AVERAGEIFS('BD SECOS'!Y:Y,'BD SECOS'!Q:Q,B58,'BD SECOS'!AE:AE,$D$4),IF($B$4="PPA",AVERAGEIFS('BD PPA'!AE:AE,'BD PPA'!U:U,B58,'BD PPA'!AK:AK,$D$4),AVERAGEIFS('BD FRESCOS'!AE:AE,'BD FRESCOS'!U:U,B58,'BD FRESCOS'!AK:AK,$D$4))))),2),""))</f>
        <v>3.63</v>
      </c>
      <c r="H58" s="75" t="str">
        <f t="shared" si="6"/>
        <v>🟠 Moderada</v>
      </c>
      <c r="I58" s="75" t="str" cm="1">
        <f t="array" ref="I58">IF(OR($B$8=0,B58=""),"",IFERROR(IF($D$4="TODOS",IF($B$4="TODOS",INDEX('BD SECOS'!X:X,MATCH(B58,'BD SECOS'!Q:Q,0)),IF($B$4="SECOS",INDEX('BD SECOS'!X:X,MATCH(B58,'BD SECOS'!Q:Q,0)),IF($B$4="PPA",INDEX('BD PPA'!AD:AD,MATCH(B58,'BD PPA'!U:U,0)),INDEX('BD FRESCOS'!AD:AD,MATCH(B58,'BD FRESCOS'!U:U,0))))),IF($B$4="TODOS",IFERROR(INDEX('BD SECOS'!X:X,MATCH(1,('BD SECOS'!Q:Q=B58)*('BD SECOS'!AE:AE=$D$4),0)),IFERROR(INDEX('BD PPA'!AD:AD,MATCH(1,('BD PPA'!U:U=B58)*('BD PPA'!AK:AK=$D$4),0)),INDEX('BD FRESCOS'!AD:AD,MATCH(1,('BD FRESCOS'!U:U=B58)*('BD FRESCOS'!AK:AK=$D$4),0)))),IF($B$4="SECOS",INDEX('BD SECOS'!X:X,MATCH(1,('BD SECOS'!Q:Q=B58)*('BD SECOS'!AE:AE=$D$4),0)),IF($B$4="PPA",INDEX('BD PPA'!AD:AD,MATCH(1,('BD PPA'!U:U=B58)*('BD PPA'!AK:AK=$D$4),0)),INDEX('BD FRESCOS'!AD:AD,MATCH(1,('BD FRESCOS'!U:U=B58)*('BD FRESCOS'!AK:AK=$D$4),0)))))),""))</f>
        <v>RUTA 4A</v>
      </c>
      <c r="J58" s="78" t="str">
        <f t="shared" si="7"/>
        <v>📍 Normal</v>
      </c>
    </row>
    <row r="59" spans="1:10" x14ac:dyDescent="0.35">
      <c r="A59" s="43">
        <f>IF(OR($B$8=0,C59="",C59=0),"",21)</f>
        <v>21</v>
      </c>
      <c r="B59" s="44" t="str">
        <f>IF($B$8=0,"",IFERROR(IF(INDEX(Distritos!$I$7:$I$66,MATCH(SMALL(Distritos!$J$7:$J$66,21),Distritos!$J$7:$J$66,0))=0,"",INDEX(Distritos!$H$7:$H$66,MATCH(SMALL(Distritos!$J$7:$J$66,21),Distritos!$J$7:$J$66,0))),""))</f>
        <v>Rimac</v>
      </c>
      <c r="C59" s="71">
        <f>IF($B$8=0,"",IFERROR(IF(INDEX(Distritos!$I$7:$I$66,MATCH(SMALL(Distritos!$J$7:$J$66,21),Distritos!$J$7:$J$66,0))=0,"",INDEX(Distritos!$I$7:$I$66,MATCH(SMALL(Distritos!$J$7:$J$66,21),Distritos!$J$7:$J$66,0))),""))</f>
        <v>2</v>
      </c>
      <c r="D59" s="70">
        <f t="shared" si="3"/>
        <v>1.3071895424836602E-2</v>
      </c>
      <c r="E59" s="69">
        <f>IF(OR($B$8=0,B59=""),"",IFERROR(ROUND(IF($D$4="TODOS",IF($B$4="TODOS",(SUMIF('BD SECOS'!Q:Q,B59,'BD SECOS'!U:U)+SUMIF('BD PPA'!U:U,B59,'BD PPA'!AA:AA)+SUMIF('BD FRESCOS'!U:U,B59,'BD FRESCOS'!AA:AA))/(COUNTIF('BD SECOS'!Q:Q,B59)+COUNTIF('BD PPA'!U:U,B59)+COUNTIF('BD FRESCOS'!U:U,B59)),IF($B$4="SECOS",AVERAGEIF('BD SECOS'!Q:Q,B59,'BD SECOS'!U:U),IF($B$4="PPA",AVERAGEIF('BD PPA'!U:U,B59,'BD PPA'!AA:AA),AVERAGEIF('BD FRESCOS'!U:U,B59,'BD FRESCOS'!AA:AA)))),IF($B$4="TODOS",(SUMIFS('BD SECOS'!U:U,'BD SECOS'!Q:Q,B59,'BD SECOS'!AE:AE,$D$4)+SUMIFS('BD PPA'!AA:AA,'BD PPA'!U:U,B59,'BD PPA'!AK:AK,$D$4)+SUMIFS('BD FRESCOS'!AA:AA,'BD FRESCOS'!U:U,B59,'BD FRESCOS'!AK:AK,$D$4))/(COUNTIFS('BD SECOS'!Q:Q,B59,'BD SECOS'!AE:AE,$D$4)+COUNTIFS('BD PPA'!U:U,B59,'BD PPA'!AK:AK,$D$4)+COUNTIFS('BD FRESCOS'!U:U,B59,'BD FRESCOS'!AK:AK,$D$4)),IF($B$4="SECOS",AVERAGEIFS('BD SECOS'!U:U,'BD SECOS'!Q:Q,B59,'BD SECOS'!AE:AE,$D$4),IF($B$4="PPA",AVERAGEIFS('BD PPA'!AA:AA,'BD PPA'!U:U,B59,'BD PPA'!AK:AK,$D$4),AVERAGEIFS('BD FRESCOS'!AA:AA,'BD FRESCOS'!U:U,B59,'BD FRESCOS'!AK:AK,$D$4))))),2),""))</f>
        <v>14.36</v>
      </c>
      <c r="F59" s="75" t="str">
        <f t="shared" si="5"/>
        <v>🟠 Moderada</v>
      </c>
      <c r="G59" s="69">
        <f>IF(OR($B$8=0,B59=""),"",IFERROR(ROUND(IF($D$4="TODOS",IF($B$4="TODOS",(SUMIF('BD SECOS'!Q:Q,B59,'BD SECOS'!Y:Y)+SUMIF('BD PPA'!U:U,B59,'BD PPA'!AE:AE)+SUMIF('BD FRESCOS'!U:U,B59,'BD FRESCOS'!AE:AE))/(COUNTIF('BD SECOS'!Q:Q,B59)+COUNTIF('BD PPA'!U:U,B59)+COUNTIF('BD FRESCOS'!U:U,B59)),IF($B$4="SECOS",AVERAGEIF('BD SECOS'!Q:Q,B59,'BD SECOS'!Y:Y),IF($B$4="PPA",AVERAGEIF('BD PPA'!U:U,B59,'BD PPA'!AE:AE),AVERAGEIF('BD FRESCOS'!U:U,B59,'BD FRESCOS'!AE:AE)))),IF($B$4="TODOS",(SUMIFS('BD SECOS'!Y:Y,'BD SECOS'!Q:Q,B59,'BD SECOS'!AE:AE,$D$4)+SUMIFS('BD PPA'!AE:AE,'BD PPA'!U:U,B59,'BD PPA'!AK:AK,$D$4)+SUMIFS('BD FRESCOS'!AE:AE,'BD FRESCOS'!U:U,B59,'BD FRESCOS'!AK:AK,$D$4))/(COUNTIFS('BD SECOS'!Q:Q,B59,'BD SECOS'!AE:AE,$D$4)+COUNTIFS('BD PPA'!U:U,B59,'BD PPA'!AK:AK,$D$4)+COUNTIFS('BD FRESCOS'!U:U,B59,'BD FRESCOS'!AK:AK,$D$4)),IF($B$4="SECOS",AVERAGEIFS('BD SECOS'!Y:Y,'BD SECOS'!Q:Q,B59,'BD SECOS'!AE:AE,$D$4),IF($B$4="PPA",AVERAGEIFS('BD PPA'!AE:AE,'BD PPA'!U:U,B59,'BD PPA'!AK:AK,$D$4),AVERAGEIFS('BD FRESCOS'!AE:AE,'BD FRESCOS'!U:U,B59,'BD FRESCOS'!AK:AK,$D$4))))),2),""))</f>
        <v>0.98</v>
      </c>
      <c r="H59" s="75" t="str">
        <f t="shared" si="6"/>
        <v>🟢 Muy Cerca</v>
      </c>
      <c r="I59" s="75" t="str" cm="1">
        <f t="array" ref="I59">IF(OR($B$8=0,B59=""),"",IFERROR(IF($D$4="TODOS",IF($B$4="TODOS",INDEX('BD SECOS'!X:X,MATCH(B59,'BD SECOS'!Q:Q,0)),IF($B$4="SECOS",INDEX('BD SECOS'!X:X,MATCH(B59,'BD SECOS'!Q:Q,0)),IF($B$4="PPA",INDEX('BD PPA'!AD:AD,MATCH(B59,'BD PPA'!U:U,0)),INDEX('BD FRESCOS'!AD:AD,MATCH(B59,'BD FRESCOS'!U:U,0))))),IF($B$4="TODOS",IFERROR(INDEX('BD SECOS'!X:X,MATCH(1,('BD SECOS'!Q:Q=B59)*('BD SECOS'!AE:AE=$D$4),0)),IFERROR(INDEX('BD PPA'!AD:AD,MATCH(1,('BD PPA'!U:U=B59)*('BD PPA'!AK:AK=$D$4),0)),INDEX('BD FRESCOS'!AD:AD,MATCH(1,('BD FRESCOS'!U:U=B59)*('BD FRESCOS'!AK:AK=$D$4),0)))),IF($B$4="SECOS",INDEX('BD SECOS'!X:X,MATCH(1,('BD SECOS'!Q:Q=B59)*('BD SECOS'!AE:AE=$D$4),0)),IF($B$4="PPA",INDEX('BD PPA'!AD:AD,MATCH(1,('BD PPA'!U:U=B59)*('BD PPA'!AK:AK=$D$4),0)),INDEX('BD FRESCOS'!AD:AD,MATCH(1,('BD FRESCOS'!U:U=B59)*('BD FRESCOS'!AK:AK=$D$4),0)))))),""))</f>
        <v>RUTA 8</v>
      </c>
      <c r="J59" s="78" t="str">
        <f t="shared" si="7"/>
        <v>📍 Normal</v>
      </c>
    </row>
    <row r="60" spans="1:10" x14ac:dyDescent="0.35">
      <c r="A60" s="43">
        <f>IF(OR($B$8=0,C60="",C60=0),"",22)</f>
        <v>22</v>
      </c>
      <c r="B60" s="44" t="str">
        <f>IF($B$8=0,"",IFERROR(IF(INDEX(Distritos!$I$7:$I$66,MATCH(SMALL(Distritos!$J$7:$J$66,22),Distritos!$J$7:$J$66,0))=0,"",INDEX(Distritos!$H$7:$H$66,MATCH(SMALL(Distritos!$J$7:$J$66,22),Distritos!$J$7:$J$66,0))),""))</f>
        <v>San Miguel</v>
      </c>
      <c r="C60" s="71">
        <f>IF($B$8=0,"",IFERROR(IF(INDEX(Distritos!$I$7:$I$66,MATCH(SMALL(Distritos!$J$7:$J$66,22),Distritos!$J$7:$J$66,0))=0,"",INDEX(Distritos!$I$7:$I$66,MATCH(SMALL(Distritos!$J$7:$J$66,22),Distritos!$J$7:$J$66,0))),""))</f>
        <v>2</v>
      </c>
      <c r="D60" s="70">
        <f t="shared" si="3"/>
        <v>1.3071895424836602E-2</v>
      </c>
      <c r="E60" s="69">
        <f>IF(OR($B$8=0,B60=""),"",IFERROR(ROUND(IF($D$4="TODOS",IF($B$4="TODOS",(SUMIF('BD SECOS'!Q:Q,B60,'BD SECOS'!U:U)+SUMIF('BD PPA'!U:U,B60,'BD PPA'!AA:AA)+SUMIF('BD FRESCOS'!U:U,B60,'BD FRESCOS'!AA:AA))/(COUNTIF('BD SECOS'!Q:Q,B60)+COUNTIF('BD PPA'!U:U,B60)+COUNTIF('BD FRESCOS'!U:U,B60)),IF($B$4="SECOS",AVERAGEIF('BD SECOS'!Q:Q,B60,'BD SECOS'!U:U),IF($B$4="PPA",AVERAGEIF('BD PPA'!U:U,B60,'BD PPA'!AA:AA),AVERAGEIF('BD FRESCOS'!U:U,B60,'BD FRESCOS'!AA:AA)))),IF($B$4="TODOS",(SUMIFS('BD SECOS'!U:U,'BD SECOS'!Q:Q,B60,'BD SECOS'!AE:AE,$D$4)+SUMIFS('BD PPA'!AA:AA,'BD PPA'!U:U,B60,'BD PPA'!AK:AK,$D$4)+SUMIFS('BD FRESCOS'!AA:AA,'BD FRESCOS'!U:U,B60,'BD FRESCOS'!AK:AK,$D$4))/(COUNTIFS('BD SECOS'!Q:Q,B60,'BD SECOS'!AE:AE,$D$4)+COUNTIFS('BD PPA'!U:U,B60,'BD PPA'!AK:AK,$D$4)+COUNTIFS('BD FRESCOS'!U:U,B60,'BD FRESCOS'!AK:AK,$D$4)),IF($B$4="SECOS",AVERAGEIFS('BD SECOS'!U:U,'BD SECOS'!Q:Q,B60,'BD SECOS'!AE:AE,$D$4),IF($B$4="PPA",AVERAGEIFS('BD PPA'!AA:AA,'BD PPA'!U:U,B60,'BD PPA'!AK:AK,$D$4),AVERAGEIFS('BD FRESCOS'!AA:AA,'BD FRESCOS'!U:U,B60,'BD FRESCOS'!AK:AK,$D$4))))),2),""))</f>
        <v>23.16</v>
      </c>
      <c r="F60" s="75" t="str">
        <f t="shared" si="5"/>
        <v>🔴 Lejos</v>
      </c>
      <c r="G60" s="69">
        <f>IF(OR($B$8=0,B60=""),"",IFERROR(ROUND(IF($D$4="TODOS",IF($B$4="TODOS",(SUMIF('BD SECOS'!Q:Q,B60,'BD SECOS'!Y:Y)+SUMIF('BD PPA'!U:U,B60,'BD PPA'!AE:AE)+SUMIF('BD FRESCOS'!U:U,B60,'BD FRESCOS'!AE:AE))/(COUNTIF('BD SECOS'!Q:Q,B60)+COUNTIF('BD PPA'!U:U,B60)+COUNTIF('BD FRESCOS'!U:U,B60)),IF($B$4="SECOS",AVERAGEIF('BD SECOS'!Q:Q,B60,'BD SECOS'!Y:Y),IF($B$4="PPA",AVERAGEIF('BD PPA'!U:U,B60,'BD PPA'!AE:AE),AVERAGEIF('BD FRESCOS'!U:U,B60,'BD FRESCOS'!AE:AE)))),IF($B$4="TODOS",(SUMIFS('BD SECOS'!Y:Y,'BD SECOS'!Q:Q,B60,'BD SECOS'!AE:AE,$D$4)+SUMIFS('BD PPA'!AE:AE,'BD PPA'!U:U,B60,'BD PPA'!AK:AK,$D$4)+SUMIFS('BD FRESCOS'!AE:AE,'BD FRESCOS'!U:U,B60,'BD FRESCOS'!AK:AK,$D$4))/(COUNTIFS('BD SECOS'!Q:Q,B60,'BD SECOS'!AE:AE,$D$4)+COUNTIFS('BD PPA'!U:U,B60,'BD PPA'!AK:AK,$D$4)+COUNTIFS('BD FRESCOS'!U:U,B60,'BD FRESCOS'!AK:AK,$D$4)),IF($B$4="SECOS",AVERAGEIFS('BD SECOS'!Y:Y,'BD SECOS'!Q:Q,B60,'BD SECOS'!AE:AE,$D$4),IF($B$4="PPA",AVERAGEIFS('BD PPA'!AE:AE,'BD PPA'!U:U,B60,'BD PPA'!AK:AK,$D$4),AVERAGEIFS('BD FRESCOS'!AE:AE,'BD FRESCOS'!U:U,B60,'BD FRESCOS'!AK:AK,$D$4))))),2),""))</f>
        <v>1.77</v>
      </c>
      <c r="H60" s="75" t="str">
        <f t="shared" si="6"/>
        <v>🟡 Cerca</v>
      </c>
      <c r="I60" s="75" t="str" cm="1">
        <f t="array" ref="I60">IF(OR($B$8=0,B60=""),"",IFERROR(IF($D$4="TODOS",IF($B$4="TODOS",INDEX('BD SECOS'!X:X,MATCH(B60,'BD SECOS'!Q:Q,0)),IF($B$4="SECOS",INDEX('BD SECOS'!X:X,MATCH(B60,'BD SECOS'!Q:Q,0)),IF($B$4="PPA",INDEX('BD PPA'!AD:AD,MATCH(B60,'BD PPA'!U:U,0)),INDEX('BD FRESCOS'!AD:AD,MATCH(B60,'BD FRESCOS'!U:U,0))))),IF($B$4="TODOS",IFERROR(INDEX('BD SECOS'!X:X,MATCH(1,('BD SECOS'!Q:Q=B60)*('BD SECOS'!AE:AE=$D$4),0)),IFERROR(INDEX('BD PPA'!AD:AD,MATCH(1,('BD PPA'!U:U=B60)*('BD PPA'!AK:AK=$D$4),0)),INDEX('BD FRESCOS'!AD:AD,MATCH(1,('BD FRESCOS'!U:U=B60)*('BD FRESCOS'!AK:AK=$D$4),0)))),IF($B$4="SECOS",INDEX('BD SECOS'!X:X,MATCH(1,('BD SECOS'!Q:Q=B60)*('BD SECOS'!AE:AE=$D$4),0)),IF($B$4="PPA",INDEX('BD PPA'!AD:AD,MATCH(1,('BD PPA'!U:U=B60)*('BD PPA'!AK:AK=$D$4),0)),INDEX('BD FRESCOS'!AD:AD,MATCH(1,('BD FRESCOS'!U:U=B60)*('BD FRESCOS'!AK:AK=$D$4),0)))))),""))</f>
        <v>RUTA 9</v>
      </c>
      <c r="J60" s="78" t="str">
        <f t="shared" si="7"/>
        <v>⚠️ Muy lejos del CD</v>
      </c>
    </row>
    <row r="61" spans="1:10" x14ac:dyDescent="0.35">
      <c r="A61" s="43">
        <f>IF(OR($B$8=0,C61="",C61=0),"",23)</f>
        <v>23</v>
      </c>
      <c r="B61" s="44" t="str">
        <f>IF($B$8=0,"",IFERROR(IF(INDEX(Distritos!$I$7:$I$66,MATCH(SMALL(Distritos!$J$7:$J$66,23),Distritos!$J$7:$J$66,0))=0,"",INDEX(Distritos!$H$7:$H$66,MATCH(SMALL(Distritos!$J$7:$J$66,23),Distritos!$J$7:$J$66,0))),""))</f>
        <v>Surquillo</v>
      </c>
      <c r="C61" s="71">
        <f>IF($B$8=0,"",IFERROR(IF(INDEX(Distritos!$I$7:$I$66,MATCH(SMALL(Distritos!$J$7:$J$66,23),Distritos!$J$7:$J$66,0))=0,"",INDEX(Distritos!$I$7:$I$66,MATCH(SMALL(Distritos!$J$7:$J$66,23),Distritos!$J$7:$J$66,0))),""))</f>
        <v>2</v>
      </c>
      <c r="D61" s="70">
        <f t="shared" si="3"/>
        <v>1.3071895424836602E-2</v>
      </c>
      <c r="E61" s="69">
        <f>IF(OR($B$8=0,B61=""),"",IFERROR(ROUND(IF($D$4="TODOS",IF($B$4="TODOS",(SUMIF('BD SECOS'!Q:Q,B61,'BD SECOS'!U:U)+SUMIF('BD PPA'!U:U,B61,'BD PPA'!AA:AA)+SUMIF('BD FRESCOS'!U:U,B61,'BD FRESCOS'!AA:AA))/(COUNTIF('BD SECOS'!Q:Q,B61)+COUNTIF('BD PPA'!U:U,B61)+COUNTIF('BD FRESCOS'!U:U,B61)),IF($B$4="SECOS",AVERAGEIF('BD SECOS'!Q:Q,B61,'BD SECOS'!U:U),IF($B$4="PPA",AVERAGEIF('BD PPA'!U:U,B61,'BD PPA'!AA:AA),AVERAGEIF('BD FRESCOS'!U:U,B61,'BD FRESCOS'!AA:AA)))),IF($B$4="TODOS",(SUMIFS('BD SECOS'!U:U,'BD SECOS'!Q:Q,B61,'BD SECOS'!AE:AE,$D$4)+SUMIFS('BD PPA'!AA:AA,'BD PPA'!U:U,B61,'BD PPA'!AK:AK,$D$4)+SUMIFS('BD FRESCOS'!AA:AA,'BD FRESCOS'!U:U,B61,'BD FRESCOS'!AK:AK,$D$4))/(COUNTIFS('BD SECOS'!Q:Q,B61,'BD SECOS'!AE:AE,$D$4)+COUNTIFS('BD PPA'!U:U,B61,'BD PPA'!AK:AK,$D$4)+COUNTIFS('BD FRESCOS'!U:U,B61,'BD FRESCOS'!AK:AK,$D$4)),IF($B$4="SECOS",AVERAGEIFS('BD SECOS'!U:U,'BD SECOS'!Q:Q,B61,'BD SECOS'!AE:AE,$D$4),IF($B$4="PPA",AVERAGEIFS('BD PPA'!AA:AA,'BD PPA'!U:U,B61,'BD PPA'!AK:AK,$D$4),AVERAGEIFS('BD FRESCOS'!AA:AA,'BD FRESCOS'!U:U,B61,'BD FRESCOS'!AK:AK,$D$4))))),2),""))</f>
        <v>17.72</v>
      </c>
      <c r="F61" s="75" t="str">
        <f t="shared" si="5"/>
        <v>🟠 Moderada</v>
      </c>
      <c r="G61" s="69">
        <f>IF(OR($B$8=0,B61=""),"",IFERROR(ROUND(IF($D$4="TODOS",IF($B$4="TODOS",(SUMIF('BD SECOS'!Q:Q,B61,'BD SECOS'!Y:Y)+SUMIF('BD PPA'!U:U,B61,'BD PPA'!AE:AE)+SUMIF('BD FRESCOS'!U:U,B61,'BD FRESCOS'!AE:AE))/(COUNTIF('BD SECOS'!Q:Q,B61)+COUNTIF('BD PPA'!U:U,B61)+COUNTIF('BD FRESCOS'!U:U,B61)),IF($B$4="SECOS",AVERAGEIF('BD SECOS'!Q:Q,B61,'BD SECOS'!Y:Y),IF($B$4="PPA",AVERAGEIF('BD PPA'!U:U,B61,'BD PPA'!AE:AE),AVERAGEIF('BD FRESCOS'!U:U,B61,'BD FRESCOS'!AE:AE)))),IF($B$4="TODOS",(SUMIFS('BD SECOS'!Y:Y,'BD SECOS'!Q:Q,B61,'BD SECOS'!AE:AE,$D$4)+SUMIFS('BD PPA'!AE:AE,'BD PPA'!U:U,B61,'BD PPA'!AK:AK,$D$4)+SUMIFS('BD FRESCOS'!AE:AE,'BD FRESCOS'!U:U,B61,'BD FRESCOS'!AK:AK,$D$4))/(COUNTIFS('BD SECOS'!Q:Q,B61,'BD SECOS'!AE:AE,$D$4)+COUNTIFS('BD PPA'!U:U,B61,'BD PPA'!AK:AK,$D$4)+COUNTIFS('BD FRESCOS'!U:U,B61,'BD FRESCOS'!AK:AK,$D$4)),IF($B$4="SECOS",AVERAGEIFS('BD SECOS'!Y:Y,'BD SECOS'!Q:Q,B61,'BD SECOS'!AE:AE,$D$4),IF($B$4="PPA",AVERAGEIFS('BD PPA'!AE:AE,'BD PPA'!U:U,B61,'BD PPA'!AK:AK,$D$4),AVERAGEIFS('BD FRESCOS'!AE:AE,'BD FRESCOS'!U:U,B61,'BD FRESCOS'!AK:AK,$D$4))))),2),""))</f>
        <v>2.63</v>
      </c>
      <c r="H61" s="75" t="str">
        <f t="shared" si="6"/>
        <v>🟡 Cerca</v>
      </c>
      <c r="I61" s="75" t="str" cm="1">
        <f t="array" ref="I61">IF(OR($B$8=0,B61=""),"",IFERROR(IF($D$4="TODOS",IF($B$4="TODOS",INDEX('BD SECOS'!X:X,MATCH(B61,'BD SECOS'!Q:Q,0)),IF($B$4="SECOS",INDEX('BD SECOS'!X:X,MATCH(B61,'BD SECOS'!Q:Q,0)),IF($B$4="PPA",INDEX('BD PPA'!AD:AD,MATCH(B61,'BD PPA'!U:U,0)),INDEX('BD FRESCOS'!AD:AD,MATCH(B61,'BD FRESCOS'!U:U,0))))),IF($B$4="TODOS",IFERROR(INDEX('BD SECOS'!X:X,MATCH(1,('BD SECOS'!Q:Q=B61)*('BD SECOS'!AE:AE=$D$4),0)),IFERROR(INDEX('BD PPA'!AD:AD,MATCH(1,('BD PPA'!U:U=B61)*('BD PPA'!AK:AK=$D$4),0)),INDEX('BD FRESCOS'!AD:AD,MATCH(1,('BD FRESCOS'!U:U=B61)*('BD FRESCOS'!AK:AK=$D$4),0)))),IF($B$4="SECOS",INDEX('BD SECOS'!X:X,MATCH(1,('BD SECOS'!Q:Q=B61)*('BD SECOS'!AE:AE=$D$4),0)),IF($B$4="PPA",INDEX('BD PPA'!AD:AD,MATCH(1,('BD PPA'!U:U=B61)*('BD PPA'!AK:AK=$D$4),0)),INDEX('BD FRESCOS'!AD:AD,MATCH(1,('BD FRESCOS'!U:U=B61)*('BD FRESCOS'!AK:AK=$D$4),0)))))),""))</f>
        <v>RUTA 7</v>
      </c>
      <c r="J61" s="78" t="str">
        <f t="shared" si="7"/>
        <v>📍 Normal</v>
      </c>
    </row>
    <row r="62" spans="1:10" x14ac:dyDescent="0.35">
      <c r="A62" s="43">
        <f>IF(OR($B$8=0,C62="",C62=0),"",24)</f>
        <v>24</v>
      </c>
      <c r="B62" s="44" t="str">
        <f>IF($B$8=0,"",IFERROR(IF(INDEX(Distritos!$I$7:$I$66,MATCH(SMALL(Distritos!$J$7:$J$66,24),Distritos!$J$7:$J$66,0))=0,"",INDEX(Distritos!$H$7:$H$66,MATCH(SMALL(Distritos!$J$7:$J$66,24),Distritos!$J$7:$J$66,0))),""))</f>
        <v>Villa El Salvador</v>
      </c>
      <c r="C62" s="71">
        <f>IF($B$8=0,"",IFERROR(IF(INDEX(Distritos!$I$7:$I$66,MATCH(SMALL(Distritos!$J$7:$J$66,24),Distritos!$J$7:$J$66,0))=0,"",INDEX(Distritos!$I$7:$I$66,MATCH(SMALL(Distritos!$J$7:$J$66,24),Distritos!$J$7:$J$66,0))),""))</f>
        <v>2</v>
      </c>
      <c r="D62" s="70">
        <f t="shared" si="3"/>
        <v>1.3071895424836602E-2</v>
      </c>
      <c r="E62" s="69">
        <f>IF(OR($B$8=0,B62=""),"",IFERROR(ROUND(IF($D$4="TODOS",IF($B$4="TODOS",(SUMIF('BD SECOS'!Q:Q,B62,'BD SECOS'!U:U)+SUMIF('BD PPA'!U:U,B62,'BD PPA'!AA:AA)+SUMIF('BD FRESCOS'!U:U,B62,'BD FRESCOS'!AA:AA))/(COUNTIF('BD SECOS'!Q:Q,B62)+COUNTIF('BD PPA'!U:U,B62)+COUNTIF('BD FRESCOS'!U:U,B62)),IF($B$4="SECOS",AVERAGEIF('BD SECOS'!Q:Q,B62,'BD SECOS'!U:U),IF($B$4="PPA",AVERAGEIF('BD PPA'!U:U,B62,'BD PPA'!AA:AA),AVERAGEIF('BD FRESCOS'!U:U,B62,'BD FRESCOS'!AA:AA)))),IF($B$4="TODOS",(SUMIFS('BD SECOS'!U:U,'BD SECOS'!Q:Q,B62,'BD SECOS'!AE:AE,$D$4)+SUMIFS('BD PPA'!AA:AA,'BD PPA'!U:U,B62,'BD PPA'!AK:AK,$D$4)+SUMIFS('BD FRESCOS'!AA:AA,'BD FRESCOS'!U:U,B62,'BD FRESCOS'!AK:AK,$D$4))/(COUNTIFS('BD SECOS'!Q:Q,B62,'BD SECOS'!AE:AE,$D$4)+COUNTIFS('BD PPA'!U:U,B62,'BD PPA'!AK:AK,$D$4)+COUNTIFS('BD FRESCOS'!U:U,B62,'BD FRESCOS'!AK:AK,$D$4)),IF($B$4="SECOS",AVERAGEIFS('BD SECOS'!U:U,'BD SECOS'!Q:Q,B62,'BD SECOS'!AE:AE,$D$4),IF($B$4="PPA",AVERAGEIFS('BD PPA'!AA:AA,'BD PPA'!U:U,B62,'BD PPA'!AK:AK,$D$4),AVERAGEIFS('BD FRESCOS'!AA:AA,'BD FRESCOS'!U:U,B62,'BD FRESCOS'!AK:AK,$D$4))))),2),""))</f>
        <v>23.77</v>
      </c>
      <c r="F62" s="75" t="str">
        <f t="shared" si="5"/>
        <v>🔴 Lejos</v>
      </c>
      <c r="G62" s="69">
        <f>IF(OR($B$8=0,B62=""),"",IFERROR(ROUND(IF($D$4="TODOS",IF($B$4="TODOS",(SUMIF('BD SECOS'!Q:Q,B62,'BD SECOS'!Y:Y)+SUMIF('BD PPA'!U:U,B62,'BD PPA'!AE:AE)+SUMIF('BD FRESCOS'!U:U,B62,'BD FRESCOS'!AE:AE))/(COUNTIF('BD SECOS'!Q:Q,B62)+COUNTIF('BD PPA'!U:U,B62)+COUNTIF('BD FRESCOS'!U:U,B62)),IF($B$4="SECOS",AVERAGEIF('BD SECOS'!Q:Q,B62,'BD SECOS'!Y:Y),IF($B$4="PPA",AVERAGEIF('BD PPA'!U:U,B62,'BD PPA'!AE:AE),AVERAGEIF('BD FRESCOS'!U:U,B62,'BD FRESCOS'!AE:AE)))),IF($B$4="TODOS",(SUMIFS('BD SECOS'!Y:Y,'BD SECOS'!Q:Q,B62,'BD SECOS'!AE:AE,$D$4)+SUMIFS('BD PPA'!AE:AE,'BD PPA'!U:U,B62,'BD PPA'!AK:AK,$D$4)+SUMIFS('BD FRESCOS'!AE:AE,'BD FRESCOS'!U:U,B62,'BD FRESCOS'!AK:AK,$D$4))/(COUNTIFS('BD SECOS'!Q:Q,B62,'BD SECOS'!AE:AE,$D$4)+COUNTIFS('BD PPA'!U:U,B62,'BD PPA'!AK:AK,$D$4)+COUNTIFS('BD FRESCOS'!U:U,B62,'BD FRESCOS'!AK:AK,$D$4)),IF($B$4="SECOS",AVERAGEIFS('BD SECOS'!Y:Y,'BD SECOS'!Q:Q,B62,'BD SECOS'!AE:AE,$D$4),IF($B$4="PPA",AVERAGEIFS('BD PPA'!AE:AE,'BD PPA'!U:U,B62,'BD PPA'!AK:AK,$D$4),AVERAGEIFS('BD FRESCOS'!AE:AE,'BD FRESCOS'!U:U,B62,'BD FRESCOS'!AK:AK,$D$4))))),2),""))</f>
        <v>1.86</v>
      </c>
      <c r="H62" s="75" t="str">
        <f t="shared" si="6"/>
        <v>🟡 Cerca</v>
      </c>
      <c r="I62" s="75" t="str" cm="1">
        <f t="array" ref="I62">IF(OR($B$8=0,B62=""),"",IFERROR(IF($D$4="TODOS",IF($B$4="TODOS",INDEX('BD SECOS'!X:X,MATCH(B62,'BD SECOS'!Q:Q,0)),IF($B$4="SECOS",INDEX('BD SECOS'!X:X,MATCH(B62,'BD SECOS'!Q:Q,0)),IF($B$4="PPA",INDEX('BD PPA'!AD:AD,MATCH(B62,'BD PPA'!U:U,0)),INDEX('BD FRESCOS'!AD:AD,MATCH(B62,'BD FRESCOS'!U:U,0))))),IF($B$4="TODOS",IFERROR(INDEX('BD SECOS'!X:X,MATCH(1,('BD SECOS'!Q:Q=B62)*('BD SECOS'!AE:AE=$D$4),0)),IFERROR(INDEX('BD PPA'!AD:AD,MATCH(1,('BD PPA'!U:U=B62)*('BD PPA'!AK:AK=$D$4),0)),INDEX('BD FRESCOS'!AD:AD,MATCH(1,('BD FRESCOS'!U:U=B62)*('BD FRESCOS'!AK:AK=$D$4),0)))),IF($B$4="SECOS",INDEX('BD SECOS'!X:X,MATCH(1,('BD SECOS'!Q:Q=B62)*('BD SECOS'!AE:AE=$D$4),0)),IF($B$4="PPA",INDEX('BD PPA'!AD:AD,MATCH(1,('BD PPA'!U:U=B62)*('BD PPA'!AK:AK=$D$4),0)),INDEX('BD FRESCOS'!AD:AD,MATCH(1,('BD FRESCOS'!U:U=B62)*('BD FRESCOS'!AK:AK=$D$4),0)))))),""))</f>
        <v>RUTA 7</v>
      </c>
      <c r="J62" s="78" t="str">
        <f t="shared" si="7"/>
        <v>⚠️ Muy lejos del CD</v>
      </c>
    </row>
    <row r="63" spans="1:10" x14ac:dyDescent="0.35">
      <c r="A63" s="43">
        <f>IF(OR($B$8=0,C63="",C63=0),"",25)</f>
        <v>25</v>
      </c>
      <c r="B63" s="44" t="str">
        <f>IF($B$8=0,"",IFERROR(IF(INDEX(Distritos!$I$7:$I$66,MATCH(SMALL(Distritos!$J$7:$J$66,25),Distritos!$J$7:$J$66,0))=0,"",INDEX(Distritos!$H$7:$H$66,MATCH(SMALL(Distritos!$J$7:$J$66,25),Distritos!$J$7:$J$66,0))),""))</f>
        <v>Comas</v>
      </c>
      <c r="C63" s="71">
        <f>IF($B$8=0,"",IFERROR(IF(INDEX(Distritos!$I$7:$I$66,MATCH(SMALL(Distritos!$J$7:$J$66,25),Distritos!$J$7:$J$66,0))=0,"",INDEX(Distritos!$I$7:$I$66,MATCH(SMALL(Distritos!$J$7:$J$66,25),Distritos!$J$7:$J$66,0))),""))</f>
        <v>1</v>
      </c>
      <c r="D63" s="70">
        <f t="shared" si="3"/>
        <v>6.5359477124183009E-3</v>
      </c>
      <c r="E63" s="69">
        <f>IF(OR($B$8=0,B63=""),"",IFERROR(ROUND(IF($D$4="TODOS",IF($B$4="TODOS",(SUMIF('BD SECOS'!Q:Q,B63,'BD SECOS'!U:U)+SUMIF('BD PPA'!U:U,B63,'BD PPA'!AA:AA)+SUMIF('BD FRESCOS'!U:U,B63,'BD FRESCOS'!AA:AA))/(COUNTIF('BD SECOS'!Q:Q,B63)+COUNTIF('BD PPA'!U:U,B63)+COUNTIF('BD FRESCOS'!U:U,B63)),IF($B$4="SECOS",AVERAGEIF('BD SECOS'!Q:Q,B63,'BD SECOS'!U:U),IF($B$4="PPA",AVERAGEIF('BD PPA'!U:U,B63,'BD PPA'!AA:AA),AVERAGEIF('BD FRESCOS'!U:U,B63,'BD FRESCOS'!AA:AA)))),IF($B$4="TODOS",(SUMIFS('BD SECOS'!U:U,'BD SECOS'!Q:Q,B63,'BD SECOS'!AE:AE,$D$4)+SUMIFS('BD PPA'!AA:AA,'BD PPA'!U:U,B63,'BD PPA'!AK:AK,$D$4)+SUMIFS('BD FRESCOS'!AA:AA,'BD FRESCOS'!U:U,B63,'BD FRESCOS'!AK:AK,$D$4))/(COUNTIFS('BD SECOS'!Q:Q,B63,'BD SECOS'!AE:AE,$D$4)+COUNTIFS('BD PPA'!U:U,B63,'BD PPA'!AK:AK,$D$4)+COUNTIFS('BD FRESCOS'!U:U,B63,'BD FRESCOS'!AK:AK,$D$4)),IF($B$4="SECOS",AVERAGEIFS('BD SECOS'!U:U,'BD SECOS'!Q:Q,B63,'BD SECOS'!AE:AE,$D$4),IF($B$4="PPA",AVERAGEIFS('BD PPA'!AA:AA,'BD PPA'!U:U,B63,'BD PPA'!AK:AK,$D$4),AVERAGEIFS('BD FRESCOS'!AA:AA,'BD FRESCOS'!U:U,B63,'BD FRESCOS'!AK:AK,$D$4))))),2),""))</f>
        <v>18.13</v>
      </c>
      <c r="F63" s="75" t="str">
        <f t="shared" si="5"/>
        <v>🟠 Moderada</v>
      </c>
      <c r="G63" s="69">
        <f>IF(OR($B$8=0,B63=""),"",IFERROR(ROUND(IF($D$4="TODOS",IF($B$4="TODOS",(SUMIF('BD SECOS'!Q:Q,B63,'BD SECOS'!Y:Y)+SUMIF('BD PPA'!U:U,B63,'BD PPA'!AE:AE)+SUMIF('BD FRESCOS'!U:U,B63,'BD FRESCOS'!AE:AE))/(COUNTIF('BD SECOS'!Q:Q,B63)+COUNTIF('BD PPA'!U:U,B63)+COUNTIF('BD FRESCOS'!U:U,B63)),IF($B$4="SECOS",AVERAGEIF('BD SECOS'!Q:Q,B63,'BD SECOS'!Y:Y),IF($B$4="PPA",AVERAGEIF('BD PPA'!U:U,B63,'BD PPA'!AE:AE),AVERAGEIF('BD FRESCOS'!U:U,B63,'BD FRESCOS'!AE:AE)))),IF($B$4="TODOS",(SUMIFS('BD SECOS'!Y:Y,'BD SECOS'!Q:Q,B63,'BD SECOS'!AE:AE,$D$4)+SUMIFS('BD PPA'!AE:AE,'BD PPA'!U:U,B63,'BD PPA'!AK:AK,$D$4)+SUMIFS('BD FRESCOS'!AE:AE,'BD FRESCOS'!U:U,B63,'BD FRESCOS'!AK:AK,$D$4))/(COUNTIFS('BD SECOS'!Q:Q,B63,'BD SECOS'!AE:AE,$D$4)+COUNTIFS('BD PPA'!U:U,B63,'BD PPA'!AK:AK,$D$4)+COUNTIFS('BD FRESCOS'!U:U,B63,'BD FRESCOS'!AK:AK,$D$4)),IF($B$4="SECOS",AVERAGEIFS('BD SECOS'!Y:Y,'BD SECOS'!Q:Q,B63,'BD SECOS'!AE:AE,$D$4),IF($B$4="PPA",AVERAGEIFS('BD PPA'!AE:AE,'BD PPA'!U:U,B63,'BD PPA'!AK:AK,$D$4),AVERAGEIFS('BD FRESCOS'!AE:AE,'BD FRESCOS'!U:U,B63,'BD FRESCOS'!AK:AK,$D$4))))),2),""))</f>
        <v>4.71</v>
      </c>
      <c r="H63" s="75" t="str">
        <f t="shared" si="6"/>
        <v>🟠 Moderada</v>
      </c>
      <c r="I63" s="75" t="str" cm="1">
        <f t="array" ref="I63">IF(OR($B$8=0,B63=""),"",IFERROR(IF($D$4="TODOS",IF($B$4="TODOS",INDEX('BD SECOS'!X:X,MATCH(B63,'BD SECOS'!Q:Q,0)),IF($B$4="SECOS",INDEX('BD SECOS'!X:X,MATCH(B63,'BD SECOS'!Q:Q,0)),IF($B$4="PPA",INDEX('BD PPA'!AD:AD,MATCH(B63,'BD PPA'!U:U,0)),INDEX('BD FRESCOS'!AD:AD,MATCH(B63,'BD FRESCOS'!U:U,0))))),IF($B$4="TODOS",IFERROR(INDEX('BD SECOS'!X:X,MATCH(1,('BD SECOS'!Q:Q=B63)*('BD SECOS'!AE:AE=$D$4),0)),IFERROR(INDEX('BD PPA'!AD:AD,MATCH(1,('BD PPA'!U:U=B63)*('BD PPA'!AK:AK=$D$4),0)),INDEX('BD FRESCOS'!AD:AD,MATCH(1,('BD FRESCOS'!U:U=B63)*('BD FRESCOS'!AK:AK=$D$4),0)))),IF($B$4="SECOS",INDEX('BD SECOS'!X:X,MATCH(1,('BD SECOS'!Q:Q=B63)*('BD SECOS'!AE:AE=$D$4),0)),IF($B$4="PPA",INDEX('BD PPA'!AD:AD,MATCH(1,('BD PPA'!U:U=B63)*('BD PPA'!AK:AK=$D$4),0)),INDEX('BD FRESCOS'!AD:AD,MATCH(1,('BD FRESCOS'!U:U=B63)*('BD FRESCOS'!AK:AK=$D$4),0)))))),""))</f>
        <v>RUTA 4A</v>
      </c>
      <c r="J63" s="78" t="str">
        <f t="shared" si="7"/>
        <v>📍 Normal</v>
      </c>
    </row>
    <row r="64" spans="1:10" x14ac:dyDescent="0.35">
      <c r="A64" s="43">
        <f>IF(OR($B$8=0,C64="",C64=0),"",26)</f>
        <v>26</v>
      </c>
      <c r="B64" s="44" t="str">
        <f>IF($B$8=0,"",IFERROR(IF(INDEX(Distritos!$I$7:$I$66,MATCH(SMALL(Distritos!$J$7:$J$66,26),Distritos!$J$7:$J$66,0))=0,"",INDEX(Distritos!$H$7:$H$66,MATCH(SMALL(Distritos!$J$7:$J$66,26),Distritos!$J$7:$J$66,0))),""))</f>
        <v>Jesus Maria</v>
      </c>
      <c r="C64" s="71">
        <f>IF($B$8=0,"",IFERROR(IF(INDEX(Distritos!$I$7:$I$66,MATCH(SMALL(Distritos!$J$7:$J$66,26),Distritos!$J$7:$J$66,0))=0,"",INDEX(Distritos!$I$7:$I$66,MATCH(SMALL(Distritos!$J$7:$J$66,26),Distritos!$J$7:$J$66,0))),""))</f>
        <v>1</v>
      </c>
      <c r="D64" s="70">
        <f t="shared" si="3"/>
        <v>6.5359477124183009E-3</v>
      </c>
      <c r="E64" s="69">
        <f>IF(OR($B$8=0,B64=""),"",IFERROR(ROUND(IF($D$4="TODOS",IF($B$4="TODOS",(SUMIF('BD SECOS'!Q:Q,B64,'BD SECOS'!U:U)+SUMIF('BD PPA'!U:U,B64,'BD PPA'!AA:AA)+SUMIF('BD FRESCOS'!U:U,B64,'BD FRESCOS'!AA:AA))/(COUNTIF('BD SECOS'!Q:Q,B64)+COUNTIF('BD PPA'!U:U,B64)+COUNTIF('BD FRESCOS'!U:U,B64)),IF($B$4="SECOS",AVERAGEIF('BD SECOS'!Q:Q,B64,'BD SECOS'!U:U),IF($B$4="PPA",AVERAGEIF('BD PPA'!U:U,B64,'BD PPA'!AA:AA),AVERAGEIF('BD FRESCOS'!U:U,B64,'BD FRESCOS'!AA:AA)))),IF($B$4="TODOS",(SUMIFS('BD SECOS'!U:U,'BD SECOS'!Q:Q,B64,'BD SECOS'!AE:AE,$D$4)+SUMIFS('BD PPA'!AA:AA,'BD PPA'!U:U,B64,'BD PPA'!AK:AK,$D$4)+SUMIFS('BD FRESCOS'!AA:AA,'BD FRESCOS'!U:U,B64,'BD FRESCOS'!AK:AK,$D$4))/(COUNTIFS('BD SECOS'!Q:Q,B64,'BD SECOS'!AE:AE,$D$4)+COUNTIFS('BD PPA'!U:U,B64,'BD PPA'!AK:AK,$D$4)+COUNTIFS('BD FRESCOS'!U:U,B64,'BD FRESCOS'!AK:AK,$D$4)),IF($B$4="SECOS",AVERAGEIFS('BD SECOS'!U:U,'BD SECOS'!Q:Q,B64,'BD SECOS'!AE:AE,$D$4),IF($B$4="PPA",AVERAGEIFS('BD PPA'!AA:AA,'BD PPA'!U:U,B64,'BD PPA'!AK:AK,$D$4),AVERAGEIFS('BD FRESCOS'!AA:AA,'BD FRESCOS'!U:U,B64,'BD FRESCOS'!AK:AK,$D$4))))),2),""))</f>
        <v>18.899999999999999</v>
      </c>
      <c r="F64" s="75" t="str">
        <f t="shared" si="5"/>
        <v>🟠 Moderada</v>
      </c>
      <c r="G64" s="69">
        <f>IF(OR($B$8=0,B64=""),"",IFERROR(ROUND(IF($D$4="TODOS",IF($B$4="TODOS",(SUMIF('BD SECOS'!Q:Q,B64,'BD SECOS'!Y:Y)+SUMIF('BD PPA'!U:U,B64,'BD PPA'!AE:AE)+SUMIF('BD FRESCOS'!U:U,B64,'BD FRESCOS'!AE:AE))/(COUNTIF('BD SECOS'!Q:Q,B64)+COUNTIF('BD PPA'!U:U,B64)+COUNTIF('BD FRESCOS'!U:U,B64)),IF($B$4="SECOS",AVERAGEIF('BD SECOS'!Q:Q,B64,'BD SECOS'!Y:Y),IF($B$4="PPA",AVERAGEIF('BD PPA'!U:U,B64,'BD PPA'!AE:AE),AVERAGEIF('BD FRESCOS'!U:U,B64,'BD FRESCOS'!AE:AE)))),IF($B$4="TODOS",(SUMIFS('BD SECOS'!Y:Y,'BD SECOS'!Q:Q,B64,'BD SECOS'!AE:AE,$D$4)+SUMIFS('BD PPA'!AE:AE,'BD PPA'!U:U,B64,'BD PPA'!AK:AK,$D$4)+SUMIFS('BD FRESCOS'!AE:AE,'BD FRESCOS'!U:U,B64,'BD FRESCOS'!AK:AK,$D$4))/(COUNTIFS('BD SECOS'!Q:Q,B64,'BD SECOS'!AE:AE,$D$4)+COUNTIFS('BD PPA'!U:U,B64,'BD PPA'!AK:AK,$D$4)+COUNTIFS('BD FRESCOS'!U:U,B64,'BD FRESCOS'!AK:AK,$D$4)),IF($B$4="SECOS",AVERAGEIFS('BD SECOS'!Y:Y,'BD SECOS'!Q:Q,B64,'BD SECOS'!AE:AE,$D$4),IF($B$4="PPA",AVERAGEIFS('BD PPA'!AE:AE,'BD PPA'!U:U,B64,'BD PPA'!AK:AK,$D$4),AVERAGEIFS('BD FRESCOS'!AE:AE,'BD FRESCOS'!U:U,B64,'BD FRESCOS'!AK:AK,$D$4))))),2),""))</f>
        <v>3.42</v>
      </c>
      <c r="H64" s="75" t="str">
        <f t="shared" si="6"/>
        <v>🟠 Moderada</v>
      </c>
      <c r="I64" s="75" t="str" cm="1">
        <f t="array" ref="I64">IF(OR($B$8=0,B64=""),"",IFERROR(IF($D$4="TODOS",IF($B$4="TODOS",INDEX('BD SECOS'!X:X,MATCH(B64,'BD SECOS'!Q:Q,0)),IF($B$4="SECOS",INDEX('BD SECOS'!X:X,MATCH(B64,'BD SECOS'!Q:Q,0)),IF($B$4="PPA",INDEX('BD PPA'!AD:AD,MATCH(B64,'BD PPA'!U:U,0)),INDEX('BD FRESCOS'!AD:AD,MATCH(B64,'BD FRESCOS'!U:U,0))))),IF($B$4="TODOS",IFERROR(INDEX('BD SECOS'!X:X,MATCH(1,('BD SECOS'!Q:Q=B64)*('BD SECOS'!AE:AE=$D$4),0)),IFERROR(INDEX('BD PPA'!AD:AD,MATCH(1,('BD PPA'!U:U=B64)*('BD PPA'!AK:AK=$D$4),0)),INDEX('BD FRESCOS'!AD:AD,MATCH(1,('BD FRESCOS'!U:U=B64)*('BD FRESCOS'!AK:AK=$D$4),0)))),IF($B$4="SECOS",INDEX('BD SECOS'!X:X,MATCH(1,('BD SECOS'!Q:Q=B64)*('BD SECOS'!AE:AE=$D$4),0)),IF($B$4="PPA",INDEX('BD PPA'!AD:AD,MATCH(1,('BD PPA'!U:U=B64)*('BD PPA'!AK:AK=$D$4),0)),INDEX('BD FRESCOS'!AD:AD,MATCH(1,('BD FRESCOS'!U:U=B64)*('BD FRESCOS'!AK:AK=$D$4),0)))))),""))</f>
        <v>RUTA 9</v>
      </c>
      <c r="J64" s="78" t="str">
        <f t="shared" si="7"/>
        <v>📍 Normal</v>
      </c>
    </row>
    <row r="65" spans="1:10" x14ac:dyDescent="0.35">
      <c r="A65" s="43">
        <f>IF(OR($B$8=0,C65="",C65=0),"",27)</f>
        <v>27</v>
      </c>
      <c r="B65" s="44" t="str">
        <f>IF($B$8=0,"",IFERROR(IF(INDEX(Distritos!$I$7:$I$66,MATCH(SMALL(Distritos!$J$7:$J$66,27),Distritos!$J$7:$J$66,0))=0,"",INDEX(Distritos!$H$7:$H$66,MATCH(SMALL(Distritos!$J$7:$J$66,27),Distritos!$J$7:$J$66,0))),""))</f>
        <v>Magdalena Del Mar</v>
      </c>
      <c r="C65" s="71">
        <f>IF($B$8=0,"",IFERROR(IF(INDEX(Distritos!$I$7:$I$66,MATCH(SMALL(Distritos!$J$7:$J$66,27),Distritos!$J$7:$J$66,0))=0,"",INDEX(Distritos!$I$7:$I$66,MATCH(SMALL(Distritos!$J$7:$J$66,27),Distritos!$J$7:$J$66,0))),""))</f>
        <v>1</v>
      </c>
      <c r="D65" s="70">
        <f t="shared" si="3"/>
        <v>6.5359477124183009E-3</v>
      </c>
      <c r="E65" s="69">
        <f>IF(OR($B$8=0,B65=""),"",IFERROR(ROUND(IF($D$4="TODOS",IF($B$4="TODOS",(SUMIF('BD SECOS'!Q:Q,B65,'BD SECOS'!U:U)+SUMIF('BD PPA'!U:U,B65,'BD PPA'!AA:AA)+SUMIF('BD FRESCOS'!U:U,B65,'BD FRESCOS'!AA:AA))/(COUNTIF('BD SECOS'!Q:Q,B65)+COUNTIF('BD PPA'!U:U,B65)+COUNTIF('BD FRESCOS'!U:U,B65)),IF($B$4="SECOS",AVERAGEIF('BD SECOS'!Q:Q,B65,'BD SECOS'!U:U),IF($B$4="PPA",AVERAGEIF('BD PPA'!U:U,B65,'BD PPA'!AA:AA),AVERAGEIF('BD FRESCOS'!U:U,B65,'BD FRESCOS'!AA:AA)))),IF($B$4="TODOS",(SUMIFS('BD SECOS'!U:U,'BD SECOS'!Q:Q,B65,'BD SECOS'!AE:AE,$D$4)+SUMIFS('BD PPA'!AA:AA,'BD PPA'!U:U,B65,'BD PPA'!AK:AK,$D$4)+SUMIFS('BD FRESCOS'!AA:AA,'BD FRESCOS'!U:U,B65,'BD FRESCOS'!AK:AK,$D$4))/(COUNTIFS('BD SECOS'!Q:Q,B65,'BD SECOS'!AE:AE,$D$4)+COUNTIFS('BD PPA'!U:U,B65,'BD PPA'!AK:AK,$D$4)+COUNTIFS('BD FRESCOS'!U:U,B65,'BD FRESCOS'!AK:AK,$D$4)),IF($B$4="SECOS",AVERAGEIFS('BD SECOS'!U:U,'BD SECOS'!Q:Q,B65,'BD SECOS'!AE:AE,$D$4),IF($B$4="PPA",AVERAGEIFS('BD PPA'!AA:AA,'BD PPA'!U:U,B65,'BD PPA'!AK:AK,$D$4),AVERAGEIFS('BD FRESCOS'!AA:AA,'BD FRESCOS'!U:U,B65,'BD FRESCOS'!AK:AK,$D$4))))),2),""))</f>
        <v>21.19</v>
      </c>
      <c r="F65" s="75" t="str">
        <f t="shared" si="5"/>
        <v>🔴 Lejos</v>
      </c>
      <c r="G65" s="69">
        <f>IF(OR($B$8=0,B65=""),"",IFERROR(ROUND(IF($D$4="TODOS",IF($B$4="TODOS",(SUMIF('BD SECOS'!Q:Q,B65,'BD SECOS'!Y:Y)+SUMIF('BD PPA'!U:U,B65,'BD PPA'!AE:AE)+SUMIF('BD FRESCOS'!U:U,B65,'BD FRESCOS'!AE:AE))/(COUNTIF('BD SECOS'!Q:Q,B65)+COUNTIF('BD PPA'!U:U,B65)+COUNTIF('BD FRESCOS'!U:U,B65)),IF($B$4="SECOS",AVERAGEIF('BD SECOS'!Q:Q,B65,'BD SECOS'!Y:Y),IF($B$4="PPA",AVERAGEIF('BD PPA'!U:U,B65,'BD PPA'!AE:AE),AVERAGEIF('BD FRESCOS'!U:U,B65,'BD FRESCOS'!AE:AE)))),IF($B$4="TODOS",(SUMIFS('BD SECOS'!Y:Y,'BD SECOS'!Q:Q,B65,'BD SECOS'!AE:AE,$D$4)+SUMIFS('BD PPA'!AE:AE,'BD PPA'!U:U,B65,'BD PPA'!AK:AK,$D$4)+SUMIFS('BD FRESCOS'!AE:AE,'BD FRESCOS'!U:U,B65,'BD FRESCOS'!AK:AK,$D$4))/(COUNTIFS('BD SECOS'!Q:Q,B65,'BD SECOS'!AE:AE,$D$4)+COUNTIFS('BD PPA'!U:U,B65,'BD PPA'!AK:AK,$D$4)+COUNTIFS('BD FRESCOS'!U:U,B65,'BD FRESCOS'!AK:AK,$D$4)),IF($B$4="SECOS",AVERAGEIFS('BD SECOS'!Y:Y,'BD SECOS'!Q:Q,B65,'BD SECOS'!AE:AE,$D$4),IF($B$4="PPA",AVERAGEIFS('BD PPA'!AE:AE,'BD PPA'!U:U,B65,'BD PPA'!AK:AK,$D$4),AVERAGEIFS('BD FRESCOS'!AE:AE,'BD FRESCOS'!U:U,B65,'BD FRESCOS'!AK:AK,$D$4))))),2),""))</f>
        <v>1.88</v>
      </c>
      <c r="H65" s="75" t="str">
        <f t="shared" si="6"/>
        <v>🟡 Cerca</v>
      </c>
      <c r="I65" s="75" t="str" cm="1">
        <f t="array" ref="I65">IF(OR($B$8=0,B65=""),"",IFERROR(IF($D$4="TODOS",IF($B$4="TODOS",INDEX('BD SECOS'!X:X,MATCH(B65,'BD SECOS'!Q:Q,0)),IF($B$4="SECOS",INDEX('BD SECOS'!X:X,MATCH(B65,'BD SECOS'!Q:Q,0)),IF($B$4="PPA",INDEX('BD PPA'!AD:AD,MATCH(B65,'BD PPA'!U:U,0)),INDEX('BD FRESCOS'!AD:AD,MATCH(B65,'BD FRESCOS'!U:U,0))))),IF($B$4="TODOS",IFERROR(INDEX('BD SECOS'!X:X,MATCH(1,('BD SECOS'!Q:Q=B65)*('BD SECOS'!AE:AE=$D$4),0)),IFERROR(INDEX('BD PPA'!AD:AD,MATCH(1,('BD PPA'!U:U=B65)*('BD PPA'!AK:AK=$D$4),0)),INDEX('BD FRESCOS'!AD:AD,MATCH(1,('BD FRESCOS'!U:U=B65)*('BD FRESCOS'!AK:AK=$D$4),0)))),IF($B$4="SECOS",INDEX('BD SECOS'!X:X,MATCH(1,('BD SECOS'!Q:Q=B65)*('BD SECOS'!AE:AE=$D$4),0)),IF($B$4="PPA",INDEX('BD PPA'!AD:AD,MATCH(1,('BD PPA'!U:U=B65)*('BD PPA'!AK:AK=$D$4),0)),INDEX('BD FRESCOS'!AD:AD,MATCH(1,('BD FRESCOS'!U:U=B65)*('BD FRESCOS'!AK:AK=$D$4),0)))))),""))</f>
        <v>RUTA 9</v>
      </c>
      <c r="J65" s="78" t="str">
        <f t="shared" si="7"/>
        <v>⚠️ Muy lejos del CD</v>
      </c>
    </row>
    <row r="66" spans="1:10" x14ac:dyDescent="0.35">
      <c r="A66" s="43">
        <f>IF(OR($B$8=0,C66="",C66=0),"",28)</f>
        <v>28</v>
      </c>
      <c r="B66" s="44" t="str">
        <f>IF($B$8=0,"",IFERROR(IF(INDEX(Distritos!$I$7:$I$66,MATCH(SMALL(Distritos!$J$7:$J$66,28),Distritos!$J$7:$J$66,0))=0,"",INDEX(Distritos!$H$7:$H$66,MATCH(SMALL(Distritos!$J$7:$J$66,28),Distritos!$J$7:$J$66,0))),""))</f>
        <v>San Antonio</v>
      </c>
      <c r="C66" s="71">
        <f>IF($B$8=0,"",IFERROR(IF(INDEX(Distritos!$I$7:$I$66,MATCH(SMALL(Distritos!$J$7:$J$66,28),Distritos!$J$7:$J$66,0))=0,"",INDEX(Distritos!$I$7:$I$66,MATCH(SMALL(Distritos!$J$7:$J$66,28),Distritos!$J$7:$J$66,0))),""))</f>
        <v>1</v>
      </c>
      <c r="D66" s="70">
        <f t="shared" si="3"/>
        <v>6.5359477124183009E-3</v>
      </c>
      <c r="E66" s="69">
        <f>IF(OR($B$8=0,B66=""),"",IFERROR(ROUND(IF($D$4="TODOS",IF($B$4="TODOS",(SUMIF('BD SECOS'!Q:Q,B66,'BD SECOS'!U:U)+SUMIF('BD PPA'!U:U,B66,'BD PPA'!AA:AA)+SUMIF('BD FRESCOS'!U:U,B66,'BD FRESCOS'!AA:AA))/(COUNTIF('BD SECOS'!Q:Q,B66)+COUNTIF('BD PPA'!U:U,B66)+COUNTIF('BD FRESCOS'!U:U,B66)),IF($B$4="SECOS",AVERAGEIF('BD SECOS'!Q:Q,B66,'BD SECOS'!U:U),IF($B$4="PPA",AVERAGEIF('BD PPA'!U:U,B66,'BD PPA'!AA:AA),AVERAGEIF('BD FRESCOS'!U:U,B66,'BD FRESCOS'!AA:AA)))),IF($B$4="TODOS",(SUMIFS('BD SECOS'!U:U,'BD SECOS'!Q:Q,B66,'BD SECOS'!AE:AE,$D$4)+SUMIFS('BD PPA'!AA:AA,'BD PPA'!U:U,B66,'BD PPA'!AK:AK,$D$4)+SUMIFS('BD FRESCOS'!AA:AA,'BD FRESCOS'!U:U,B66,'BD FRESCOS'!AK:AK,$D$4))/(COUNTIFS('BD SECOS'!Q:Q,B66,'BD SECOS'!AE:AE,$D$4)+COUNTIFS('BD PPA'!U:U,B66,'BD PPA'!AK:AK,$D$4)+COUNTIFS('BD FRESCOS'!U:U,B66,'BD FRESCOS'!AK:AK,$D$4)),IF($B$4="SECOS",AVERAGEIFS('BD SECOS'!U:U,'BD SECOS'!Q:Q,B66,'BD SECOS'!AE:AE,$D$4),IF($B$4="PPA",AVERAGEIFS('BD PPA'!AA:AA,'BD PPA'!U:U,B66,'BD PPA'!AK:AK,$D$4),AVERAGEIFS('BD FRESCOS'!AA:AA,'BD FRESCOS'!U:U,B66,'BD FRESCOS'!AK:AK,$D$4))))),2),""))</f>
        <v>5.5</v>
      </c>
      <c r="F66" s="75" t="str">
        <f t="shared" si="5"/>
        <v>🟡 Cerca</v>
      </c>
      <c r="G66" s="69">
        <f>IF(OR($B$8=0,B66=""),"",IFERROR(ROUND(IF($D$4="TODOS",IF($B$4="TODOS",(SUMIF('BD SECOS'!Q:Q,B66,'BD SECOS'!Y:Y)+SUMIF('BD PPA'!U:U,B66,'BD PPA'!AE:AE)+SUMIF('BD FRESCOS'!U:U,B66,'BD FRESCOS'!AE:AE))/(COUNTIF('BD SECOS'!Q:Q,B66)+COUNTIF('BD PPA'!U:U,B66)+COUNTIF('BD FRESCOS'!U:U,B66)),IF($B$4="SECOS",AVERAGEIF('BD SECOS'!Q:Q,B66,'BD SECOS'!Y:Y),IF($B$4="PPA",AVERAGEIF('BD PPA'!U:U,B66,'BD PPA'!AE:AE),AVERAGEIF('BD FRESCOS'!U:U,B66,'BD FRESCOS'!AE:AE)))),IF($B$4="TODOS",(SUMIFS('BD SECOS'!Y:Y,'BD SECOS'!Q:Q,B66,'BD SECOS'!AE:AE,$D$4)+SUMIFS('BD PPA'!AE:AE,'BD PPA'!U:U,B66,'BD PPA'!AK:AK,$D$4)+SUMIFS('BD FRESCOS'!AE:AE,'BD FRESCOS'!U:U,B66,'BD FRESCOS'!AK:AK,$D$4))/(COUNTIFS('BD SECOS'!Q:Q,B66,'BD SECOS'!AE:AE,$D$4)+COUNTIFS('BD PPA'!U:U,B66,'BD PPA'!AK:AK,$D$4)+COUNTIFS('BD FRESCOS'!U:U,B66,'BD FRESCOS'!AK:AK,$D$4)),IF($B$4="SECOS",AVERAGEIFS('BD SECOS'!Y:Y,'BD SECOS'!Q:Q,B66,'BD SECOS'!AE:AE,$D$4),IF($B$4="PPA",AVERAGEIFS('BD PPA'!AE:AE,'BD PPA'!U:U,B66,'BD PPA'!AK:AK,$D$4),AVERAGEIFS('BD FRESCOS'!AE:AE,'BD FRESCOS'!U:U,B66,'BD FRESCOS'!AK:AK,$D$4))))),2),""))</f>
        <v>4.9400000000000004</v>
      </c>
      <c r="H66" s="75" t="str">
        <f t="shared" si="6"/>
        <v>🟠 Moderada</v>
      </c>
      <c r="I66" s="75" t="str" cm="1">
        <f t="array" ref="I66">IF(OR($B$8=0,B66=""),"",IFERROR(IF($D$4="TODOS",IF($B$4="TODOS",INDEX('BD SECOS'!X:X,MATCH(B66,'BD SECOS'!Q:Q,0)),IF($B$4="SECOS",INDEX('BD SECOS'!X:X,MATCH(B66,'BD SECOS'!Q:Q,0)),IF($B$4="PPA",INDEX('BD PPA'!AD:AD,MATCH(B66,'BD PPA'!U:U,0)),INDEX('BD FRESCOS'!AD:AD,MATCH(B66,'BD FRESCOS'!U:U,0))))),IF($B$4="TODOS",IFERROR(INDEX('BD SECOS'!X:X,MATCH(1,('BD SECOS'!Q:Q=B66)*('BD SECOS'!AE:AE=$D$4),0)),IFERROR(INDEX('BD PPA'!AD:AD,MATCH(1,('BD PPA'!U:U=B66)*('BD PPA'!AK:AK=$D$4),0)),INDEX('BD FRESCOS'!AD:AD,MATCH(1,('BD FRESCOS'!U:U=B66)*('BD FRESCOS'!AK:AK=$D$4),0)))),IF($B$4="SECOS",INDEX('BD SECOS'!X:X,MATCH(1,('BD SECOS'!Q:Q=B66)*('BD SECOS'!AE:AE=$D$4),0)),IF($B$4="PPA",INDEX('BD PPA'!AD:AD,MATCH(1,('BD PPA'!U:U=B66)*('BD PPA'!AK:AK=$D$4),0)),INDEX('BD FRESCOS'!AD:AD,MATCH(1,('BD FRESCOS'!U:U=B66)*('BD FRESCOS'!AK:AK=$D$4),0)))))),""))</f>
        <v>RUTA 2</v>
      </c>
      <c r="J66" s="78" t="str">
        <f t="shared" si="7"/>
        <v>📍 Normal</v>
      </c>
    </row>
    <row r="67" spans="1:10" x14ac:dyDescent="0.35">
      <c r="A67" s="43">
        <f>IF(OR($B$8=0,C67="",C67=0),"",29)</f>
        <v>29</v>
      </c>
      <c r="B67" s="44" t="str">
        <f>IF($B$8=0,"",IFERROR(IF(INDEX(Distritos!$I$7:$I$66,MATCH(SMALL(Distritos!$J$7:$J$66,29),Distritos!$J$7:$J$66,0))=0,"",INDEX(Distritos!$H$7:$H$66,MATCH(SMALL(Distritos!$J$7:$J$66,29),Distritos!$J$7:$J$66,0))),""))</f>
        <v>San Borja</v>
      </c>
      <c r="C67" s="71">
        <f>IF($B$8=0,"",IFERROR(IF(INDEX(Distritos!$I$7:$I$66,MATCH(SMALL(Distritos!$J$7:$J$66,29),Distritos!$J$7:$J$66,0))=0,"",INDEX(Distritos!$I$7:$I$66,MATCH(SMALL(Distritos!$J$7:$J$66,29),Distritos!$J$7:$J$66,0))),""))</f>
        <v>1</v>
      </c>
      <c r="D67" s="70">
        <f t="shared" si="3"/>
        <v>6.5359477124183009E-3</v>
      </c>
      <c r="E67" s="69">
        <f>IF(OR($B$8=0,B67=""),"",IFERROR(ROUND(IF($D$4="TODOS",IF($B$4="TODOS",(SUMIF('BD SECOS'!Q:Q,B67,'BD SECOS'!U:U)+SUMIF('BD PPA'!U:U,B67,'BD PPA'!AA:AA)+SUMIF('BD FRESCOS'!U:U,B67,'BD FRESCOS'!AA:AA))/(COUNTIF('BD SECOS'!Q:Q,B67)+COUNTIF('BD PPA'!U:U,B67)+COUNTIF('BD FRESCOS'!U:U,B67)),IF($B$4="SECOS",AVERAGEIF('BD SECOS'!Q:Q,B67,'BD SECOS'!U:U),IF($B$4="PPA",AVERAGEIF('BD PPA'!U:U,B67,'BD PPA'!AA:AA),AVERAGEIF('BD FRESCOS'!U:U,B67,'BD FRESCOS'!AA:AA)))),IF($B$4="TODOS",(SUMIFS('BD SECOS'!U:U,'BD SECOS'!Q:Q,B67,'BD SECOS'!AE:AE,$D$4)+SUMIFS('BD PPA'!AA:AA,'BD PPA'!U:U,B67,'BD PPA'!AK:AK,$D$4)+SUMIFS('BD FRESCOS'!AA:AA,'BD FRESCOS'!U:U,B67,'BD FRESCOS'!AK:AK,$D$4))/(COUNTIFS('BD SECOS'!Q:Q,B67,'BD SECOS'!AE:AE,$D$4)+COUNTIFS('BD PPA'!U:U,B67,'BD PPA'!AK:AK,$D$4)+COUNTIFS('BD FRESCOS'!U:U,B67,'BD FRESCOS'!AK:AK,$D$4)),IF($B$4="SECOS",AVERAGEIFS('BD SECOS'!U:U,'BD SECOS'!Q:Q,B67,'BD SECOS'!AE:AE,$D$4),IF($B$4="PPA",AVERAGEIFS('BD PPA'!AA:AA,'BD PPA'!U:U,B67,'BD PPA'!AK:AK,$D$4),AVERAGEIFS('BD FRESCOS'!AA:AA,'BD FRESCOS'!U:U,B67,'BD FRESCOS'!AK:AK,$D$4))))),2),""))</f>
        <v>14.97</v>
      </c>
      <c r="F67" s="75" t="str">
        <f t="shared" si="5"/>
        <v>🟠 Moderada</v>
      </c>
      <c r="G67" s="69">
        <f>IF(OR($B$8=0,B67=""),"",IFERROR(ROUND(IF($D$4="TODOS",IF($B$4="TODOS",(SUMIF('BD SECOS'!Q:Q,B67,'BD SECOS'!Y:Y)+SUMIF('BD PPA'!U:U,B67,'BD PPA'!AE:AE)+SUMIF('BD FRESCOS'!U:U,B67,'BD FRESCOS'!AE:AE))/(COUNTIF('BD SECOS'!Q:Q,B67)+COUNTIF('BD PPA'!U:U,B67)+COUNTIF('BD FRESCOS'!U:U,B67)),IF($B$4="SECOS",AVERAGEIF('BD SECOS'!Q:Q,B67,'BD SECOS'!Y:Y),IF($B$4="PPA",AVERAGEIF('BD PPA'!U:U,B67,'BD PPA'!AE:AE),AVERAGEIF('BD FRESCOS'!U:U,B67,'BD FRESCOS'!AE:AE)))),IF($B$4="TODOS",(SUMIFS('BD SECOS'!Y:Y,'BD SECOS'!Q:Q,B67,'BD SECOS'!AE:AE,$D$4)+SUMIFS('BD PPA'!AE:AE,'BD PPA'!U:U,B67,'BD PPA'!AK:AK,$D$4)+SUMIFS('BD FRESCOS'!AE:AE,'BD FRESCOS'!U:U,B67,'BD FRESCOS'!AK:AK,$D$4))/(COUNTIFS('BD SECOS'!Q:Q,B67,'BD SECOS'!AE:AE,$D$4)+COUNTIFS('BD PPA'!U:U,B67,'BD PPA'!AK:AK,$D$4)+COUNTIFS('BD FRESCOS'!U:U,B67,'BD FRESCOS'!AK:AK,$D$4)),IF($B$4="SECOS",AVERAGEIFS('BD SECOS'!Y:Y,'BD SECOS'!Q:Q,B67,'BD SECOS'!AE:AE,$D$4),IF($B$4="PPA",AVERAGEIFS('BD PPA'!AE:AE,'BD PPA'!U:U,B67,'BD PPA'!AK:AK,$D$4),AVERAGEIFS('BD FRESCOS'!AE:AE,'BD FRESCOS'!U:U,B67,'BD FRESCOS'!AK:AK,$D$4))))),2),""))</f>
        <v>0.22</v>
      </c>
      <c r="H67" s="75" t="str">
        <f t="shared" si="6"/>
        <v>🟢 Muy Cerca</v>
      </c>
      <c r="I67" s="75" t="str" cm="1">
        <f t="array" ref="I67">IF(OR($B$8=0,B67=""),"",IFERROR(IF($D$4="TODOS",IF($B$4="TODOS",INDEX('BD SECOS'!X:X,MATCH(B67,'BD SECOS'!Q:Q,0)),IF($B$4="SECOS",INDEX('BD SECOS'!X:X,MATCH(B67,'BD SECOS'!Q:Q,0)),IF($B$4="PPA",INDEX('BD PPA'!AD:AD,MATCH(B67,'BD PPA'!U:U,0)),INDEX('BD FRESCOS'!AD:AD,MATCH(B67,'BD FRESCOS'!U:U,0))))),IF($B$4="TODOS",IFERROR(INDEX('BD SECOS'!X:X,MATCH(1,('BD SECOS'!Q:Q=B67)*('BD SECOS'!AE:AE=$D$4),0)),IFERROR(INDEX('BD PPA'!AD:AD,MATCH(1,('BD PPA'!U:U=B67)*('BD PPA'!AK:AK=$D$4),0)),INDEX('BD FRESCOS'!AD:AD,MATCH(1,('BD FRESCOS'!U:U=B67)*('BD FRESCOS'!AK:AK=$D$4),0)))),IF($B$4="SECOS",INDEX('BD SECOS'!X:X,MATCH(1,('BD SECOS'!Q:Q=B67)*('BD SECOS'!AE:AE=$D$4),0)),IF($B$4="PPA",INDEX('BD PPA'!AD:AD,MATCH(1,('BD PPA'!U:U=B67)*('BD PPA'!AK:AK=$D$4),0)),INDEX('BD FRESCOS'!AD:AD,MATCH(1,('BD FRESCOS'!U:U=B67)*('BD FRESCOS'!AK:AK=$D$4),0)))))),""))</f>
        <v>RUTA 7</v>
      </c>
      <c r="J67" s="78" t="str">
        <f t="shared" si="7"/>
        <v>📍 Normal</v>
      </c>
    </row>
    <row r="68" spans="1:10" x14ac:dyDescent="0.35">
      <c r="A68" s="43">
        <f>IF(OR($B$8=0,C68="",C68=0),"",30)</f>
        <v>30</v>
      </c>
      <c r="B68" s="44" t="str">
        <f>IF($B$8=0,"",IFERROR(IF(INDEX(Distritos!$I$7:$I$66,MATCH(SMALL(Distritos!$J$7:$J$66,30),Distritos!$J$7:$J$66,0))=0,"",INDEX(Distritos!$H$7:$H$66,MATCH(SMALL(Distritos!$J$7:$J$66,30),Distritos!$J$7:$J$66,0))),""))</f>
        <v>San Luis</v>
      </c>
      <c r="C68" s="71">
        <f>IF($B$8=0,"",IFERROR(IF(INDEX(Distritos!$I$7:$I$66,MATCH(SMALL(Distritos!$J$7:$J$66,30),Distritos!$J$7:$J$66,0))=0,"",INDEX(Distritos!$I$7:$I$66,MATCH(SMALL(Distritos!$J$7:$J$66,30),Distritos!$J$7:$J$66,0))),""))</f>
        <v>1</v>
      </c>
      <c r="D68" s="70">
        <f t="shared" si="3"/>
        <v>6.5359477124183009E-3</v>
      </c>
      <c r="E68" s="69">
        <f>IF(OR($B$8=0,B68=""),"",IFERROR(ROUND(IF($D$4="TODOS",IF($B$4="TODOS",(SUMIF('BD SECOS'!Q:Q,B68,'BD SECOS'!U:U)+SUMIF('BD PPA'!U:U,B68,'BD PPA'!AA:AA)+SUMIF('BD FRESCOS'!U:U,B68,'BD FRESCOS'!AA:AA))/(COUNTIF('BD SECOS'!Q:Q,B68)+COUNTIF('BD PPA'!U:U,B68)+COUNTIF('BD FRESCOS'!U:U,B68)),IF($B$4="SECOS",AVERAGEIF('BD SECOS'!Q:Q,B68,'BD SECOS'!U:U),IF($B$4="PPA",AVERAGEIF('BD PPA'!U:U,B68,'BD PPA'!AA:AA),AVERAGEIF('BD FRESCOS'!U:U,B68,'BD FRESCOS'!AA:AA)))),IF($B$4="TODOS",(SUMIFS('BD SECOS'!U:U,'BD SECOS'!Q:Q,B68,'BD SECOS'!AE:AE,$D$4)+SUMIFS('BD PPA'!AA:AA,'BD PPA'!U:U,B68,'BD PPA'!AK:AK,$D$4)+SUMIFS('BD FRESCOS'!AA:AA,'BD FRESCOS'!U:U,B68,'BD FRESCOS'!AK:AK,$D$4))/(COUNTIFS('BD SECOS'!Q:Q,B68,'BD SECOS'!AE:AE,$D$4)+COUNTIFS('BD PPA'!U:U,B68,'BD PPA'!AK:AK,$D$4)+COUNTIFS('BD FRESCOS'!U:U,B68,'BD FRESCOS'!AK:AK,$D$4)),IF($B$4="SECOS",AVERAGEIFS('BD SECOS'!U:U,'BD SECOS'!Q:Q,B68,'BD SECOS'!AE:AE,$D$4),IF($B$4="PPA",AVERAGEIFS('BD PPA'!AA:AA,'BD PPA'!U:U,B68,'BD PPA'!AK:AK,$D$4),AVERAGEIFS('BD FRESCOS'!AA:AA,'BD FRESCOS'!U:U,B68,'BD FRESCOS'!AK:AK,$D$4))))),2),""))</f>
        <v>14.25</v>
      </c>
      <c r="F68" s="75" t="str">
        <f t="shared" si="5"/>
        <v>🟠 Moderada</v>
      </c>
      <c r="G68" s="69">
        <f>IF(OR($B$8=0,B68=""),"",IFERROR(ROUND(IF($D$4="TODOS",IF($B$4="TODOS",(SUMIF('BD SECOS'!Q:Q,B68,'BD SECOS'!Y:Y)+SUMIF('BD PPA'!U:U,B68,'BD PPA'!AE:AE)+SUMIF('BD FRESCOS'!U:U,B68,'BD FRESCOS'!AE:AE))/(COUNTIF('BD SECOS'!Q:Q,B68)+COUNTIF('BD PPA'!U:U,B68)+COUNTIF('BD FRESCOS'!U:U,B68)),IF($B$4="SECOS",AVERAGEIF('BD SECOS'!Q:Q,B68,'BD SECOS'!Y:Y),IF($B$4="PPA",AVERAGEIF('BD PPA'!U:U,B68,'BD PPA'!AE:AE),AVERAGEIF('BD FRESCOS'!U:U,B68,'BD FRESCOS'!AE:AE)))),IF($B$4="TODOS",(SUMIFS('BD SECOS'!Y:Y,'BD SECOS'!Q:Q,B68,'BD SECOS'!AE:AE,$D$4)+SUMIFS('BD PPA'!AE:AE,'BD PPA'!U:U,B68,'BD PPA'!AK:AK,$D$4)+SUMIFS('BD FRESCOS'!AE:AE,'BD FRESCOS'!U:U,B68,'BD FRESCOS'!AK:AK,$D$4))/(COUNTIFS('BD SECOS'!Q:Q,B68,'BD SECOS'!AE:AE,$D$4)+COUNTIFS('BD PPA'!U:U,B68,'BD PPA'!AK:AK,$D$4)+COUNTIFS('BD FRESCOS'!U:U,B68,'BD FRESCOS'!AK:AK,$D$4)),IF($B$4="SECOS",AVERAGEIFS('BD SECOS'!Y:Y,'BD SECOS'!Q:Q,B68,'BD SECOS'!AE:AE,$D$4),IF($B$4="PPA",AVERAGEIFS('BD PPA'!AE:AE,'BD PPA'!U:U,B68,'BD PPA'!AK:AK,$D$4),AVERAGEIFS('BD FRESCOS'!AE:AE,'BD FRESCOS'!U:U,B68,'BD FRESCOS'!AK:AK,$D$4))))),2),""))</f>
        <v>2.17</v>
      </c>
      <c r="H68" s="75" t="str">
        <f t="shared" si="6"/>
        <v>🟡 Cerca</v>
      </c>
      <c r="I68" s="75" t="str" cm="1">
        <f t="array" ref="I68">IF(OR($B$8=0,B68=""),"",IFERROR(IF($D$4="TODOS",IF($B$4="TODOS",INDEX('BD SECOS'!X:X,MATCH(B68,'BD SECOS'!Q:Q,0)),IF($B$4="SECOS",INDEX('BD SECOS'!X:X,MATCH(B68,'BD SECOS'!Q:Q,0)),IF($B$4="PPA",INDEX('BD PPA'!AD:AD,MATCH(B68,'BD PPA'!U:U,0)),INDEX('BD FRESCOS'!AD:AD,MATCH(B68,'BD FRESCOS'!U:U,0))))),IF($B$4="TODOS",IFERROR(INDEX('BD SECOS'!X:X,MATCH(1,('BD SECOS'!Q:Q=B68)*('BD SECOS'!AE:AE=$D$4),0)),IFERROR(INDEX('BD PPA'!AD:AD,MATCH(1,('BD PPA'!U:U=B68)*('BD PPA'!AK:AK=$D$4),0)),INDEX('BD FRESCOS'!AD:AD,MATCH(1,('BD FRESCOS'!U:U=B68)*('BD FRESCOS'!AK:AK=$D$4),0)))),IF($B$4="SECOS",INDEX('BD SECOS'!X:X,MATCH(1,('BD SECOS'!Q:Q=B68)*('BD SECOS'!AE:AE=$D$4),0)),IF($B$4="PPA",INDEX('BD PPA'!AD:AD,MATCH(1,('BD PPA'!U:U=B68)*('BD PPA'!AK:AK=$D$4),0)),INDEX('BD FRESCOS'!AD:AD,MATCH(1,('BD FRESCOS'!U:U=B68)*('BD FRESCOS'!AK:AK=$D$4),0)))))),""))</f>
        <v>RUTA 4A</v>
      </c>
      <c r="J68" s="78" t="str">
        <f t="shared" si="7"/>
        <v>📍 Normal</v>
      </c>
    </row>
    <row r="69" spans="1:10" x14ac:dyDescent="0.35">
      <c r="A69" s="43">
        <f>IF(OR($B$8=0,C69="",C69=0),"",31)</f>
        <v>31</v>
      </c>
      <c r="B69" s="44" t="str">
        <f>IF($B$8=0,"",IFERROR(IF(INDEX(Distritos!$I$7:$I$66,MATCH(SMALL(Distritos!$J$7:$J$66,31),Distritos!$J$7:$J$66,0))=0,"",INDEX(Distritos!$H$7:$H$66,MATCH(SMALL(Distritos!$J$7:$J$66,31),Distritos!$J$7:$J$66,0))),""))</f>
        <v>Vegueta</v>
      </c>
      <c r="C69" s="71">
        <f>IF($B$8=0,"",IFERROR(IF(INDEX(Distritos!$I$7:$I$66,MATCH(SMALL(Distritos!$J$7:$J$66,31),Distritos!$J$7:$J$66,0))=0,"",INDEX(Distritos!$I$7:$I$66,MATCH(SMALL(Distritos!$J$7:$J$66,31),Distritos!$J$7:$J$66,0))),""))</f>
        <v>1</v>
      </c>
      <c r="D69" s="70">
        <f t="shared" si="3"/>
        <v>6.5359477124183009E-3</v>
      </c>
      <c r="E69" s="69">
        <f>IF(OR($B$8=0,B69=""),"",IFERROR(ROUND(IF($D$4="TODOS",IF($B$4="TODOS",(SUMIF('BD SECOS'!Q:Q,B69,'BD SECOS'!U:U)+SUMIF('BD PPA'!U:U,B69,'BD PPA'!AA:AA)+SUMIF('BD FRESCOS'!U:U,B69,'BD FRESCOS'!AA:AA))/(COUNTIF('BD SECOS'!Q:Q,B69)+COUNTIF('BD PPA'!U:U,B69)+COUNTIF('BD FRESCOS'!U:U,B69)),IF($B$4="SECOS",AVERAGEIF('BD SECOS'!Q:Q,B69,'BD SECOS'!U:U),IF($B$4="PPA",AVERAGEIF('BD PPA'!U:U,B69,'BD PPA'!AA:AA),AVERAGEIF('BD FRESCOS'!U:U,B69,'BD FRESCOS'!AA:AA)))),IF($B$4="TODOS",(SUMIFS('BD SECOS'!U:U,'BD SECOS'!Q:Q,B69,'BD SECOS'!AE:AE,$D$4)+SUMIFS('BD PPA'!AA:AA,'BD PPA'!U:U,B69,'BD PPA'!AK:AK,$D$4)+SUMIFS('BD FRESCOS'!AA:AA,'BD FRESCOS'!U:U,B69,'BD FRESCOS'!AK:AK,$D$4))/(COUNTIFS('BD SECOS'!Q:Q,B69,'BD SECOS'!AE:AE,$D$4)+COUNTIFS('BD PPA'!U:U,B69,'BD PPA'!AK:AK,$D$4)+COUNTIFS('BD FRESCOS'!U:U,B69,'BD FRESCOS'!AK:AK,$D$4)),IF($B$4="SECOS",AVERAGEIFS('BD SECOS'!U:U,'BD SECOS'!Q:Q,B69,'BD SECOS'!AE:AE,$D$4),IF($B$4="PPA",AVERAGEIFS('BD PPA'!AA:AA,'BD PPA'!U:U,B69,'BD PPA'!AK:AK,$D$4),AVERAGEIFS('BD FRESCOS'!AA:AA,'BD FRESCOS'!U:U,B69,'BD FRESCOS'!AK:AK,$D$4))))),2),""))</f>
        <v>0</v>
      </c>
      <c r="F69" s="75" t="str">
        <f t="shared" si="5"/>
        <v>🟢 Muy Cerca</v>
      </c>
      <c r="G69" s="69">
        <f>IF(OR($B$8=0,B69=""),"",IFERROR(ROUND(IF($D$4="TODOS",IF($B$4="TODOS",(SUMIF('BD SECOS'!Q:Q,B69,'BD SECOS'!Y:Y)+SUMIF('BD PPA'!U:U,B69,'BD PPA'!AE:AE)+SUMIF('BD FRESCOS'!U:U,B69,'BD FRESCOS'!AE:AE))/(COUNTIF('BD SECOS'!Q:Q,B69)+COUNTIF('BD PPA'!U:U,B69)+COUNTIF('BD FRESCOS'!U:U,B69)),IF($B$4="SECOS",AVERAGEIF('BD SECOS'!Q:Q,B69,'BD SECOS'!Y:Y),IF($B$4="PPA",AVERAGEIF('BD PPA'!U:U,B69,'BD PPA'!AE:AE),AVERAGEIF('BD FRESCOS'!U:U,B69,'BD FRESCOS'!AE:AE)))),IF($B$4="TODOS",(SUMIFS('BD SECOS'!Y:Y,'BD SECOS'!Q:Q,B69,'BD SECOS'!AE:AE,$D$4)+SUMIFS('BD PPA'!AE:AE,'BD PPA'!U:U,B69,'BD PPA'!AK:AK,$D$4)+SUMIFS('BD FRESCOS'!AE:AE,'BD FRESCOS'!U:U,B69,'BD FRESCOS'!AK:AK,$D$4))/(COUNTIFS('BD SECOS'!Q:Q,B69,'BD SECOS'!AE:AE,$D$4)+COUNTIFS('BD PPA'!U:U,B69,'BD PPA'!AK:AK,$D$4)+COUNTIFS('BD FRESCOS'!U:U,B69,'BD FRESCOS'!AK:AK,$D$4)),IF($B$4="SECOS",AVERAGEIFS('BD SECOS'!Y:Y,'BD SECOS'!Q:Q,B69,'BD SECOS'!AE:AE,$D$4),IF($B$4="PPA",AVERAGEIFS('BD PPA'!AE:AE,'BD PPA'!U:U,B69,'BD PPA'!AK:AK,$D$4),AVERAGEIFS('BD FRESCOS'!AE:AE,'BD FRESCOS'!U:U,B69,'BD FRESCOS'!AK:AK,$D$4))))),2),""))</f>
        <v>0.3</v>
      </c>
      <c r="H69" s="75" t="str">
        <f t="shared" si="6"/>
        <v>🟢 Muy Cerca</v>
      </c>
      <c r="I69" s="75" t="str" cm="1">
        <f t="array" ref="I69">IF(OR($B$8=0,B69=""),"",IFERROR(IF($D$4="TODOS",IF($B$4="TODOS",INDEX('BD SECOS'!X:X,MATCH(B69,'BD SECOS'!Q:Q,0)),IF($B$4="SECOS",INDEX('BD SECOS'!X:X,MATCH(B69,'BD SECOS'!Q:Q,0)),IF($B$4="PPA",INDEX('BD PPA'!AD:AD,MATCH(B69,'BD PPA'!U:U,0)),INDEX('BD FRESCOS'!AD:AD,MATCH(B69,'BD FRESCOS'!U:U,0))))),IF($B$4="TODOS",IFERROR(INDEX('BD SECOS'!X:X,MATCH(1,('BD SECOS'!Q:Q=B69)*('BD SECOS'!AE:AE=$D$4),0)),IFERROR(INDEX('BD PPA'!AD:AD,MATCH(1,('BD PPA'!U:U=B69)*('BD PPA'!AK:AK=$D$4),0)),INDEX('BD FRESCOS'!AD:AD,MATCH(1,('BD FRESCOS'!U:U=B69)*('BD FRESCOS'!AK:AK=$D$4),0)))),IF($B$4="SECOS",INDEX('BD SECOS'!X:X,MATCH(1,('BD SECOS'!Q:Q=B69)*('BD SECOS'!AE:AE=$D$4),0)),IF($B$4="PPA",INDEX('BD PPA'!AD:AD,MATCH(1,('BD PPA'!U:U=B69)*('BD PPA'!AK:AK=$D$4),0)),INDEX('BD FRESCOS'!AD:AD,MATCH(1,('BD FRESCOS'!U:U=B69)*('BD FRESCOS'!AK:AK=$D$4),0)))))),""))</f>
        <v>RUTA 1</v>
      </c>
      <c r="J69" s="78" t="str">
        <f t="shared" si="7"/>
        <v>📍 Normal</v>
      </c>
    </row>
    <row r="70" spans="1:10" x14ac:dyDescent="0.35">
      <c r="A70" s="43">
        <f>IF(OR($B$8=0,C70="",C70=0),"",32)</f>
        <v>32</v>
      </c>
      <c r="B70" s="44" t="str">
        <f>IF($B$8=0,"",IFERROR(IF(INDEX(Distritos!$I$7:$I$66,MATCH(SMALL(Distritos!$J$7:$J$66,32),Distritos!$J$7:$J$66,0))=0,"",INDEX(Distritos!$H$7:$H$66,MATCH(SMALL(Distritos!$J$7:$J$66,32),Distritos!$J$7:$J$66,0))),""))</f>
        <v>Ventanilla</v>
      </c>
      <c r="C70" s="71">
        <f>IF($B$8=0,"",IFERROR(IF(INDEX(Distritos!$I$7:$I$66,MATCH(SMALL(Distritos!$J$7:$J$66,32),Distritos!$J$7:$J$66,0))=0,"",INDEX(Distritos!$I$7:$I$66,MATCH(SMALL(Distritos!$J$7:$J$66,32),Distritos!$J$7:$J$66,0))),""))</f>
        <v>1</v>
      </c>
      <c r="D70" s="70">
        <f t="shared" si="3"/>
        <v>6.5359477124183009E-3</v>
      </c>
      <c r="E70" s="69">
        <f>IF(OR($B$8=0,B70=""),"",IFERROR(ROUND(IF($D$4="TODOS",IF($B$4="TODOS",(SUMIF('BD SECOS'!Q:Q,B70,'BD SECOS'!U:U)+SUMIF('BD PPA'!U:U,B70,'BD PPA'!AA:AA)+SUMIF('BD FRESCOS'!U:U,B70,'BD FRESCOS'!AA:AA))/(COUNTIF('BD SECOS'!Q:Q,B70)+COUNTIF('BD PPA'!U:U,B70)+COUNTIF('BD FRESCOS'!U:U,B70)),IF($B$4="SECOS",AVERAGEIF('BD SECOS'!Q:Q,B70,'BD SECOS'!U:U),IF($B$4="PPA",AVERAGEIF('BD PPA'!U:U,B70,'BD PPA'!AA:AA),AVERAGEIF('BD FRESCOS'!U:U,B70,'BD FRESCOS'!AA:AA)))),IF($B$4="TODOS",(SUMIFS('BD SECOS'!U:U,'BD SECOS'!Q:Q,B70,'BD SECOS'!AE:AE,$D$4)+SUMIFS('BD PPA'!AA:AA,'BD PPA'!U:U,B70,'BD PPA'!AK:AK,$D$4)+SUMIFS('BD FRESCOS'!AA:AA,'BD FRESCOS'!U:U,B70,'BD FRESCOS'!AK:AK,$D$4))/(COUNTIFS('BD SECOS'!Q:Q,B70,'BD SECOS'!AE:AE,$D$4)+COUNTIFS('BD PPA'!U:U,B70,'BD PPA'!AK:AK,$D$4)+COUNTIFS('BD FRESCOS'!U:U,B70,'BD FRESCOS'!AK:AK,$D$4)),IF($B$4="SECOS",AVERAGEIFS('BD SECOS'!U:U,'BD SECOS'!Q:Q,B70,'BD SECOS'!AE:AE,$D$4),IF($B$4="PPA",AVERAGEIFS('BD PPA'!AA:AA,'BD PPA'!U:U,B70,'BD PPA'!AK:AK,$D$4),AVERAGEIFS('BD FRESCOS'!AA:AA,'BD FRESCOS'!U:U,B70,'BD FRESCOS'!AK:AK,$D$4))))),2),""))</f>
        <v>29.78</v>
      </c>
      <c r="F70" s="75" t="str">
        <f t="shared" si="5"/>
        <v>🔴 Lejos</v>
      </c>
      <c r="G70" s="69">
        <f>IF(OR($B$8=0,B70=""),"",IFERROR(ROUND(IF($D$4="TODOS",IF($B$4="TODOS",(SUMIF('BD SECOS'!Q:Q,B70,'BD SECOS'!Y:Y)+SUMIF('BD PPA'!U:U,B70,'BD PPA'!AE:AE)+SUMIF('BD FRESCOS'!U:U,B70,'BD FRESCOS'!AE:AE))/(COUNTIF('BD SECOS'!Q:Q,B70)+COUNTIF('BD PPA'!U:U,B70)+COUNTIF('BD FRESCOS'!U:U,B70)),IF($B$4="SECOS",AVERAGEIF('BD SECOS'!Q:Q,B70,'BD SECOS'!Y:Y),IF($B$4="PPA",AVERAGEIF('BD PPA'!U:U,B70,'BD PPA'!AE:AE),AVERAGEIF('BD FRESCOS'!U:U,B70,'BD FRESCOS'!AE:AE)))),IF($B$4="TODOS",(SUMIFS('BD SECOS'!Y:Y,'BD SECOS'!Q:Q,B70,'BD SECOS'!AE:AE,$D$4)+SUMIFS('BD PPA'!AE:AE,'BD PPA'!U:U,B70,'BD PPA'!AK:AK,$D$4)+SUMIFS('BD FRESCOS'!AE:AE,'BD FRESCOS'!U:U,B70,'BD FRESCOS'!AK:AK,$D$4))/(COUNTIFS('BD SECOS'!Q:Q,B70,'BD SECOS'!AE:AE,$D$4)+COUNTIFS('BD PPA'!U:U,B70,'BD PPA'!AK:AK,$D$4)+COUNTIFS('BD FRESCOS'!U:U,B70,'BD FRESCOS'!AK:AK,$D$4)),IF($B$4="SECOS",AVERAGEIFS('BD SECOS'!Y:Y,'BD SECOS'!Q:Q,B70,'BD SECOS'!AE:AE,$D$4),IF($B$4="PPA",AVERAGEIFS('BD PPA'!AE:AE,'BD PPA'!U:U,B70,'BD PPA'!AK:AK,$D$4),AVERAGEIFS('BD FRESCOS'!AE:AE,'BD FRESCOS'!U:U,B70,'BD FRESCOS'!AK:AK,$D$4))))),2),""))</f>
        <v>13.58</v>
      </c>
      <c r="H70" s="75" t="str">
        <f t="shared" si="6"/>
        <v>🔴 Lejos</v>
      </c>
      <c r="I70" s="75" t="str" cm="1">
        <f t="array" ref="I70">IF(OR($B$8=0,B70=""),"",IFERROR(IF($D$4="TODOS",IF($B$4="TODOS",INDEX('BD SECOS'!X:X,MATCH(B70,'BD SECOS'!Q:Q,0)),IF($B$4="SECOS",INDEX('BD SECOS'!X:X,MATCH(B70,'BD SECOS'!Q:Q,0)),IF($B$4="PPA",INDEX('BD PPA'!AD:AD,MATCH(B70,'BD PPA'!U:U,0)),INDEX('BD FRESCOS'!AD:AD,MATCH(B70,'BD FRESCOS'!U:U,0))))),IF($B$4="TODOS",IFERROR(INDEX('BD SECOS'!X:X,MATCH(1,('BD SECOS'!Q:Q=B70)*('BD SECOS'!AE:AE=$D$4),0)),IFERROR(INDEX('BD PPA'!AD:AD,MATCH(1,('BD PPA'!U:U=B70)*('BD PPA'!AK:AK=$D$4),0)),INDEX('BD FRESCOS'!AD:AD,MATCH(1,('BD FRESCOS'!U:U=B70)*('BD FRESCOS'!AK:AK=$D$4),0)))),IF($B$4="SECOS",INDEX('BD SECOS'!X:X,MATCH(1,('BD SECOS'!Q:Q=B70)*('BD SECOS'!AE:AE=$D$4),0)),IF($B$4="PPA",INDEX('BD PPA'!AD:AD,MATCH(1,('BD PPA'!U:U=B70)*('BD PPA'!AK:AK=$D$4),0)),INDEX('BD FRESCOS'!AD:AD,MATCH(1,('BD FRESCOS'!U:U=B70)*('BD FRESCOS'!AK:AK=$D$4),0)))))),""))</f>
        <v>RUTA 4B</v>
      </c>
      <c r="J70" s="78" t="str">
        <f t="shared" si="7"/>
        <v>⚠️ Muy lejos del CD y paraderos</v>
      </c>
    </row>
    <row r="71" spans="1:10" x14ac:dyDescent="0.35">
      <c r="A71" s="43">
        <f>IF(OR($B$8=0,C71="",C71=0),"",33)</f>
        <v>33</v>
      </c>
      <c r="B71" s="44" t="str">
        <f>IF($B$8=0,"",IFERROR(IF(INDEX(Distritos!$I$7:$I$66,MATCH(SMALL(Distritos!$J$7:$J$66,33),Distritos!$J$7:$J$66,0))=0,"",INDEX(Distritos!$H$7:$H$66,MATCH(SMALL(Distritos!$J$7:$J$66,33),Distritos!$J$7:$J$66,0))),""))</f>
        <v>Villa Maria Del Triunfo</v>
      </c>
      <c r="C71" s="71">
        <f>IF($B$8=0,"",IFERROR(IF(INDEX(Distritos!$I$7:$I$66,MATCH(SMALL(Distritos!$J$7:$J$66,33),Distritos!$J$7:$J$66,0))=0,"",INDEX(Distritos!$I$7:$I$66,MATCH(SMALL(Distritos!$J$7:$J$66,33),Distritos!$J$7:$J$66,0))),""))</f>
        <v>1</v>
      </c>
      <c r="D71" s="70">
        <f t="shared" ref="D71:D89" si="8">IF(OR($B$8=0,C71="",C71=0),"",C71/$B$8)</f>
        <v>6.5359477124183009E-3</v>
      </c>
      <c r="E71" s="69">
        <f>IF(OR($B$8=0,B71=""),"",IFERROR(ROUND(IF($D$4="TODOS",IF($B$4="TODOS",(SUMIF('BD SECOS'!Q:Q,B71,'BD SECOS'!U:U)+SUMIF('BD PPA'!U:U,B71,'BD PPA'!AA:AA)+SUMIF('BD FRESCOS'!U:U,B71,'BD FRESCOS'!AA:AA))/(COUNTIF('BD SECOS'!Q:Q,B71)+COUNTIF('BD PPA'!U:U,B71)+COUNTIF('BD FRESCOS'!U:U,B71)),IF($B$4="SECOS",AVERAGEIF('BD SECOS'!Q:Q,B71,'BD SECOS'!U:U),IF($B$4="PPA",AVERAGEIF('BD PPA'!U:U,B71,'BD PPA'!AA:AA),AVERAGEIF('BD FRESCOS'!U:U,B71,'BD FRESCOS'!AA:AA)))),IF($B$4="TODOS",(SUMIFS('BD SECOS'!U:U,'BD SECOS'!Q:Q,B71,'BD SECOS'!AE:AE,$D$4)+SUMIFS('BD PPA'!AA:AA,'BD PPA'!U:U,B71,'BD PPA'!AK:AK,$D$4)+SUMIFS('BD FRESCOS'!AA:AA,'BD FRESCOS'!U:U,B71,'BD FRESCOS'!AK:AK,$D$4))/(COUNTIFS('BD SECOS'!Q:Q,B71,'BD SECOS'!AE:AE,$D$4)+COUNTIFS('BD PPA'!U:U,B71,'BD PPA'!AK:AK,$D$4)+COUNTIFS('BD FRESCOS'!U:U,B71,'BD FRESCOS'!AK:AK,$D$4)),IF($B$4="SECOS",AVERAGEIFS('BD SECOS'!U:U,'BD SECOS'!Q:Q,B71,'BD SECOS'!AE:AE,$D$4),IF($B$4="PPA",AVERAGEIFS('BD PPA'!AA:AA,'BD PPA'!U:U,B71,'BD PPA'!AK:AK,$D$4),AVERAGEIFS('BD FRESCOS'!AA:AA,'BD FRESCOS'!U:U,B71,'BD FRESCOS'!AK:AK,$D$4))))),2),""))</f>
        <v>18.38</v>
      </c>
      <c r="F71" s="75" t="str">
        <f t="shared" si="5"/>
        <v>🟠 Moderada</v>
      </c>
      <c r="G71" s="69">
        <f>IF(OR($B$8=0,B71=""),"",IFERROR(ROUND(IF($D$4="TODOS",IF($B$4="TODOS",(SUMIF('BD SECOS'!Q:Q,B71,'BD SECOS'!Y:Y)+SUMIF('BD PPA'!U:U,B71,'BD PPA'!AE:AE)+SUMIF('BD FRESCOS'!U:U,B71,'BD FRESCOS'!AE:AE))/(COUNTIF('BD SECOS'!Q:Q,B71)+COUNTIF('BD PPA'!U:U,B71)+COUNTIF('BD FRESCOS'!U:U,B71)),IF($B$4="SECOS",AVERAGEIF('BD SECOS'!Q:Q,B71,'BD SECOS'!Y:Y),IF($B$4="PPA",AVERAGEIF('BD PPA'!U:U,B71,'BD PPA'!AE:AE),AVERAGEIF('BD FRESCOS'!U:U,B71,'BD FRESCOS'!AE:AE)))),IF($B$4="TODOS",(SUMIFS('BD SECOS'!Y:Y,'BD SECOS'!Q:Q,B71,'BD SECOS'!AE:AE,$D$4)+SUMIFS('BD PPA'!AE:AE,'BD PPA'!U:U,B71,'BD PPA'!AK:AK,$D$4)+SUMIFS('BD FRESCOS'!AE:AE,'BD FRESCOS'!U:U,B71,'BD FRESCOS'!AK:AK,$D$4))/(COUNTIFS('BD SECOS'!Q:Q,B71,'BD SECOS'!AE:AE,$D$4)+COUNTIFS('BD PPA'!U:U,B71,'BD PPA'!AK:AK,$D$4)+COUNTIFS('BD FRESCOS'!U:U,B71,'BD FRESCOS'!AK:AK,$D$4)),IF($B$4="SECOS",AVERAGEIFS('BD SECOS'!Y:Y,'BD SECOS'!Q:Q,B71,'BD SECOS'!AE:AE,$D$4),IF($B$4="PPA",AVERAGEIFS('BD PPA'!AE:AE,'BD PPA'!U:U,B71,'BD PPA'!AK:AK,$D$4),AVERAGEIFS('BD FRESCOS'!AE:AE,'BD FRESCOS'!U:U,B71,'BD FRESCOS'!AK:AK,$D$4))))),2),""))</f>
        <v>2.5</v>
      </c>
      <c r="H71" s="75" t="str">
        <f t="shared" si="6"/>
        <v>🟡 Cerca</v>
      </c>
      <c r="I71" s="75" t="str" cm="1">
        <f t="array" ref="I71">IF(OR($B$8=0,B71=""),"",IFERROR(IF($D$4="TODOS",IF($B$4="TODOS",INDEX('BD SECOS'!X:X,MATCH(B71,'BD SECOS'!Q:Q,0)),IF($B$4="SECOS",INDEX('BD SECOS'!X:X,MATCH(B71,'BD SECOS'!Q:Q,0)),IF($B$4="PPA",INDEX('BD PPA'!AD:AD,MATCH(B71,'BD PPA'!U:U,0)),INDEX('BD FRESCOS'!AD:AD,MATCH(B71,'BD FRESCOS'!U:U,0))))),IF($B$4="TODOS",IFERROR(INDEX('BD SECOS'!X:X,MATCH(1,('BD SECOS'!Q:Q=B71)*('BD SECOS'!AE:AE=$D$4),0)),IFERROR(INDEX('BD PPA'!AD:AD,MATCH(1,('BD PPA'!U:U=B71)*('BD PPA'!AK:AK=$D$4),0)),INDEX('BD FRESCOS'!AD:AD,MATCH(1,('BD FRESCOS'!U:U=B71)*('BD FRESCOS'!AK:AK=$D$4),0)))),IF($B$4="SECOS",INDEX('BD SECOS'!X:X,MATCH(1,('BD SECOS'!Q:Q=B71)*('BD SECOS'!AE:AE=$D$4),0)),IF($B$4="PPA",INDEX('BD PPA'!AD:AD,MATCH(1,('BD PPA'!U:U=B71)*('BD PPA'!AK:AK=$D$4),0)),INDEX('BD FRESCOS'!AD:AD,MATCH(1,('BD FRESCOS'!U:U=B71)*('BD FRESCOS'!AK:AK=$D$4),0)))))),""))</f>
        <v>RUTA 5B</v>
      </c>
      <c r="J71" s="78" t="str">
        <f t="shared" si="7"/>
        <v>📍 Normal</v>
      </c>
    </row>
    <row r="72" spans="1:10" x14ac:dyDescent="0.35">
      <c r="A72" s="43" t="str">
        <f>IF(OR($B$8=0,C72="",C72=0),"",34)</f>
        <v/>
      </c>
      <c r="B72" s="44" t="str">
        <f>IF($B$8=0,"",IFERROR(IF(INDEX(Distritos!$I$7:$I$66,MATCH(SMALL(Distritos!$J$7:$J$66,34),Distritos!$J$7:$J$66,0))=0,"",INDEX(Distritos!$H$7:$H$66,MATCH(SMALL(Distritos!$J$7:$J$66,34),Distritos!$J$7:$J$66,0))),""))</f>
        <v/>
      </c>
      <c r="C72" s="71" t="str">
        <f>IF($B$8=0,"",IFERROR(IF(INDEX(Distritos!$I$7:$I$66,MATCH(SMALL(Distritos!$J$7:$J$66,34),Distritos!$J$7:$J$66,0))=0,"",INDEX(Distritos!$I$7:$I$66,MATCH(SMALL(Distritos!$J$7:$J$66,34),Distritos!$J$7:$J$66,0))),""))</f>
        <v/>
      </c>
      <c r="D72" s="70" t="str">
        <f t="shared" si="8"/>
        <v/>
      </c>
      <c r="E72" s="69" t="str">
        <f>IF(OR($B$8=0,B72=""),"",IFERROR(ROUND(IF($D$4="TODOS",IF($B$4="TODOS",(SUMIF('BD SECOS'!Q:Q,B72,'BD SECOS'!U:U)+SUMIF('BD PPA'!U:U,B72,'BD PPA'!AA:AA)+SUMIF('BD FRESCOS'!U:U,B72,'BD FRESCOS'!AA:AA))/(COUNTIF('BD SECOS'!Q:Q,B72)+COUNTIF('BD PPA'!U:U,B72)+COUNTIF('BD FRESCOS'!U:U,B72)),IF($B$4="SECOS",AVERAGEIF('BD SECOS'!Q:Q,B72,'BD SECOS'!U:U),IF($B$4="PPA",AVERAGEIF('BD PPA'!U:U,B72,'BD PPA'!AA:AA),AVERAGEIF('BD FRESCOS'!U:U,B72,'BD FRESCOS'!AA:AA)))),IF($B$4="TODOS",(SUMIFS('BD SECOS'!U:U,'BD SECOS'!Q:Q,B72,'BD SECOS'!AE:AE,$D$4)+SUMIFS('BD PPA'!AA:AA,'BD PPA'!U:U,B72,'BD PPA'!AK:AK,$D$4)+SUMIFS('BD FRESCOS'!AA:AA,'BD FRESCOS'!U:U,B72,'BD FRESCOS'!AK:AK,$D$4))/(COUNTIFS('BD SECOS'!Q:Q,B72,'BD SECOS'!AE:AE,$D$4)+COUNTIFS('BD PPA'!U:U,B72,'BD PPA'!AK:AK,$D$4)+COUNTIFS('BD FRESCOS'!U:U,B72,'BD FRESCOS'!AK:AK,$D$4)),IF($B$4="SECOS",AVERAGEIFS('BD SECOS'!U:U,'BD SECOS'!Q:Q,B72,'BD SECOS'!AE:AE,$D$4),IF($B$4="PPA",AVERAGEIFS('BD PPA'!AA:AA,'BD PPA'!U:U,B72,'BD PPA'!AK:AK,$D$4),AVERAGEIFS('BD FRESCOS'!AA:AA,'BD FRESCOS'!U:U,B72,'BD FRESCOS'!AK:AK,$D$4))))),2),""))</f>
        <v/>
      </c>
      <c r="F72" s="75" t="str">
        <f t="shared" si="5"/>
        <v/>
      </c>
      <c r="G72" s="69" t="str">
        <f>IF(OR($B$8=0,B72=""),"",IFERROR(ROUND(IF($D$4="TODOS",IF($B$4="TODOS",(SUMIF('BD SECOS'!Q:Q,B72,'BD SECOS'!Y:Y)+SUMIF('BD PPA'!U:U,B72,'BD PPA'!AE:AE)+SUMIF('BD FRESCOS'!U:U,B72,'BD FRESCOS'!AE:AE))/(COUNTIF('BD SECOS'!Q:Q,B72)+COUNTIF('BD PPA'!U:U,B72)+COUNTIF('BD FRESCOS'!U:U,B72)),IF($B$4="SECOS",AVERAGEIF('BD SECOS'!Q:Q,B72,'BD SECOS'!Y:Y),IF($B$4="PPA",AVERAGEIF('BD PPA'!U:U,B72,'BD PPA'!AE:AE),AVERAGEIF('BD FRESCOS'!U:U,B72,'BD FRESCOS'!AE:AE)))),IF($B$4="TODOS",(SUMIFS('BD SECOS'!Y:Y,'BD SECOS'!Q:Q,B72,'BD SECOS'!AE:AE,$D$4)+SUMIFS('BD PPA'!AE:AE,'BD PPA'!U:U,B72,'BD PPA'!AK:AK,$D$4)+SUMIFS('BD FRESCOS'!AE:AE,'BD FRESCOS'!U:U,B72,'BD FRESCOS'!AK:AK,$D$4))/(COUNTIFS('BD SECOS'!Q:Q,B72,'BD SECOS'!AE:AE,$D$4)+COUNTIFS('BD PPA'!U:U,B72,'BD PPA'!AK:AK,$D$4)+COUNTIFS('BD FRESCOS'!U:U,B72,'BD FRESCOS'!AK:AK,$D$4)),IF($B$4="SECOS",AVERAGEIFS('BD SECOS'!Y:Y,'BD SECOS'!Q:Q,B72,'BD SECOS'!AE:AE,$D$4),IF($B$4="PPA",AVERAGEIFS('BD PPA'!AE:AE,'BD PPA'!U:U,B72,'BD PPA'!AK:AK,$D$4),AVERAGEIFS('BD FRESCOS'!AE:AE,'BD FRESCOS'!U:U,B72,'BD FRESCOS'!AK:AK,$D$4))))),2),""))</f>
        <v/>
      </c>
      <c r="H72" s="75" t="str">
        <f t="shared" si="6"/>
        <v/>
      </c>
      <c r="I72" s="75" t="str" cm="1">
        <f t="array" ref="I72">IF(OR($B$8=0,B72=""),"",IFERROR(IF($D$4="TODOS",IF($B$4="TODOS",INDEX('BD SECOS'!X:X,MATCH(B72,'BD SECOS'!Q:Q,0)),IF($B$4="SECOS",INDEX('BD SECOS'!X:X,MATCH(B72,'BD SECOS'!Q:Q,0)),IF($B$4="PPA",INDEX('BD PPA'!AD:AD,MATCH(B72,'BD PPA'!U:U,0)),INDEX('BD FRESCOS'!AD:AD,MATCH(B72,'BD FRESCOS'!U:U,0))))),IF($B$4="TODOS",IFERROR(INDEX('BD SECOS'!X:X,MATCH(1,('BD SECOS'!Q:Q=B72)*('BD SECOS'!AE:AE=$D$4),0)),IFERROR(INDEX('BD PPA'!AD:AD,MATCH(1,('BD PPA'!U:U=B72)*('BD PPA'!AK:AK=$D$4),0)),INDEX('BD FRESCOS'!AD:AD,MATCH(1,('BD FRESCOS'!U:U=B72)*('BD FRESCOS'!AK:AK=$D$4),0)))),IF($B$4="SECOS",INDEX('BD SECOS'!X:X,MATCH(1,('BD SECOS'!Q:Q=B72)*('BD SECOS'!AE:AE=$D$4),0)),IF($B$4="PPA",INDEX('BD PPA'!AD:AD,MATCH(1,('BD PPA'!U:U=B72)*('BD PPA'!AK:AK=$D$4),0)),INDEX('BD FRESCOS'!AD:AD,MATCH(1,('BD FRESCOS'!U:U=B72)*('BD FRESCOS'!AK:AK=$D$4),0)))))),""))</f>
        <v/>
      </c>
      <c r="J72" s="78" t="str">
        <f t="shared" si="7"/>
        <v/>
      </c>
    </row>
    <row r="73" spans="1:10" x14ac:dyDescent="0.35">
      <c r="A73" s="45" t="str">
        <f>IF(OR($B$8=0,C73="",C73=0),"",35)</f>
        <v/>
      </c>
      <c r="B73" s="46" t="str">
        <f>IF($B$8=0,"",IFERROR(IF(INDEX(Distritos!$I$7:$I$66,MATCH(SMALL(Distritos!$J$7:$J$66,35),Distritos!$J$7:$J$66,0))=0,"",INDEX(Distritos!$H$7:$H$66,MATCH(SMALL(Distritos!$J$7:$J$66,35),Distritos!$J$7:$J$66,0))),""))</f>
        <v/>
      </c>
      <c r="C73" s="73" t="str">
        <f>IF($B$8=0,"",IFERROR(IF(INDEX(Distritos!$I$7:$I$66,MATCH(SMALL(Distritos!$J$7:$J$66,35),Distritos!$J$7:$J$66,0))=0,"",INDEX(Distritos!$I$7:$I$66,MATCH(SMALL(Distritos!$J$7:$J$66,35),Distritos!$J$7:$J$66,0))),""))</f>
        <v/>
      </c>
      <c r="D73" s="72" t="str">
        <f t="shared" si="8"/>
        <v/>
      </c>
      <c r="E73" s="69" t="str">
        <f>IF(OR($B$8=0,B73=""),"",IFERROR(ROUND(IF($D$4="TODOS",IF($B$4="TODOS",(SUMIF('BD SECOS'!Q:Q,B73,'BD SECOS'!U:U)+SUMIF('BD PPA'!U:U,B73,'BD PPA'!AA:AA)+SUMIF('BD FRESCOS'!U:U,B73,'BD FRESCOS'!AA:AA))/(COUNTIF('BD SECOS'!Q:Q,B73)+COUNTIF('BD PPA'!U:U,B73)+COUNTIF('BD FRESCOS'!U:U,B73)),IF($B$4="SECOS",AVERAGEIF('BD SECOS'!Q:Q,B73,'BD SECOS'!U:U),IF($B$4="PPA",AVERAGEIF('BD PPA'!U:U,B73,'BD PPA'!AA:AA),AVERAGEIF('BD FRESCOS'!U:U,B73,'BD FRESCOS'!AA:AA)))),IF($B$4="TODOS",(SUMIFS('BD SECOS'!U:U,'BD SECOS'!Q:Q,B73,'BD SECOS'!AE:AE,$D$4)+SUMIFS('BD PPA'!AA:AA,'BD PPA'!U:U,B73,'BD PPA'!AK:AK,$D$4)+SUMIFS('BD FRESCOS'!AA:AA,'BD FRESCOS'!U:U,B73,'BD FRESCOS'!AK:AK,$D$4))/(COUNTIFS('BD SECOS'!Q:Q,B73,'BD SECOS'!AE:AE,$D$4)+COUNTIFS('BD PPA'!U:U,B73,'BD PPA'!AK:AK,$D$4)+COUNTIFS('BD FRESCOS'!U:U,B73,'BD FRESCOS'!AK:AK,$D$4)),IF($B$4="SECOS",AVERAGEIFS('BD SECOS'!U:U,'BD SECOS'!Q:Q,B73,'BD SECOS'!AE:AE,$D$4),IF($B$4="PPA",AVERAGEIFS('BD PPA'!AA:AA,'BD PPA'!U:U,B73,'BD PPA'!AK:AK,$D$4),AVERAGEIFS('BD FRESCOS'!AA:AA,'BD FRESCOS'!U:U,B73,'BD FRESCOS'!AK:AK,$D$4))))),2),""))</f>
        <v/>
      </c>
      <c r="F73" s="75" t="str">
        <f t="shared" si="5"/>
        <v/>
      </c>
      <c r="G73" s="69" t="str">
        <f>IF(OR($B$8=0,B73=""),"",IFERROR(ROUND(IF($D$4="TODOS",IF($B$4="TODOS",(SUMIF('BD SECOS'!Q:Q,B73,'BD SECOS'!Y:Y)+SUMIF('BD PPA'!U:U,B73,'BD PPA'!AE:AE)+SUMIF('BD FRESCOS'!U:U,B73,'BD FRESCOS'!AE:AE))/(COUNTIF('BD SECOS'!Q:Q,B73)+COUNTIF('BD PPA'!U:U,B73)+COUNTIF('BD FRESCOS'!U:U,B73)),IF($B$4="SECOS",AVERAGEIF('BD SECOS'!Q:Q,B73,'BD SECOS'!Y:Y),IF($B$4="PPA",AVERAGEIF('BD PPA'!U:U,B73,'BD PPA'!AE:AE),AVERAGEIF('BD FRESCOS'!U:U,B73,'BD FRESCOS'!AE:AE)))),IF($B$4="TODOS",(SUMIFS('BD SECOS'!Y:Y,'BD SECOS'!Q:Q,B73,'BD SECOS'!AE:AE,$D$4)+SUMIFS('BD PPA'!AE:AE,'BD PPA'!U:U,B73,'BD PPA'!AK:AK,$D$4)+SUMIFS('BD FRESCOS'!AE:AE,'BD FRESCOS'!U:U,B73,'BD FRESCOS'!AK:AK,$D$4))/(COUNTIFS('BD SECOS'!Q:Q,B73,'BD SECOS'!AE:AE,$D$4)+COUNTIFS('BD PPA'!U:U,B73,'BD PPA'!AK:AK,$D$4)+COUNTIFS('BD FRESCOS'!U:U,B73,'BD FRESCOS'!AK:AK,$D$4)),IF($B$4="SECOS",AVERAGEIFS('BD SECOS'!Y:Y,'BD SECOS'!Q:Q,B73,'BD SECOS'!AE:AE,$D$4),IF($B$4="PPA",AVERAGEIFS('BD PPA'!AE:AE,'BD PPA'!U:U,B73,'BD PPA'!AK:AK,$D$4),AVERAGEIFS('BD FRESCOS'!AE:AE,'BD FRESCOS'!U:U,B73,'BD FRESCOS'!AK:AK,$D$4))))),2),""))</f>
        <v/>
      </c>
      <c r="H73" s="76" t="str">
        <f t="shared" si="6"/>
        <v/>
      </c>
      <c r="I73" s="75" t="str" cm="1">
        <f t="array" ref="I73">IF(OR($B$8=0,B73=""),"",IFERROR(IF($D$4="TODOS",IF($B$4="TODOS",INDEX('BD SECOS'!X:X,MATCH(B73,'BD SECOS'!Q:Q,0)),IF($B$4="SECOS",INDEX('BD SECOS'!X:X,MATCH(B73,'BD SECOS'!Q:Q,0)),IF($B$4="PPA",INDEX('BD PPA'!AD:AD,MATCH(B73,'BD PPA'!U:U,0)),INDEX('BD FRESCOS'!AD:AD,MATCH(B73,'BD FRESCOS'!U:U,0))))),IF($B$4="TODOS",IFERROR(INDEX('BD SECOS'!X:X,MATCH(1,('BD SECOS'!Q:Q=B73)*('BD SECOS'!AE:AE=$D$4),0)),IFERROR(INDEX('BD PPA'!AD:AD,MATCH(1,('BD PPA'!U:U=B73)*('BD PPA'!AK:AK=$D$4),0)),INDEX('BD FRESCOS'!AD:AD,MATCH(1,('BD FRESCOS'!U:U=B73)*('BD FRESCOS'!AK:AK=$D$4),0)))),IF($B$4="SECOS",INDEX('BD SECOS'!X:X,MATCH(1,('BD SECOS'!Q:Q=B73)*('BD SECOS'!AE:AE=$D$4),0)),IF($B$4="PPA",INDEX('BD PPA'!AD:AD,MATCH(1,('BD PPA'!U:U=B73)*('BD PPA'!AK:AK=$D$4),0)),INDEX('BD FRESCOS'!AD:AD,MATCH(1,('BD FRESCOS'!U:U=B73)*('BD FRESCOS'!AK:AK=$D$4),0)))))),""))</f>
        <v/>
      </c>
      <c r="J73" s="79" t="str">
        <f t="shared" si="7"/>
        <v/>
      </c>
    </row>
    <row r="74" spans="1:10" x14ac:dyDescent="0.35">
      <c r="A74" s="45" t="str">
        <f>IF(OR($B$8=0,C74="",C74=0),"",36)</f>
        <v/>
      </c>
      <c r="B74" t="str">
        <f>IF($B$8=0,"",IFERROR(IF(INDEX(Distritos!$I$7:$I$66,MATCH(SMALL(Distritos!$J$7:$J$66,36),Distritos!$J$7:$J$66,0))=0,"",INDEX(Distritos!$H$7:$H$66,MATCH(SMALL(Distritos!$J$7:$J$66,36),Distritos!$J$7:$J$66,0))),""))</f>
        <v/>
      </c>
      <c r="C74" s="32" t="str">
        <f>IF($B$8=0,"",IFERROR(IF(INDEX(Distritos!$I$7:$I$66,MATCH(SMALL(Distritos!$J$7:$J$66,36),Distritos!$J$7:$J$66,0))=0,"",INDEX(Distritos!$I$7:$I$66,MATCH(SMALL(Distritos!$J$7:$J$66,36),Distritos!$J$7:$J$66,0))),""))</f>
        <v/>
      </c>
      <c r="D74" s="74" t="str">
        <f t="shared" si="8"/>
        <v/>
      </c>
      <c r="E74" s="69" t="str">
        <f>IF(OR($B$8=0,B74=""),"",IFERROR(ROUND(IF($D$4="TODOS",IF($B$4="TODOS",(SUMIF('BD SECOS'!Q:Q,B74,'BD SECOS'!U:U)+SUMIF('BD PPA'!U:U,B74,'BD PPA'!AA:AA)+SUMIF('BD FRESCOS'!U:U,B74,'BD FRESCOS'!AA:AA))/(COUNTIF('BD SECOS'!Q:Q,B74)+COUNTIF('BD PPA'!U:U,B74)+COUNTIF('BD FRESCOS'!U:U,B74)),IF($B$4="SECOS",AVERAGEIF('BD SECOS'!Q:Q,B74,'BD SECOS'!U:U),IF($B$4="PPA",AVERAGEIF('BD PPA'!U:U,B74,'BD PPA'!AA:AA),AVERAGEIF('BD FRESCOS'!U:U,B74,'BD FRESCOS'!AA:AA)))),IF($B$4="TODOS",(SUMIFS('BD SECOS'!U:U,'BD SECOS'!Q:Q,B74,'BD SECOS'!AE:AE,$D$4)+SUMIFS('BD PPA'!AA:AA,'BD PPA'!U:U,B74,'BD PPA'!AK:AK,$D$4)+SUMIFS('BD FRESCOS'!AA:AA,'BD FRESCOS'!U:U,B74,'BD FRESCOS'!AK:AK,$D$4))/(COUNTIFS('BD SECOS'!Q:Q,B74,'BD SECOS'!AE:AE,$D$4)+COUNTIFS('BD PPA'!U:U,B74,'BD PPA'!AK:AK,$D$4)+COUNTIFS('BD FRESCOS'!U:U,B74,'BD FRESCOS'!AK:AK,$D$4)),IF($B$4="SECOS",AVERAGEIFS('BD SECOS'!U:U,'BD SECOS'!Q:Q,B74,'BD SECOS'!AE:AE,$D$4),IF($B$4="PPA",AVERAGEIFS('BD PPA'!AA:AA,'BD PPA'!U:U,B74,'BD PPA'!AK:AK,$D$4),AVERAGEIFS('BD FRESCOS'!AA:AA,'BD FRESCOS'!U:U,B74,'BD FRESCOS'!AK:AK,$D$4))))),2),""))</f>
        <v/>
      </c>
      <c r="F74" s="75" t="str">
        <f t="shared" si="5"/>
        <v/>
      </c>
      <c r="G74" s="69" t="str">
        <f>IF(OR($B$8=0,B74=""),"",IFERROR(ROUND(IF($D$4="TODOS",IF($B$4="TODOS",(SUMIF('BD SECOS'!Q:Q,B74,'BD SECOS'!Y:Y)+SUMIF('BD PPA'!U:U,B74,'BD PPA'!AE:AE)+SUMIF('BD FRESCOS'!U:U,B74,'BD FRESCOS'!AE:AE))/(COUNTIF('BD SECOS'!Q:Q,B74)+COUNTIF('BD PPA'!U:U,B74)+COUNTIF('BD FRESCOS'!U:U,B74)),IF($B$4="SECOS",AVERAGEIF('BD SECOS'!Q:Q,B74,'BD SECOS'!Y:Y),IF($B$4="PPA",AVERAGEIF('BD PPA'!U:U,B74,'BD PPA'!AE:AE),AVERAGEIF('BD FRESCOS'!U:U,B74,'BD FRESCOS'!AE:AE)))),IF($B$4="TODOS",(SUMIFS('BD SECOS'!Y:Y,'BD SECOS'!Q:Q,B74,'BD SECOS'!AE:AE,$D$4)+SUMIFS('BD PPA'!AE:AE,'BD PPA'!U:U,B74,'BD PPA'!AK:AK,$D$4)+SUMIFS('BD FRESCOS'!AE:AE,'BD FRESCOS'!U:U,B74,'BD FRESCOS'!AK:AK,$D$4))/(COUNTIFS('BD SECOS'!Q:Q,B74,'BD SECOS'!AE:AE,$D$4)+COUNTIFS('BD PPA'!U:U,B74,'BD PPA'!AK:AK,$D$4)+COUNTIFS('BD FRESCOS'!U:U,B74,'BD FRESCOS'!AK:AK,$D$4)),IF($B$4="SECOS",AVERAGEIFS('BD SECOS'!Y:Y,'BD SECOS'!Q:Q,B74,'BD SECOS'!AE:AE,$D$4),IF($B$4="PPA",AVERAGEIFS('BD PPA'!AE:AE,'BD PPA'!U:U,B74,'BD PPA'!AK:AK,$D$4),AVERAGEIFS('BD FRESCOS'!AE:AE,'BD FRESCOS'!U:U,B74,'BD FRESCOS'!AK:AK,$D$4))))),2),""))</f>
        <v/>
      </c>
      <c r="H74" s="77" t="str">
        <f t="shared" si="6"/>
        <v/>
      </c>
      <c r="I74" s="75" t="str" cm="1">
        <f t="array" ref="I74">IF(OR($B$8=0,B74=""),"",IFERROR(IF($D$4="TODOS",IF($B$4="TODOS",INDEX('BD SECOS'!X:X,MATCH(B74,'BD SECOS'!Q:Q,0)),IF($B$4="SECOS",INDEX('BD SECOS'!X:X,MATCH(B74,'BD SECOS'!Q:Q,0)),IF($B$4="PPA",INDEX('BD PPA'!AD:AD,MATCH(B74,'BD PPA'!U:U,0)),INDEX('BD FRESCOS'!AD:AD,MATCH(B74,'BD FRESCOS'!U:U,0))))),IF($B$4="TODOS",IFERROR(INDEX('BD SECOS'!X:X,MATCH(1,('BD SECOS'!Q:Q=B74)*('BD SECOS'!AE:AE=$D$4),0)),IFERROR(INDEX('BD PPA'!AD:AD,MATCH(1,('BD PPA'!U:U=B74)*('BD PPA'!AK:AK=$D$4),0)),INDEX('BD FRESCOS'!AD:AD,MATCH(1,('BD FRESCOS'!U:U=B74)*('BD FRESCOS'!AK:AK=$D$4),0)))),IF($B$4="SECOS",INDEX('BD SECOS'!X:X,MATCH(1,('BD SECOS'!Q:Q=B74)*('BD SECOS'!AE:AE=$D$4),0)),IF($B$4="PPA",INDEX('BD PPA'!AD:AD,MATCH(1,('BD PPA'!U:U=B74)*('BD PPA'!AK:AK=$D$4),0)),INDEX('BD FRESCOS'!AD:AD,MATCH(1,('BD FRESCOS'!U:U=B74)*('BD FRESCOS'!AK:AK=$D$4),0)))))),""))</f>
        <v/>
      </c>
      <c r="J74" s="77" t="str">
        <f t="shared" si="7"/>
        <v/>
      </c>
    </row>
    <row r="75" spans="1:10" x14ac:dyDescent="0.35">
      <c r="A75" s="45" t="str">
        <f>IF(OR($B$8=0,C75="",C75=0),"",37)</f>
        <v/>
      </c>
      <c r="B75" t="str">
        <f>IF($B$8=0,"",IFERROR(IF(INDEX(Distritos!$I$7:$I$66,MATCH(SMALL(Distritos!$J$7:$J$66,37),Distritos!$J$7:$J$66,0))=0,"",INDEX(Distritos!$H$7:$H$66,MATCH(SMALL(Distritos!$J$7:$J$66,37),Distritos!$J$7:$J$66,0))),""))</f>
        <v/>
      </c>
      <c r="C75" s="32" t="str">
        <f>IF($B$8=0,"",IFERROR(IF(INDEX(Distritos!$I$7:$I$66,MATCH(SMALL(Distritos!$J$7:$J$66,37),Distritos!$J$7:$J$66,0))=0,"",INDEX(Distritos!$I$7:$I$66,MATCH(SMALL(Distritos!$J$7:$J$66,37),Distritos!$J$7:$J$66,0))),""))</f>
        <v/>
      </c>
      <c r="D75" s="74" t="str">
        <f t="shared" si="8"/>
        <v/>
      </c>
      <c r="E75" s="69" t="str">
        <f>IF(OR($B$8=0,B75=""),"",IFERROR(ROUND(IF($D$4="TODOS",IF($B$4="TODOS",(SUMIF('BD SECOS'!Q:Q,B75,'BD SECOS'!U:U)+SUMIF('BD PPA'!U:U,B75,'BD PPA'!AA:AA)+SUMIF('BD FRESCOS'!U:U,B75,'BD FRESCOS'!AA:AA))/(COUNTIF('BD SECOS'!Q:Q,B75)+COUNTIF('BD PPA'!U:U,B75)+COUNTIF('BD FRESCOS'!U:U,B75)),IF($B$4="SECOS",AVERAGEIF('BD SECOS'!Q:Q,B75,'BD SECOS'!U:U),IF($B$4="PPA",AVERAGEIF('BD PPA'!U:U,B75,'BD PPA'!AA:AA),AVERAGEIF('BD FRESCOS'!U:U,B75,'BD FRESCOS'!AA:AA)))),IF($B$4="TODOS",(SUMIFS('BD SECOS'!U:U,'BD SECOS'!Q:Q,B75,'BD SECOS'!AE:AE,$D$4)+SUMIFS('BD PPA'!AA:AA,'BD PPA'!U:U,B75,'BD PPA'!AK:AK,$D$4)+SUMIFS('BD FRESCOS'!AA:AA,'BD FRESCOS'!U:U,B75,'BD FRESCOS'!AK:AK,$D$4))/(COUNTIFS('BD SECOS'!Q:Q,B75,'BD SECOS'!AE:AE,$D$4)+COUNTIFS('BD PPA'!U:U,B75,'BD PPA'!AK:AK,$D$4)+COUNTIFS('BD FRESCOS'!U:U,B75,'BD FRESCOS'!AK:AK,$D$4)),IF($B$4="SECOS",AVERAGEIFS('BD SECOS'!U:U,'BD SECOS'!Q:Q,B75,'BD SECOS'!AE:AE,$D$4),IF($B$4="PPA",AVERAGEIFS('BD PPA'!AA:AA,'BD PPA'!U:U,B75,'BD PPA'!AK:AK,$D$4),AVERAGEIFS('BD FRESCOS'!AA:AA,'BD FRESCOS'!U:U,B75,'BD FRESCOS'!AK:AK,$D$4))))),2),""))</f>
        <v/>
      </c>
      <c r="F75" s="75" t="str">
        <f t="shared" si="5"/>
        <v/>
      </c>
      <c r="G75" s="69" t="str">
        <f>IF(OR($B$8=0,B75=""),"",IFERROR(ROUND(IF($D$4="TODOS",IF($B$4="TODOS",(SUMIF('BD SECOS'!Q:Q,B75,'BD SECOS'!Y:Y)+SUMIF('BD PPA'!U:U,B75,'BD PPA'!AE:AE)+SUMIF('BD FRESCOS'!U:U,B75,'BD FRESCOS'!AE:AE))/(COUNTIF('BD SECOS'!Q:Q,B75)+COUNTIF('BD PPA'!U:U,B75)+COUNTIF('BD FRESCOS'!U:U,B75)),IF($B$4="SECOS",AVERAGEIF('BD SECOS'!Q:Q,B75,'BD SECOS'!Y:Y),IF($B$4="PPA",AVERAGEIF('BD PPA'!U:U,B75,'BD PPA'!AE:AE),AVERAGEIF('BD FRESCOS'!U:U,B75,'BD FRESCOS'!AE:AE)))),IF($B$4="TODOS",(SUMIFS('BD SECOS'!Y:Y,'BD SECOS'!Q:Q,B75,'BD SECOS'!AE:AE,$D$4)+SUMIFS('BD PPA'!AE:AE,'BD PPA'!U:U,B75,'BD PPA'!AK:AK,$D$4)+SUMIFS('BD FRESCOS'!AE:AE,'BD FRESCOS'!U:U,B75,'BD FRESCOS'!AK:AK,$D$4))/(COUNTIFS('BD SECOS'!Q:Q,B75,'BD SECOS'!AE:AE,$D$4)+COUNTIFS('BD PPA'!U:U,B75,'BD PPA'!AK:AK,$D$4)+COUNTIFS('BD FRESCOS'!U:U,B75,'BD FRESCOS'!AK:AK,$D$4)),IF($B$4="SECOS",AVERAGEIFS('BD SECOS'!Y:Y,'BD SECOS'!Q:Q,B75,'BD SECOS'!AE:AE,$D$4),IF($B$4="PPA",AVERAGEIFS('BD PPA'!AE:AE,'BD PPA'!U:U,B75,'BD PPA'!AK:AK,$D$4),AVERAGEIFS('BD FRESCOS'!AE:AE,'BD FRESCOS'!U:U,B75,'BD FRESCOS'!AK:AK,$D$4))))),2),""))</f>
        <v/>
      </c>
      <c r="H75" s="77" t="str">
        <f t="shared" ref="H75:H89" si="9">IF(OR($B$8=0,G75=""),"",IF(G75&lt;=1,"🟢 Muy Cerca",IF(G75&lt;=3,"🟡 Cerca",IF(G75&lt;=5,"🟠 Moderada","🔴 Lejos"))))</f>
        <v/>
      </c>
      <c r="I75" s="75" t="str" cm="1">
        <f t="array" ref="I75">IF(OR($B$8=0,B75=""),"",IFERROR(IF($D$4="TODOS",IF($B$4="TODOS",INDEX('BD SECOS'!X:X,MATCH(B75,'BD SECOS'!Q:Q,0)),IF($B$4="SECOS",INDEX('BD SECOS'!X:X,MATCH(B75,'BD SECOS'!Q:Q,0)),IF($B$4="PPA",INDEX('BD PPA'!AD:AD,MATCH(B75,'BD PPA'!U:U,0)),INDEX('BD FRESCOS'!AD:AD,MATCH(B75,'BD FRESCOS'!U:U,0))))),IF($B$4="TODOS",IFERROR(INDEX('BD SECOS'!X:X,MATCH(1,('BD SECOS'!Q:Q=B75)*('BD SECOS'!AE:AE=$D$4),0)),IFERROR(INDEX('BD PPA'!AD:AD,MATCH(1,('BD PPA'!U:U=B75)*('BD PPA'!AK:AK=$D$4),0)),INDEX('BD FRESCOS'!AD:AD,MATCH(1,('BD FRESCOS'!U:U=B75)*('BD FRESCOS'!AK:AK=$D$4),0)))),IF($B$4="SECOS",INDEX('BD SECOS'!X:X,MATCH(1,('BD SECOS'!Q:Q=B75)*('BD SECOS'!AE:AE=$D$4),0)),IF($B$4="PPA",INDEX('BD PPA'!AD:AD,MATCH(1,('BD PPA'!U:U=B75)*('BD PPA'!AK:AK=$D$4),0)),INDEX('BD FRESCOS'!AD:AD,MATCH(1,('BD FRESCOS'!U:U=B75)*('BD FRESCOS'!AK:AK=$D$4),0)))))),""))</f>
        <v/>
      </c>
      <c r="J75" s="77" t="str">
        <f t="shared" si="7"/>
        <v/>
      </c>
    </row>
    <row r="76" spans="1:10" x14ac:dyDescent="0.35">
      <c r="A76" s="45" t="str">
        <f>IF(OR($B$8=0,C76="",C76=0),"",38)</f>
        <v/>
      </c>
      <c r="B76" t="str">
        <f>IF($B$8=0,"",IFERROR(IF(INDEX(Distritos!$I$7:$I$66,MATCH(SMALL(Distritos!$J$7:$J$66,38),Distritos!$J$7:$J$66,0))=0,"",INDEX(Distritos!$H$7:$H$66,MATCH(SMALL(Distritos!$J$7:$J$66,38),Distritos!$J$7:$J$66,0))),""))</f>
        <v/>
      </c>
      <c r="C76" s="32" t="str">
        <f>IF($B$8=0,"",IFERROR(IF(INDEX(Distritos!$I$7:$I$66,MATCH(SMALL(Distritos!$J$7:$J$66,38),Distritos!$J$7:$J$66,0))=0,"",INDEX(Distritos!$I$7:$I$66,MATCH(SMALL(Distritos!$J$7:$J$66,38),Distritos!$J$7:$J$66,0))),""))</f>
        <v/>
      </c>
      <c r="D76" s="74" t="str">
        <f t="shared" si="8"/>
        <v/>
      </c>
      <c r="E76" s="69" t="str">
        <f>IF(OR($B$8=0,B76=""),"",IFERROR(ROUND(IF($D$4="TODOS",IF($B$4="TODOS",(SUMIF('BD SECOS'!Q:Q,B76,'BD SECOS'!U:U)+SUMIF('BD PPA'!U:U,B76,'BD PPA'!AA:AA)+SUMIF('BD FRESCOS'!U:U,B76,'BD FRESCOS'!AA:AA))/(COUNTIF('BD SECOS'!Q:Q,B76)+COUNTIF('BD PPA'!U:U,B76)+COUNTIF('BD FRESCOS'!U:U,B76)),IF($B$4="SECOS",AVERAGEIF('BD SECOS'!Q:Q,B76,'BD SECOS'!U:U),IF($B$4="PPA",AVERAGEIF('BD PPA'!U:U,B76,'BD PPA'!AA:AA),AVERAGEIF('BD FRESCOS'!U:U,B76,'BD FRESCOS'!AA:AA)))),IF($B$4="TODOS",(SUMIFS('BD SECOS'!U:U,'BD SECOS'!Q:Q,B76,'BD SECOS'!AE:AE,$D$4)+SUMIFS('BD PPA'!AA:AA,'BD PPA'!U:U,B76,'BD PPA'!AK:AK,$D$4)+SUMIFS('BD FRESCOS'!AA:AA,'BD FRESCOS'!U:U,B76,'BD FRESCOS'!AK:AK,$D$4))/(COUNTIFS('BD SECOS'!Q:Q,B76,'BD SECOS'!AE:AE,$D$4)+COUNTIFS('BD PPA'!U:U,B76,'BD PPA'!AK:AK,$D$4)+COUNTIFS('BD FRESCOS'!U:U,B76,'BD FRESCOS'!AK:AK,$D$4)),IF($B$4="SECOS",AVERAGEIFS('BD SECOS'!U:U,'BD SECOS'!Q:Q,B76,'BD SECOS'!AE:AE,$D$4),IF($B$4="PPA",AVERAGEIFS('BD PPA'!AA:AA,'BD PPA'!U:U,B76,'BD PPA'!AK:AK,$D$4),AVERAGEIFS('BD FRESCOS'!AA:AA,'BD FRESCOS'!U:U,B76,'BD FRESCOS'!AK:AK,$D$4))))),2),""))</f>
        <v/>
      </c>
      <c r="F76" s="75" t="str">
        <f t="shared" si="5"/>
        <v/>
      </c>
      <c r="G76" s="69" t="str">
        <f>IF(OR($B$8=0,B76=""),"",IFERROR(ROUND(IF($D$4="TODOS",IF($B$4="TODOS",(SUMIF('BD SECOS'!Q:Q,B76,'BD SECOS'!Y:Y)+SUMIF('BD PPA'!U:U,B76,'BD PPA'!AE:AE)+SUMIF('BD FRESCOS'!U:U,B76,'BD FRESCOS'!AE:AE))/(COUNTIF('BD SECOS'!Q:Q,B76)+COUNTIF('BD PPA'!U:U,B76)+COUNTIF('BD FRESCOS'!U:U,B76)),IF($B$4="SECOS",AVERAGEIF('BD SECOS'!Q:Q,B76,'BD SECOS'!Y:Y),IF($B$4="PPA",AVERAGEIF('BD PPA'!U:U,B76,'BD PPA'!AE:AE),AVERAGEIF('BD FRESCOS'!U:U,B76,'BD FRESCOS'!AE:AE)))),IF($B$4="TODOS",(SUMIFS('BD SECOS'!Y:Y,'BD SECOS'!Q:Q,B76,'BD SECOS'!AE:AE,$D$4)+SUMIFS('BD PPA'!AE:AE,'BD PPA'!U:U,B76,'BD PPA'!AK:AK,$D$4)+SUMIFS('BD FRESCOS'!AE:AE,'BD FRESCOS'!U:U,B76,'BD FRESCOS'!AK:AK,$D$4))/(COUNTIFS('BD SECOS'!Q:Q,B76,'BD SECOS'!AE:AE,$D$4)+COUNTIFS('BD PPA'!U:U,B76,'BD PPA'!AK:AK,$D$4)+COUNTIFS('BD FRESCOS'!U:U,B76,'BD FRESCOS'!AK:AK,$D$4)),IF($B$4="SECOS",AVERAGEIFS('BD SECOS'!Y:Y,'BD SECOS'!Q:Q,B76,'BD SECOS'!AE:AE,$D$4),IF($B$4="PPA",AVERAGEIFS('BD PPA'!AE:AE,'BD PPA'!U:U,B76,'BD PPA'!AK:AK,$D$4),AVERAGEIFS('BD FRESCOS'!AE:AE,'BD FRESCOS'!U:U,B76,'BD FRESCOS'!AK:AK,$D$4))))),2),""))</f>
        <v/>
      </c>
      <c r="H76" s="77" t="str">
        <f t="shared" si="9"/>
        <v/>
      </c>
      <c r="I76" s="75" t="str" cm="1">
        <f t="array" ref="I76">IF(OR($B$8=0,B76=""),"",IFERROR(IF($D$4="TODOS",IF($B$4="TODOS",INDEX('BD SECOS'!X:X,MATCH(B76,'BD SECOS'!Q:Q,0)),IF($B$4="SECOS",INDEX('BD SECOS'!X:X,MATCH(B76,'BD SECOS'!Q:Q,0)),IF($B$4="PPA",INDEX('BD PPA'!AD:AD,MATCH(B76,'BD PPA'!U:U,0)),INDEX('BD FRESCOS'!AD:AD,MATCH(B76,'BD FRESCOS'!U:U,0))))),IF($B$4="TODOS",IFERROR(INDEX('BD SECOS'!X:X,MATCH(1,('BD SECOS'!Q:Q=B76)*('BD SECOS'!AE:AE=$D$4),0)),IFERROR(INDEX('BD PPA'!AD:AD,MATCH(1,('BD PPA'!U:U=B76)*('BD PPA'!AK:AK=$D$4),0)),INDEX('BD FRESCOS'!AD:AD,MATCH(1,('BD FRESCOS'!U:U=B76)*('BD FRESCOS'!AK:AK=$D$4),0)))),IF($B$4="SECOS",INDEX('BD SECOS'!X:X,MATCH(1,('BD SECOS'!Q:Q=B76)*('BD SECOS'!AE:AE=$D$4),0)),IF($B$4="PPA",INDEX('BD PPA'!AD:AD,MATCH(1,('BD PPA'!U:U=B76)*('BD PPA'!AK:AK=$D$4),0)),INDEX('BD FRESCOS'!AD:AD,MATCH(1,('BD FRESCOS'!U:U=B76)*('BD FRESCOS'!AK:AK=$D$4),0)))))),""))</f>
        <v/>
      </c>
      <c r="J76" s="77" t="str">
        <f t="shared" si="7"/>
        <v/>
      </c>
    </row>
    <row r="77" spans="1:10" x14ac:dyDescent="0.35">
      <c r="A77" s="45" t="str">
        <f>IF(OR($B$8=0,C77="",C77=0),"",39)</f>
        <v/>
      </c>
      <c r="B77" t="str">
        <f>IF($B$8=0,"",IFERROR(IF(INDEX(Distritos!$I$7:$I$66,MATCH(SMALL(Distritos!$J$7:$J$66,39),Distritos!$J$7:$J$66,0))=0,"",INDEX(Distritos!$H$7:$H$66,MATCH(SMALL(Distritos!$J$7:$J$66,39),Distritos!$J$7:$J$66,0))),""))</f>
        <v/>
      </c>
      <c r="C77" s="32" t="str">
        <f>IF($B$8=0,"",IFERROR(IF(INDEX(Distritos!$I$7:$I$66,MATCH(SMALL(Distritos!$J$7:$J$66,39),Distritos!$J$7:$J$66,0))=0,"",INDEX(Distritos!$I$7:$I$66,MATCH(SMALL(Distritos!$J$7:$J$66,39),Distritos!$J$7:$J$66,0))),""))</f>
        <v/>
      </c>
      <c r="D77" s="74" t="str">
        <f t="shared" si="8"/>
        <v/>
      </c>
      <c r="E77" s="69" t="str">
        <f>IF(OR($B$8=0,B77=""),"",IFERROR(ROUND(IF($D$4="TODOS",IF($B$4="TODOS",(SUMIF('BD SECOS'!Q:Q,B77,'BD SECOS'!U:U)+SUMIF('BD PPA'!U:U,B77,'BD PPA'!AA:AA)+SUMIF('BD FRESCOS'!U:U,B77,'BD FRESCOS'!AA:AA))/(COUNTIF('BD SECOS'!Q:Q,B77)+COUNTIF('BD PPA'!U:U,B77)+COUNTIF('BD FRESCOS'!U:U,B77)),IF($B$4="SECOS",AVERAGEIF('BD SECOS'!Q:Q,B77,'BD SECOS'!U:U),IF($B$4="PPA",AVERAGEIF('BD PPA'!U:U,B77,'BD PPA'!AA:AA),AVERAGEIF('BD FRESCOS'!U:U,B77,'BD FRESCOS'!AA:AA)))),IF($B$4="TODOS",(SUMIFS('BD SECOS'!U:U,'BD SECOS'!Q:Q,B77,'BD SECOS'!AE:AE,$D$4)+SUMIFS('BD PPA'!AA:AA,'BD PPA'!U:U,B77,'BD PPA'!AK:AK,$D$4)+SUMIFS('BD FRESCOS'!AA:AA,'BD FRESCOS'!U:U,B77,'BD FRESCOS'!AK:AK,$D$4))/(COUNTIFS('BD SECOS'!Q:Q,B77,'BD SECOS'!AE:AE,$D$4)+COUNTIFS('BD PPA'!U:U,B77,'BD PPA'!AK:AK,$D$4)+COUNTIFS('BD FRESCOS'!U:U,B77,'BD FRESCOS'!AK:AK,$D$4)),IF($B$4="SECOS",AVERAGEIFS('BD SECOS'!U:U,'BD SECOS'!Q:Q,B77,'BD SECOS'!AE:AE,$D$4),IF($B$4="PPA",AVERAGEIFS('BD PPA'!AA:AA,'BD PPA'!U:U,B77,'BD PPA'!AK:AK,$D$4),AVERAGEIFS('BD FRESCOS'!AA:AA,'BD FRESCOS'!U:U,B77,'BD FRESCOS'!AK:AK,$D$4))))),2),""))</f>
        <v/>
      </c>
      <c r="F77" s="75" t="str">
        <f t="shared" si="5"/>
        <v/>
      </c>
      <c r="G77" s="69" t="str">
        <f>IF(OR($B$8=0,B77=""),"",IFERROR(ROUND(IF($D$4="TODOS",IF($B$4="TODOS",(SUMIF('BD SECOS'!Q:Q,B77,'BD SECOS'!Y:Y)+SUMIF('BD PPA'!U:U,B77,'BD PPA'!AE:AE)+SUMIF('BD FRESCOS'!U:U,B77,'BD FRESCOS'!AE:AE))/(COUNTIF('BD SECOS'!Q:Q,B77)+COUNTIF('BD PPA'!U:U,B77)+COUNTIF('BD FRESCOS'!U:U,B77)),IF($B$4="SECOS",AVERAGEIF('BD SECOS'!Q:Q,B77,'BD SECOS'!Y:Y),IF($B$4="PPA",AVERAGEIF('BD PPA'!U:U,B77,'BD PPA'!AE:AE),AVERAGEIF('BD FRESCOS'!U:U,B77,'BD FRESCOS'!AE:AE)))),IF($B$4="TODOS",(SUMIFS('BD SECOS'!Y:Y,'BD SECOS'!Q:Q,B77,'BD SECOS'!AE:AE,$D$4)+SUMIFS('BD PPA'!AE:AE,'BD PPA'!U:U,B77,'BD PPA'!AK:AK,$D$4)+SUMIFS('BD FRESCOS'!AE:AE,'BD FRESCOS'!U:U,B77,'BD FRESCOS'!AK:AK,$D$4))/(COUNTIFS('BD SECOS'!Q:Q,B77,'BD SECOS'!AE:AE,$D$4)+COUNTIFS('BD PPA'!U:U,B77,'BD PPA'!AK:AK,$D$4)+COUNTIFS('BD FRESCOS'!U:U,B77,'BD FRESCOS'!AK:AK,$D$4)),IF($B$4="SECOS",AVERAGEIFS('BD SECOS'!Y:Y,'BD SECOS'!Q:Q,B77,'BD SECOS'!AE:AE,$D$4),IF($B$4="PPA",AVERAGEIFS('BD PPA'!AE:AE,'BD PPA'!U:U,B77,'BD PPA'!AK:AK,$D$4),AVERAGEIFS('BD FRESCOS'!AE:AE,'BD FRESCOS'!U:U,B77,'BD FRESCOS'!AK:AK,$D$4))))),2),""))</f>
        <v/>
      </c>
      <c r="H77" s="77" t="str">
        <f t="shared" si="9"/>
        <v/>
      </c>
      <c r="I77" s="75" t="str" cm="1">
        <f t="array" ref="I77">IF(OR($B$8=0,B77=""),"",IFERROR(IF($D$4="TODOS",IF($B$4="TODOS",INDEX('BD SECOS'!X:X,MATCH(B77,'BD SECOS'!Q:Q,0)),IF($B$4="SECOS",INDEX('BD SECOS'!X:X,MATCH(B77,'BD SECOS'!Q:Q,0)),IF($B$4="PPA",INDEX('BD PPA'!AD:AD,MATCH(B77,'BD PPA'!U:U,0)),INDEX('BD FRESCOS'!AD:AD,MATCH(B77,'BD FRESCOS'!U:U,0))))),IF($B$4="TODOS",IFERROR(INDEX('BD SECOS'!X:X,MATCH(1,('BD SECOS'!Q:Q=B77)*('BD SECOS'!AE:AE=$D$4),0)),IFERROR(INDEX('BD PPA'!AD:AD,MATCH(1,('BD PPA'!U:U=B77)*('BD PPA'!AK:AK=$D$4),0)),INDEX('BD FRESCOS'!AD:AD,MATCH(1,('BD FRESCOS'!U:U=B77)*('BD FRESCOS'!AK:AK=$D$4),0)))),IF($B$4="SECOS",INDEX('BD SECOS'!X:X,MATCH(1,('BD SECOS'!Q:Q=B77)*('BD SECOS'!AE:AE=$D$4),0)),IF($B$4="PPA",INDEX('BD PPA'!AD:AD,MATCH(1,('BD PPA'!U:U=B77)*('BD PPA'!AK:AK=$D$4),0)),INDEX('BD FRESCOS'!AD:AD,MATCH(1,('BD FRESCOS'!U:U=B77)*('BD FRESCOS'!AK:AK=$D$4),0)))))),""))</f>
        <v/>
      </c>
      <c r="J77" s="77" t="str">
        <f t="shared" si="7"/>
        <v/>
      </c>
    </row>
    <row r="78" spans="1:10" x14ac:dyDescent="0.35">
      <c r="A78" s="45" t="str">
        <f>IF(OR($B$8=0,C78="",C78=0),"",40)</f>
        <v/>
      </c>
      <c r="B78" t="str">
        <f>IF($B$8=0,"",IFERROR(IF(INDEX(Distritos!$I$7:$I$66,MATCH(SMALL(Distritos!$J$7:$J$66,40),Distritos!$J$7:$J$66,0))=0,"",INDEX(Distritos!$H$7:$H$66,MATCH(SMALL(Distritos!$J$7:$J$66,40),Distritos!$J$7:$J$66,0))),""))</f>
        <v/>
      </c>
      <c r="C78" s="32" t="str">
        <f>IF($B$8=0,"",IFERROR(IF(INDEX(Distritos!$I$7:$I$66,MATCH(SMALL(Distritos!$J$7:$J$66,40),Distritos!$J$7:$J$66,0))=0,"",INDEX(Distritos!$I$7:$I$66,MATCH(SMALL(Distritos!$J$7:$J$66,40),Distritos!$J$7:$J$66,0))),""))</f>
        <v/>
      </c>
      <c r="D78" s="74" t="str">
        <f t="shared" si="8"/>
        <v/>
      </c>
      <c r="E78" s="69" t="str">
        <f>IF(OR($B$8=0,B78=""),"",IFERROR(ROUND(IF($D$4="TODOS",IF($B$4="TODOS",(SUMIF('BD SECOS'!Q:Q,B78,'BD SECOS'!U:U)+SUMIF('BD PPA'!U:U,B78,'BD PPA'!AA:AA)+SUMIF('BD FRESCOS'!U:U,B78,'BD FRESCOS'!AA:AA))/(COUNTIF('BD SECOS'!Q:Q,B78)+COUNTIF('BD PPA'!U:U,B78)+COUNTIF('BD FRESCOS'!U:U,B78)),IF($B$4="SECOS",AVERAGEIF('BD SECOS'!Q:Q,B78,'BD SECOS'!U:U),IF($B$4="PPA",AVERAGEIF('BD PPA'!U:U,B78,'BD PPA'!AA:AA),AVERAGEIF('BD FRESCOS'!U:U,B78,'BD FRESCOS'!AA:AA)))),IF($B$4="TODOS",(SUMIFS('BD SECOS'!U:U,'BD SECOS'!Q:Q,B78,'BD SECOS'!AE:AE,$D$4)+SUMIFS('BD PPA'!AA:AA,'BD PPA'!U:U,B78,'BD PPA'!AK:AK,$D$4)+SUMIFS('BD FRESCOS'!AA:AA,'BD FRESCOS'!U:U,B78,'BD FRESCOS'!AK:AK,$D$4))/(COUNTIFS('BD SECOS'!Q:Q,B78,'BD SECOS'!AE:AE,$D$4)+COUNTIFS('BD PPA'!U:U,B78,'BD PPA'!AK:AK,$D$4)+COUNTIFS('BD FRESCOS'!U:U,B78,'BD FRESCOS'!AK:AK,$D$4)),IF($B$4="SECOS",AVERAGEIFS('BD SECOS'!U:U,'BD SECOS'!Q:Q,B78,'BD SECOS'!AE:AE,$D$4),IF($B$4="PPA",AVERAGEIFS('BD PPA'!AA:AA,'BD PPA'!U:U,B78,'BD PPA'!AK:AK,$D$4),AVERAGEIFS('BD FRESCOS'!AA:AA,'BD FRESCOS'!U:U,B78,'BD FRESCOS'!AK:AK,$D$4))))),2),""))</f>
        <v/>
      </c>
      <c r="F78" s="75" t="str">
        <f t="shared" si="5"/>
        <v/>
      </c>
      <c r="G78" s="69" t="str">
        <f>IF(OR($B$8=0,B78=""),"",IFERROR(ROUND(IF($D$4="TODOS",IF($B$4="TODOS",(SUMIF('BD SECOS'!Q:Q,B78,'BD SECOS'!Y:Y)+SUMIF('BD PPA'!U:U,B78,'BD PPA'!AE:AE)+SUMIF('BD FRESCOS'!U:U,B78,'BD FRESCOS'!AE:AE))/(COUNTIF('BD SECOS'!Q:Q,B78)+COUNTIF('BD PPA'!U:U,B78)+COUNTIF('BD FRESCOS'!U:U,B78)),IF($B$4="SECOS",AVERAGEIF('BD SECOS'!Q:Q,B78,'BD SECOS'!Y:Y),IF($B$4="PPA",AVERAGEIF('BD PPA'!U:U,B78,'BD PPA'!AE:AE),AVERAGEIF('BD FRESCOS'!U:U,B78,'BD FRESCOS'!AE:AE)))),IF($B$4="TODOS",(SUMIFS('BD SECOS'!Y:Y,'BD SECOS'!Q:Q,B78,'BD SECOS'!AE:AE,$D$4)+SUMIFS('BD PPA'!AE:AE,'BD PPA'!U:U,B78,'BD PPA'!AK:AK,$D$4)+SUMIFS('BD FRESCOS'!AE:AE,'BD FRESCOS'!U:U,B78,'BD FRESCOS'!AK:AK,$D$4))/(COUNTIFS('BD SECOS'!Q:Q,B78,'BD SECOS'!AE:AE,$D$4)+COUNTIFS('BD PPA'!U:U,B78,'BD PPA'!AK:AK,$D$4)+COUNTIFS('BD FRESCOS'!U:U,B78,'BD FRESCOS'!AK:AK,$D$4)),IF($B$4="SECOS",AVERAGEIFS('BD SECOS'!Y:Y,'BD SECOS'!Q:Q,B78,'BD SECOS'!AE:AE,$D$4),IF($B$4="PPA",AVERAGEIFS('BD PPA'!AE:AE,'BD PPA'!U:U,B78,'BD PPA'!AK:AK,$D$4),AVERAGEIFS('BD FRESCOS'!AE:AE,'BD FRESCOS'!U:U,B78,'BD FRESCOS'!AK:AK,$D$4))))),2),""))</f>
        <v/>
      </c>
      <c r="H78" s="77" t="str">
        <f t="shared" si="9"/>
        <v/>
      </c>
      <c r="I78" s="75" t="str" cm="1">
        <f t="array" ref="I78">IF(OR($B$8=0,B78=""),"",IFERROR(IF($D$4="TODOS",IF($B$4="TODOS",INDEX('BD SECOS'!X:X,MATCH(B78,'BD SECOS'!Q:Q,0)),IF($B$4="SECOS",INDEX('BD SECOS'!X:X,MATCH(B78,'BD SECOS'!Q:Q,0)),IF($B$4="PPA",INDEX('BD PPA'!AD:AD,MATCH(B78,'BD PPA'!U:U,0)),INDEX('BD FRESCOS'!AD:AD,MATCH(B78,'BD FRESCOS'!U:U,0))))),IF($B$4="TODOS",IFERROR(INDEX('BD SECOS'!X:X,MATCH(1,('BD SECOS'!Q:Q=B78)*('BD SECOS'!AE:AE=$D$4),0)),IFERROR(INDEX('BD PPA'!AD:AD,MATCH(1,('BD PPA'!U:U=B78)*('BD PPA'!AK:AK=$D$4),0)),INDEX('BD FRESCOS'!AD:AD,MATCH(1,('BD FRESCOS'!U:U=B78)*('BD FRESCOS'!AK:AK=$D$4),0)))),IF($B$4="SECOS",INDEX('BD SECOS'!X:X,MATCH(1,('BD SECOS'!Q:Q=B78)*('BD SECOS'!AE:AE=$D$4),0)),IF($B$4="PPA",INDEX('BD PPA'!AD:AD,MATCH(1,('BD PPA'!U:U=B78)*('BD PPA'!AK:AK=$D$4),0)),INDEX('BD FRESCOS'!AD:AD,MATCH(1,('BD FRESCOS'!U:U=B78)*('BD FRESCOS'!AK:AK=$D$4),0)))))),""))</f>
        <v/>
      </c>
      <c r="J78" s="77" t="str">
        <f t="shared" si="7"/>
        <v/>
      </c>
    </row>
    <row r="79" spans="1:10" x14ac:dyDescent="0.35">
      <c r="A79" s="45" t="str">
        <f>IF(OR($B$8=0,C79="",C79=0),"",41)</f>
        <v/>
      </c>
      <c r="B79" t="str">
        <f>IF($B$8=0,"",IFERROR(IF(INDEX(Distritos!$I$7:$I$66,MATCH(SMALL(Distritos!$J$7:$J$66,41),Distritos!$J$7:$J$66,0))=0,"",INDEX(Distritos!$H$7:$H$66,MATCH(SMALL(Distritos!$J$7:$J$66,41),Distritos!$J$7:$J$66,0))),""))</f>
        <v/>
      </c>
      <c r="C79" s="32" t="str">
        <f>IF($B$8=0,"",IFERROR(IF(INDEX(Distritos!$I$7:$I$66,MATCH(SMALL(Distritos!$J$7:$J$66,41),Distritos!$J$7:$J$66,0))=0,"",INDEX(Distritos!$I$7:$I$66,MATCH(SMALL(Distritos!$J$7:$J$66,41),Distritos!$J$7:$J$66,0))),""))</f>
        <v/>
      </c>
      <c r="D79" s="74" t="str">
        <f t="shared" si="8"/>
        <v/>
      </c>
      <c r="E79" s="69" t="str">
        <f>IF(OR($B$8=0,B79=""),"",IFERROR(ROUND(IF($D$4="TODOS",IF($B$4="TODOS",(SUMIF('BD SECOS'!Q:Q,B79,'BD SECOS'!U:U)+SUMIF('BD PPA'!U:U,B79,'BD PPA'!AA:AA)+SUMIF('BD FRESCOS'!U:U,B79,'BD FRESCOS'!AA:AA))/(COUNTIF('BD SECOS'!Q:Q,B79)+COUNTIF('BD PPA'!U:U,B79)+COUNTIF('BD FRESCOS'!U:U,B79)),IF($B$4="SECOS",AVERAGEIF('BD SECOS'!Q:Q,B79,'BD SECOS'!U:U),IF($B$4="PPA",AVERAGEIF('BD PPA'!U:U,B79,'BD PPA'!AA:AA),AVERAGEIF('BD FRESCOS'!U:U,B79,'BD FRESCOS'!AA:AA)))),IF($B$4="TODOS",(SUMIFS('BD SECOS'!U:U,'BD SECOS'!Q:Q,B79,'BD SECOS'!AE:AE,$D$4)+SUMIFS('BD PPA'!AA:AA,'BD PPA'!U:U,B79,'BD PPA'!AK:AK,$D$4)+SUMIFS('BD FRESCOS'!AA:AA,'BD FRESCOS'!U:U,B79,'BD FRESCOS'!AK:AK,$D$4))/(COUNTIFS('BD SECOS'!Q:Q,B79,'BD SECOS'!AE:AE,$D$4)+COUNTIFS('BD PPA'!U:U,B79,'BD PPA'!AK:AK,$D$4)+COUNTIFS('BD FRESCOS'!U:U,B79,'BD FRESCOS'!AK:AK,$D$4)),IF($B$4="SECOS",AVERAGEIFS('BD SECOS'!U:U,'BD SECOS'!Q:Q,B79,'BD SECOS'!AE:AE,$D$4),IF($B$4="PPA",AVERAGEIFS('BD PPA'!AA:AA,'BD PPA'!U:U,B79,'BD PPA'!AK:AK,$D$4),AVERAGEIFS('BD FRESCOS'!AA:AA,'BD FRESCOS'!U:U,B79,'BD FRESCOS'!AK:AK,$D$4))))),2),""))</f>
        <v/>
      </c>
      <c r="F79" s="75" t="str">
        <f t="shared" si="5"/>
        <v/>
      </c>
      <c r="G79" s="69" t="str">
        <f>IF(OR($B$8=0,B79=""),"",IFERROR(ROUND(IF($D$4="TODOS",IF($B$4="TODOS",(SUMIF('BD SECOS'!Q:Q,B79,'BD SECOS'!Y:Y)+SUMIF('BD PPA'!U:U,B79,'BD PPA'!AE:AE)+SUMIF('BD FRESCOS'!U:U,B79,'BD FRESCOS'!AE:AE))/(COUNTIF('BD SECOS'!Q:Q,B79)+COUNTIF('BD PPA'!U:U,B79)+COUNTIF('BD FRESCOS'!U:U,B79)),IF($B$4="SECOS",AVERAGEIF('BD SECOS'!Q:Q,B79,'BD SECOS'!Y:Y),IF($B$4="PPA",AVERAGEIF('BD PPA'!U:U,B79,'BD PPA'!AE:AE),AVERAGEIF('BD FRESCOS'!U:U,B79,'BD FRESCOS'!AE:AE)))),IF($B$4="TODOS",(SUMIFS('BD SECOS'!Y:Y,'BD SECOS'!Q:Q,B79,'BD SECOS'!AE:AE,$D$4)+SUMIFS('BD PPA'!AE:AE,'BD PPA'!U:U,B79,'BD PPA'!AK:AK,$D$4)+SUMIFS('BD FRESCOS'!AE:AE,'BD FRESCOS'!U:U,B79,'BD FRESCOS'!AK:AK,$D$4))/(COUNTIFS('BD SECOS'!Q:Q,B79,'BD SECOS'!AE:AE,$D$4)+COUNTIFS('BD PPA'!U:U,B79,'BD PPA'!AK:AK,$D$4)+COUNTIFS('BD FRESCOS'!U:U,B79,'BD FRESCOS'!AK:AK,$D$4)),IF($B$4="SECOS",AVERAGEIFS('BD SECOS'!Y:Y,'BD SECOS'!Q:Q,B79,'BD SECOS'!AE:AE,$D$4),IF($B$4="PPA",AVERAGEIFS('BD PPA'!AE:AE,'BD PPA'!U:U,B79,'BD PPA'!AK:AK,$D$4),AVERAGEIFS('BD FRESCOS'!AE:AE,'BD FRESCOS'!U:U,B79,'BD FRESCOS'!AK:AK,$D$4))))),2),""))</f>
        <v/>
      </c>
      <c r="H79" s="77" t="str">
        <f t="shared" si="9"/>
        <v/>
      </c>
      <c r="I79" s="75" t="str" cm="1">
        <f t="array" ref="I79">IF(OR($B$8=0,B79=""),"",IFERROR(IF($D$4="TODOS",IF($B$4="TODOS",INDEX('BD SECOS'!X:X,MATCH(B79,'BD SECOS'!Q:Q,0)),IF($B$4="SECOS",INDEX('BD SECOS'!X:X,MATCH(B79,'BD SECOS'!Q:Q,0)),IF($B$4="PPA",INDEX('BD PPA'!AD:AD,MATCH(B79,'BD PPA'!U:U,0)),INDEX('BD FRESCOS'!AD:AD,MATCH(B79,'BD FRESCOS'!U:U,0))))),IF($B$4="TODOS",IFERROR(INDEX('BD SECOS'!X:X,MATCH(1,('BD SECOS'!Q:Q=B79)*('BD SECOS'!AE:AE=$D$4),0)),IFERROR(INDEX('BD PPA'!AD:AD,MATCH(1,('BD PPA'!U:U=B79)*('BD PPA'!AK:AK=$D$4),0)),INDEX('BD FRESCOS'!AD:AD,MATCH(1,('BD FRESCOS'!U:U=B79)*('BD FRESCOS'!AK:AK=$D$4),0)))),IF($B$4="SECOS",INDEX('BD SECOS'!X:X,MATCH(1,('BD SECOS'!Q:Q=B79)*('BD SECOS'!AE:AE=$D$4),0)),IF($B$4="PPA",INDEX('BD PPA'!AD:AD,MATCH(1,('BD PPA'!U:U=B79)*('BD PPA'!AK:AK=$D$4),0)),INDEX('BD FRESCOS'!AD:AD,MATCH(1,('BD FRESCOS'!U:U=B79)*('BD FRESCOS'!AK:AK=$D$4),0)))))),""))</f>
        <v/>
      </c>
      <c r="J79" s="77" t="str">
        <f t="shared" si="7"/>
        <v/>
      </c>
    </row>
    <row r="80" spans="1:10" x14ac:dyDescent="0.35">
      <c r="A80" s="45" t="str">
        <f>IF(OR($B$8=0,C80="",C80=0),"",42)</f>
        <v/>
      </c>
      <c r="B80" t="str">
        <f>IF($B$8=0,"",IFERROR(IF(INDEX(Distritos!$I$7:$I$66,MATCH(SMALL(Distritos!$J$7:$J$66,42),Distritos!$J$7:$J$66,0))=0,"",INDEX(Distritos!$H$7:$H$66,MATCH(SMALL(Distritos!$J$7:$J$66,42),Distritos!$J$7:$J$66,0))),""))</f>
        <v/>
      </c>
      <c r="C80" s="32" t="str">
        <f>IF($B$8=0,"",IFERROR(IF(INDEX(Distritos!$I$7:$I$66,MATCH(SMALL(Distritos!$J$7:$J$66,42),Distritos!$J$7:$J$66,0))=0,"",INDEX(Distritos!$I$7:$I$66,MATCH(SMALL(Distritos!$J$7:$J$66,42),Distritos!$J$7:$J$66,0))),""))</f>
        <v/>
      </c>
      <c r="D80" s="74" t="str">
        <f t="shared" si="8"/>
        <v/>
      </c>
      <c r="E80" s="69" t="str">
        <f>IF(OR($B$8=0,B80=""),"",IFERROR(ROUND(IF($D$4="TODOS",IF($B$4="TODOS",(SUMIF('BD SECOS'!Q:Q,B80,'BD SECOS'!U:U)+SUMIF('BD PPA'!U:U,B80,'BD PPA'!AA:AA)+SUMIF('BD FRESCOS'!U:U,B80,'BD FRESCOS'!AA:AA))/(COUNTIF('BD SECOS'!Q:Q,B80)+COUNTIF('BD PPA'!U:U,B80)+COUNTIF('BD FRESCOS'!U:U,B80)),IF($B$4="SECOS",AVERAGEIF('BD SECOS'!Q:Q,B80,'BD SECOS'!U:U),IF($B$4="PPA",AVERAGEIF('BD PPA'!U:U,B80,'BD PPA'!AA:AA),AVERAGEIF('BD FRESCOS'!U:U,B80,'BD FRESCOS'!AA:AA)))),IF($B$4="TODOS",(SUMIFS('BD SECOS'!U:U,'BD SECOS'!Q:Q,B80,'BD SECOS'!AE:AE,$D$4)+SUMIFS('BD PPA'!AA:AA,'BD PPA'!U:U,B80,'BD PPA'!AK:AK,$D$4)+SUMIFS('BD FRESCOS'!AA:AA,'BD FRESCOS'!U:U,B80,'BD FRESCOS'!AK:AK,$D$4))/(COUNTIFS('BD SECOS'!Q:Q,B80,'BD SECOS'!AE:AE,$D$4)+COUNTIFS('BD PPA'!U:U,B80,'BD PPA'!AK:AK,$D$4)+COUNTIFS('BD FRESCOS'!U:U,B80,'BD FRESCOS'!AK:AK,$D$4)),IF($B$4="SECOS",AVERAGEIFS('BD SECOS'!U:U,'BD SECOS'!Q:Q,B80,'BD SECOS'!AE:AE,$D$4),IF($B$4="PPA",AVERAGEIFS('BD PPA'!AA:AA,'BD PPA'!U:U,B80,'BD PPA'!AK:AK,$D$4),AVERAGEIFS('BD FRESCOS'!AA:AA,'BD FRESCOS'!U:U,B80,'BD FRESCOS'!AK:AK,$D$4))))),2),""))</f>
        <v/>
      </c>
      <c r="F80" s="75" t="str">
        <f t="shared" si="5"/>
        <v/>
      </c>
      <c r="G80" s="69" t="str">
        <f>IF(OR($B$8=0,B80=""),"",IFERROR(ROUND(IF($D$4="TODOS",IF($B$4="TODOS",(SUMIF('BD SECOS'!Q:Q,B80,'BD SECOS'!Y:Y)+SUMIF('BD PPA'!U:U,B80,'BD PPA'!AE:AE)+SUMIF('BD FRESCOS'!U:U,B80,'BD FRESCOS'!AE:AE))/(COUNTIF('BD SECOS'!Q:Q,B80)+COUNTIF('BD PPA'!U:U,B80)+COUNTIF('BD FRESCOS'!U:U,B80)),IF($B$4="SECOS",AVERAGEIF('BD SECOS'!Q:Q,B80,'BD SECOS'!Y:Y),IF($B$4="PPA",AVERAGEIF('BD PPA'!U:U,B80,'BD PPA'!AE:AE),AVERAGEIF('BD FRESCOS'!U:U,B80,'BD FRESCOS'!AE:AE)))),IF($B$4="TODOS",(SUMIFS('BD SECOS'!Y:Y,'BD SECOS'!Q:Q,B80,'BD SECOS'!AE:AE,$D$4)+SUMIFS('BD PPA'!AE:AE,'BD PPA'!U:U,B80,'BD PPA'!AK:AK,$D$4)+SUMIFS('BD FRESCOS'!AE:AE,'BD FRESCOS'!U:U,B80,'BD FRESCOS'!AK:AK,$D$4))/(COUNTIFS('BD SECOS'!Q:Q,B80,'BD SECOS'!AE:AE,$D$4)+COUNTIFS('BD PPA'!U:U,B80,'BD PPA'!AK:AK,$D$4)+COUNTIFS('BD FRESCOS'!U:U,B80,'BD FRESCOS'!AK:AK,$D$4)),IF($B$4="SECOS",AVERAGEIFS('BD SECOS'!Y:Y,'BD SECOS'!Q:Q,B80,'BD SECOS'!AE:AE,$D$4),IF($B$4="PPA",AVERAGEIFS('BD PPA'!AE:AE,'BD PPA'!U:U,B80,'BD PPA'!AK:AK,$D$4),AVERAGEIFS('BD FRESCOS'!AE:AE,'BD FRESCOS'!U:U,B80,'BD FRESCOS'!AK:AK,$D$4))))),2),""))</f>
        <v/>
      </c>
      <c r="H80" s="77" t="str">
        <f t="shared" si="9"/>
        <v/>
      </c>
      <c r="I80" s="75" t="str" cm="1">
        <f t="array" ref="I80">IF(OR($B$8=0,B80=""),"",IFERROR(IF($D$4="TODOS",IF($B$4="TODOS",INDEX('BD SECOS'!X:X,MATCH(B80,'BD SECOS'!Q:Q,0)),IF($B$4="SECOS",INDEX('BD SECOS'!X:X,MATCH(B80,'BD SECOS'!Q:Q,0)),IF($B$4="PPA",INDEX('BD PPA'!AD:AD,MATCH(B80,'BD PPA'!U:U,0)),INDEX('BD FRESCOS'!AD:AD,MATCH(B80,'BD FRESCOS'!U:U,0))))),IF($B$4="TODOS",IFERROR(INDEX('BD SECOS'!X:X,MATCH(1,('BD SECOS'!Q:Q=B80)*('BD SECOS'!AE:AE=$D$4),0)),IFERROR(INDEX('BD PPA'!AD:AD,MATCH(1,('BD PPA'!U:U=B80)*('BD PPA'!AK:AK=$D$4),0)),INDEX('BD FRESCOS'!AD:AD,MATCH(1,('BD FRESCOS'!U:U=B80)*('BD FRESCOS'!AK:AK=$D$4),0)))),IF($B$4="SECOS",INDEX('BD SECOS'!X:X,MATCH(1,('BD SECOS'!Q:Q=B80)*('BD SECOS'!AE:AE=$D$4),0)),IF($B$4="PPA",INDEX('BD PPA'!AD:AD,MATCH(1,('BD PPA'!U:U=B80)*('BD PPA'!AK:AK=$D$4),0)),INDEX('BD FRESCOS'!AD:AD,MATCH(1,('BD FRESCOS'!U:U=B80)*('BD FRESCOS'!AK:AK=$D$4),0)))))),""))</f>
        <v/>
      </c>
      <c r="J80" s="77" t="str">
        <f t="shared" si="7"/>
        <v/>
      </c>
    </row>
    <row r="81" spans="1:10" x14ac:dyDescent="0.35">
      <c r="A81" s="45" t="str">
        <f>IF(OR($B$8=0,C81="",C81=0),"",43)</f>
        <v/>
      </c>
      <c r="B81" t="str">
        <f>IF($B$8=0,"",IFERROR(IF(INDEX(Distritos!$I$7:$I$66,MATCH(SMALL(Distritos!$J$7:$J$66,43),Distritos!$J$7:$J$66,0))=0,"",INDEX(Distritos!$H$7:$H$66,MATCH(SMALL(Distritos!$J$7:$J$66,43),Distritos!$J$7:$J$66,0))),""))</f>
        <v/>
      </c>
      <c r="C81" s="32" t="str">
        <f>IF($B$8=0,"",IFERROR(IF(INDEX(Distritos!$I$7:$I$66,MATCH(SMALL(Distritos!$J$7:$J$66,43),Distritos!$J$7:$J$66,0))=0,"",INDEX(Distritos!$I$7:$I$66,MATCH(SMALL(Distritos!$J$7:$J$66,43),Distritos!$J$7:$J$66,0))),""))</f>
        <v/>
      </c>
      <c r="D81" s="74" t="str">
        <f t="shared" si="8"/>
        <v/>
      </c>
      <c r="E81" s="69" t="str">
        <f>IF(OR($B$8=0,B81=""),"",IFERROR(ROUND(IF($D$4="TODOS",IF($B$4="TODOS",(SUMIF('BD SECOS'!Q:Q,B81,'BD SECOS'!U:U)+SUMIF('BD PPA'!U:U,B81,'BD PPA'!AA:AA)+SUMIF('BD FRESCOS'!U:U,B81,'BD FRESCOS'!AA:AA))/(COUNTIF('BD SECOS'!Q:Q,B81)+COUNTIF('BD PPA'!U:U,B81)+COUNTIF('BD FRESCOS'!U:U,B81)),IF($B$4="SECOS",AVERAGEIF('BD SECOS'!Q:Q,B81,'BD SECOS'!U:U),IF($B$4="PPA",AVERAGEIF('BD PPA'!U:U,B81,'BD PPA'!AA:AA),AVERAGEIF('BD FRESCOS'!U:U,B81,'BD FRESCOS'!AA:AA)))),IF($B$4="TODOS",(SUMIFS('BD SECOS'!U:U,'BD SECOS'!Q:Q,B81,'BD SECOS'!AE:AE,$D$4)+SUMIFS('BD PPA'!AA:AA,'BD PPA'!U:U,B81,'BD PPA'!AK:AK,$D$4)+SUMIFS('BD FRESCOS'!AA:AA,'BD FRESCOS'!U:U,B81,'BD FRESCOS'!AK:AK,$D$4))/(COUNTIFS('BD SECOS'!Q:Q,B81,'BD SECOS'!AE:AE,$D$4)+COUNTIFS('BD PPA'!U:U,B81,'BD PPA'!AK:AK,$D$4)+COUNTIFS('BD FRESCOS'!U:U,B81,'BD FRESCOS'!AK:AK,$D$4)),IF($B$4="SECOS",AVERAGEIFS('BD SECOS'!U:U,'BD SECOS'!Q:Q,B81,'BD SECOS'!AE:AE,$D$4),IF($B$4="PPA",AVERAGEIFS('BD PPA'!AA:AA,'BD PPA'!U:U,B81,'BD PPA'!AK:AK,$D$4),AVERAGEIFS('BD FRESCOS'!AA:AA,'BD FRESCOS'!U:U,B81,'BD FRESCOS'!AK:AK,$D$4))))),2),""))</f>
        <v/>
      </c>
      <c r="F81" s="75" t="str">
        <f t="shared" si="5"/>
        <v/>
      </c>
      <c r="G81" s="69" t="str">
        <f>IF(OR($B$8=0,B81=""),"",IFERROR(ROUND(IF($D$4="TODOS",IF($B$4="TODOS",(SUMIF('BD SECOS'!Q:Q,B81,'BD SECOS'!Y:Y)+SUMIF('BD PPA'!U:U,B81,'BD PPA'!AE:AE)+SUMIF('BD FRESCOS'!U:U,B81,'BD FRESCOS'!AE:AE))/(COUNTIF('BD SECOS'!Q:Q,B81)+COUNTIF('BD PPA'!U:U,B81)+COUNTIF('BD FRESCOS'!U:U,B81)),IF($B$4="SECOS",AVERAGEIF('BD SECOS'!Q:Q,B81,'BD SECOS'!Y:Y),IF($B$4="PPA",AVERAGEIF('BD PPA'!U:U,B81,'BD PPA'!AE:AE),AVERAGEIF('BD FRESCOS'!U:U,B81,'BD FRESCOS'!AE:AE)))),IF($B$4="TODOS",(SUMIFS('BD SECOS'!Y:Y,'BD SECOS'!Q:Q,B81,'BD SECOS'!AE:AE,$D$4)+SUMIFS('BD PPA'!AE:AE,'BD PPA'!U:U,B81,'BD PPA'!AK:AK,$D$4)+SUMIFS('BD FRESCOS'!AE:AE,'BD FRESCOS'!U:U,B81,'BD FRESCOS'!AK:AK,$D$4))/(COUNTIFS('BD SECOS'!Q:Q,B81,'BD SECOS'!AE:AE,$D$4)+COUNTIFS('BD PPA'!U:U,B81,'BD PPA'!AK:AK,$D$4)+COUNTIFS('BD FRESCOS'!U:U,B81,'BD FRESCOS'!AK:AK,$D$4)),IF($B$4="SECOS",AVERAGEIFS('BD SECOS'!Y:Y,'BD SECOS'!Q:Q,B81,'BD SECOS'!AE:AE,$D$4),IF($B$4="PPA",AVERAGEIFS('BD PPA'!AE:AE,'BD PPA'!U:U,B81,'BD PPA'!AK:AK,$D$4),AVERAGEIFS('BD FRESCOS'!AE:AE,'BD FRESCOS'!U:U,B81,'BD FRESCOS'!AK:AK,$D$4))))),2),""))</f>
        <v/>
      </c>
      <c r="H81" s="77" t="str">
        <f t="shared" si="9"/>
        <v/>
      </c>
      <c r="I81" s="75" t="str" cm="1">
        <f t="array" ref="I81">IF(OR($B$8=0,B81=""),"",IFERROR(IF($D$4="TODOS",IF($B$4="TODOS",INDEX('BD SECOS'!X:X,MATCH(B81,'BD SECOS'!Q:Q,0)),IF($B$4="SECOS",INDEX('BD SECOS'!X:X,MATCH(B81,'BD SECOS'!Q:Q,0)),IF($B$4="PPA",INDEX('BD PPA'!AD:AD,MATCH(B81,'BD PPA'!U:U,0)),INDEX('BD FRESCOS'!AD:AD,MATCH(B81,'BD FRESCOS'!U:U,0))))),IF($B$4="TODOS",IFERROR(INDEX('BD SECOS'!X:X,MATCH(1,('BD SECOS'!Q:Q=B81)*('BD SECOS'!AE:AE=$D$4),0)),IFERROR(INDEX('BD PPA'!AD:AD,MATCH(1,('BD PPA'!U:U=B81)*('BD PPA'!AK:AK=$D$4),0)),INDEX('BD FRESCOS'!AD:AD,MATCH(1,('BD FRESCOS'!U:U=B81)*('BD FRESCOS'!AK:AK=$D$4),0)))),IF($B$4="SECOS",INDEX('BD SECOS'!X:X,MATCH(1,('BD SECOS'!Q:Q=B81)*('BD SECOS'!AE:AE=$D$4),0)),IF($B$4="PPA",INDEX('BD PPA'!AD:AD,MATCH(1,('BD PPA'!U:U=B81)*('BD PPA'!AK:AK=$D$4),0)),INDEX('BD FRESCOS'!AD:AD,MATCH(1,('BD FRESCOS'!U:U=B81)*('BD FRESCOS'!AK:AK=$D$4),0)))))),""))</f>
        <v/>
      </c>
      <c r="J81" s="77" t="str">
        <f t="shared" si="7"/>
        <v/>
      </c>
    </row>
    <row r="82" spans="1:10" x14ac:dyDescent="0.35">
      <c r="A82" s="45" t="str">
        <f>IF(OR($B$8=0,C82="",C82=0),"",44)</f>
        <v/>
      </c>
      <c r="B82" t="str">
        <f>IF($B$8=0,"",IFERROR(IF(INDEX(Distritos!$I$7:$I$66,MATCH(SMALL(Distritos!$J$7:$J$66,44),Distritos!$J$7:$J$66,0))=0,"",INDEX(Distritos!$H$7:$H$66,MATCH(SMALL(Distritos!$J$7:$J$66,44),Distritos!$J$7:$J$66,0))),""))</f>
        <v/>
      </c>
      <c r="C82" s="32" t="str">
        <f>IF($B$8=0,"",IFERROR(IF(INDEX(Distritos!$I$7:$I$66,MATCH(SMALL(Distritos!$J$7:$J$66,44),Distritos!$J$7:$J$66,0))=0,"",INDEX(Distritos!$I$7:$I$66,MATCH(SMALL(Distritos!$J$7:$J$66,44),Distritos!$J$7:$J$66,0))),""))</f>
        <v/>
      </c>
      <c r="D82" s="74" t="str">
        <f t="shared" si="8"/>
        <v/>
      </c>
      <c r="E82" s="69" t="str">
        <f>IF(OR($B$8=0,B82=""),"",IFERROR(ROUND(IF($D$4="TODOS",IF($B$4="TODOS",(SUMIF('BD SECOS'!Q:Q,B82,'BD SECOS'!U:U)+SUMIF('BD PPA'!U:U,B82,'BD PPA'!AA:AA)+SUMIF('BD FRESCOS'!U:U,B82,'BD FRESCOS'!AA:AA))/(COUNTIF('BD SECOS'!Q:Q,B82)+COUNTIF('BD PPA'!U:U,B82)+COUNTIF('BD FRESCOS'!U:U,B82)),IF($B$4="SECOS",AVERAGEIF('BD SECOS'!Q:Q,B82,'BD SECOS'!U:U),IF($B$4="PPA",AVERAGEIF('BD PPA'!U:U,B82,'BD PPA'!AA:AA),AVERAGEIF('BD FRESCOS'!U:U,B82,'BD FRESCOS'!AA:AA)))),IF($B$4="TODOS",(SUMIFS('BD SECOS'!U:U,'BD SECOS'!Q:Q,B82,'BD SECOS'!AE:AE,$D$4)+SUMIFS('BD PPA'!AA:AA,'BD PPA'!U:U,B82,'BD PPA'!AK:AK,$D$4)+SUMIFS('BD FRESCOS'!AA:AA,'BD FRESCOS'!U:U,B82,'BD FRESCOS'!AK:AK,$D$4))/(COUNTIFS('BD SECOS'!Q:Q,B82,'BD SECOS'!AE:AE,$D$4)+COUNTIFS('BD PPA'!U:U,B82,'BD PPA'!AK:AK,$D$4)+COUNTIFS('BD FRESCOS'!U:U,B82,'BD FRESCOS'!AK:AK,$D$4)),IF($B$4="SECOS",AVERAGEIFS('BD SECOS'!U:U,'BD SECOS'!Q:Q,B82,'BD SECOS'!AE:AE,$D$4),IF($B$4="PPA",AVERAGEIFS('BD PPA'!AA:AA,'BD PPA'!U:U,B82,'BD PPA'!AK:AK,$D$4),AVERAGEIFS('BD FRESCOS'!AA:AA,'BD FRESCOS'!U:U,B82,'BD FRESCOS'!AK:AK,$D$4))))),2),""))</f>
        <v/>
      </c>
      <c r="F82" s="75" t="str">
        <f t="shared" si="5"/>
        <v/>
      </c>
      <c r="G82" s="69" t="str">
        <f>IF(OR($B$8=0,B82=""),"",IFERROR(ROUND(IF($D$4="TODOS",IF($B$4="TODOS",(SUMIF('BD SECOS'!Q:Q,B82,'BD SECOS'!Y:Y)+SUMIF('BD PPA'!U:U,B82,'BD PPA'!AE:AE)+SUMIF('BD FRESCOS'!U:U,B82,'BD FRESCOS'!AE:AE))/(COUNTIF('BD SECOS'!Q:Q,B82)+COUNTIF('BD PPA'!U:U,B82)+COUNTIF('BD FRESCOS'!U:U,B82)),IF($B$4="SECOS",AVERAGEIF('BD SECOS'!Q:Q,B82,'BD SECOS'!Y:Y),IF($B$4="PPA",AVERAGEIF('BD PPA'!U:U,B82,'BD PPA'!AE:AE),AVERAGEIF('BD FRESCOS'!U:U,B82,'BD FRESCOS'!AE:AE)))),IF($B$4="TODOS",(SUMIFS('BD SECOS'!Y:Y,'BD SECOS'!Q:Q,B82,'BD SECOS'!AE:AE,$D$4)+SUMIFS('BD PPA'!AE:AE,'BD PPA'!U:U,B82,'BD PPA'!AK:AK,$D$4)+SUMIFS('BD FRESCOS'!AE:AE,'BD FRESCOS'!U:U,B82,'BD FRESCOS'!AK:AK,$D$4))/(COUNTIFS('BD SECOS'!Q:Q,B82,'BD SECOS'!AE:AE,$D$4)+COUNTIFS('BD PPA'!U:U,B82,'BD PPA'!AK:AK,$D$4)+COUNTIFS('BD FRESCOS'!U:U,B82,'BD FRESCOS'!AK:AK,$D$4)),IF($B$4="SECOS",AVERAGEIFS('BD SECOS'!Y:Y,'BD SECOS'!Q:Q,B82,'BD SECOS'!AE:AE,$D$4),IF($B$4="PPA",AVERAGEIFS('BD PPA'!AE:AE,'BD PPA'!U:U,B82,'BD PPA'!AK:AK,$D$4),AVERAGEIFS('BD FRESCOS'!AE:AE,'BD FRESCOS'!U:U,B82,'BD FRESCOS'!AK:AK,$D$4))))),2),""))</f>
        <v/>
      </c>
      <c r="H82" s="77" t="str">
        <f t="shared" si="9"/>
        <v/>
      </c>
      <c r="I82" s="75" t="str" cm="1">
        <f t="array" ref="I82">IF(OR($B$8=0,B82=""),"",IFERROR(IF($D$4="TODOS",IF($B$4="TODOS",INDEX('BD SECOS'!X:X,MATCH(B82,'BD SECOS'!Q:Q,0)),IF($B$4="SECOS",INDEX('BD SECOS'!X:X,MATCH(B82,'BD SECOS'!Q:Q,0)),IF($B$4="PPA",INDEX('BD PPA'!AD:AD,MATCH(B82,'BD PPA'!U:U,0)),INDEX('BD FRESCOS'!AD:AD,MATCH(B82,'BD FRESCOS'!U:U,0))))),IF($B$4="TODOS",IFERROR(INDEX('BD SECOS'!X:X,MATCH(1,('BD SECOS'!Q:Q=B82)*('BD SECOS'!AE:AE=$D$4),0)),IFERROR(INDEX('BD PPA'!AD:AD,MATCH(1,('BD PPA'!U:U=B82)*('BD PPA'!AK:AK=$D$4),0)),INDEX('BD FRESCOS'!AD:AD,MATCH(1,('BD FRESCOS'!U:U=B82)*('BD FRESCOS'!AK:AK=$D$4),0)))),IF($B$4="SECOS",INDEX('BD SECOS'!X:X,MATCH(1,('BD SECOS'!Q:Q=B82)*('BD SECOS'!AE:AE=$D$4),0)),IF($B$4="PPA",INDEX('BD PPA'!AD:AD,MATCH(1,('BD PPA'!U:U=B82)*('BD PPA'!AK:AK=$D$4),0)),INDEX('BD FRESCOS'!AD:AD,MATCH(1,('BD FRESCOS'!U:U=B82)*('BD FRESCOS'!AK:AK=$D$4),0)))))),""))</f>
        <v/>
      </c>
      <c r="J82" s="77" t="str">
        <f t="shared" si="7"/>
        <v/>
      </c>
    </row>
    <row r="83" spans="1:10" x14ac:dyDescent="0.35">
      <c r="A83" s="45" t="str">
        <f>IF(OR($B$8=0,C83="",C83=0),"",45)</f>
        <v/>
      </c>
      <c r="B83" t="str">
        <f>IF($B$8=0,"",IFERROR(IF(INDEX(Distritos!$I$7:$I$66,MATCH(SMALL(Distritos!$J$7:$J$66,45),Distritos!$J$7:$J$66,0))=0,"",INDEX(Distritos!$H$7:$H$66,MATCH(SMALL(Distritos!$J$7:$J$66,45),Distritos!$J$7:$J$66,0))),""))</f>
        <v/>
      </c>
      <c r="C83" s="32" t="str">
        <f>IF($B$8=0,"",IFERROR(IF(INDEX(Distritos!$I$7:$I$66,MATCH(SMALL(Distritos!$J$7:$J$66,45),Distritos!$J$7:$J$66,0))=0,"",INDEX(Distritos!$I$7:$I$66,MATCH(SMALL(Distritos!$J$7:$J$66,45),Distritos!$J$7:$J$66,0))),""))</f>
        <v/>
      </c>
      <c r="D83" s="74" t="str">
        <f t="shared" si="8"/>
        <v/>
      </c>
      <c r="E83" s="69" t="str">
        <f>IF(OR($B$8=0,B83=""),"",IFERROR(ROUND(IF($D$4="TODOS",IF($B$4="TODOS",(SUMIF('BD SECOS'!Q:Q,B83,'BD SECOS'!U:U)+SUMIF('BD PPA'!U:U,B83,'BD PPA'!AA:AA)+SUMIF('BD FRESCOS'!U:U,B83,'BD FRESCOS'!AA:AA))/(COUNTIF('BD SECOS'!Q:Q,B83)+COUNTIF('BD PPA'!U:U,B83)+COUNTIF('BD FRESCOS'!U:U,B83)),IF($B$4="SECOS",AVERAGEIF('BD SECOS'!Q:Q,B83,'BD SECOS'!U:U),IF($B$4="PPA",AVERAGEIF('BD PPA'!U:U,B83,'BD PPA'!AA:AA),AVERAGEIF('BD FRESCOS'!U:U,B83,'BD FRESCOS'!AA:AA)))),IF($B$4="TODOS",(SUMIFS('BD SECOS'!U:U,'BD SECOS'!Q:Q,B83,'BD SECOS'!AE:AE,$D$4)+SUMIFS('BD PPA'!AA:AA,'BD PPA'!U:U,B83,'BD PPA'!AK:AK,$D$4)+SUMIFS('BD FRESCOS'!AA:AA,'BD FRESCOS'!U:U,B83,'BD FRESCOS'!AK:AK,$D$4))/(COUNTIFS('BD SECOS'!Q:Q,B83,'BD SECOS'!AE:AE,$D$4)+COUNTIFS('BD PPA'!U:U,B83,'BD PPA'!AK:AK,$D$4)+COUNTIFS('BD FRESCOS'!U:U,B83,'BD FRESCOS'!AK:AK,$D$4)),IF($B$4="SECOS",AVERAGEIFS('BD SECOS'!U:U,'BD SECOS'!Q:Q,B83,'BD SECOS'!AE:AE,$D$4),IF($B$4="PPA",AVERAGEIFS('BD PPA'!AA:AA,'BD PPA'!U:U,B83,'BD PPA'!AK:AK,$D$4),AVERAGEIFS('BD FRESCOS'!AA:AA,'BD FRESCOS'!U:U,B83,'BD FRESCOS'!AK:AK,$D$4))))),2),""))</f>
        <v/>
      </c>
      <c r="F83" s="75" t="str">
        <f t="shared" si="5"/>
        <v/>
      </c>
      <c r="G83" s="69" t="str">
        <f>IF(OR($B$8=0,B83=""),"",IFERROR(ROUND(IF($D$4="TODOS",IF($B$4="TODOS",(SUMIF('BD SECOS'!Q:Q,B83,'BD SECOS'!Y:Y)+SUMIF('BD PPA'!U:U,B83,'BD PPA'!AE:AE)+SUMIF('BD FRESCOS'!U:U,B83,'BD FRESCOS'!AE:AE))/(COUNTIF('BD SECOS'!Q:Q,B83)+COUNTIF('BD PPA'!U:U,B83)+COUNTIF('BD FRESCOS'!U:U,B83)),IF($B$4="SECOS",AVERAGEIF('BD SECOS'!Q:Q,B83,'BD SECOS'!Y:Y),IF($B$4="PPA",AVERAGEIF('BD PPA'!U:U,B83,'BD PPA'!AE:AE),AVERAGEIF('BD FRESCOS'!U:U,B83,'BD FRESCOS'!AE:AE)))),IF($B$4="TODOS",(SUMIFS('BD SECOS'!Y:Y,'BD SECOS'!Q:Q,B83,'BD SECOS'!AE:AE,$D$4)+SUMIFS('BD PPA'!AE:AE,'BD PPA'!U:U,B83,'BD PPA'!AK:AK,$D$4)+SUMIFS('BD FRESCOS'!AE:AE,'BD FRESCOS'!U:U,B83,'BD FRESCOS'!AK:AK,$D$4))/(COUNTIFS('BD SECOS'!Q:Q,B83,'BD SECOS'!AE:AE,$D$4)+COUNTIFS('BD PPA'!U:U,B83,'BD PPA'!AK:AK,$D$4)+COUNTIFS('BD FRESCOS'!U:U,B83,'BD FRESCOS'!AK:AK,$D$4)),IF($B$4="SECOS",AVERAGEIFS('BD SECOS'!Y:Y,'BD SECOS'!Q:Q,B83,'BD SECOS'!AE:AE,$D$4),IF($B$4="PPA",AVERAGEIFS('BD PPA'!AE:AE,'BD PPA'!U:U,B83,'BD PPA'!AK:AK,$D$4),AVERAGEIFS('BD FRESCOS'!AE:AE,'BD FRESCOS'!U:U,B83,'BD FRESCOS'!AK:AK,$D$4))))),2),""))</f>
        <v/>
      </c>
      <c r="H83" s="77" t="str">
        <f t="shared" si="9"/>
        <v/>
      </c>
      <c r="I83" s="75" t="str" cm="1">
        <f t="array" ref="I83">IF(OR($B$8=0,B83=""),"",IFERROR(IF($D$4="TODOS",IF($B$4="TODOS",INDEX('BD SECOS'!X:X,MATCH(B83,'BD SECOS'!Q:Q,0)),IF($B$4="SECOS",INDEX('BD SECOS'!X:X,MATCH(B83,'BD SECOS'!Q:Q,0)),IF($B$4="PPA",INDEX('BD PPA'!AD:AD,MATCH(B83,'BD PPA'!U:U,0)),INDEX('BD FRESCOS'!AD:AD,MATCH(B83,'BD FRESCOS'!U:U,0))))),IF($B$4="TODOS",IFERROR(INDEX('BD SECOS'!X:X,MATCH(1,('BD SECOS'!Q:Q=B83)*('BD SECOS'!AE:AE=$D$4),0)),IFERROR(INDEX('BD PPA'!AD:AD,MATCH(1,('BD PPA'!U:U=B83)*('BD PPA'!AK:AK=$D$4),0)),INDEX('BD FRESCOS'!AD:AD,MATCH(1,('BD FRESCOS'!U:U=B83)*('BD FRESCOS'!AK:AK=$D$4),0)))),IF($B$4="SECOS",INDEX('BD SECOS'!X:X,MATCH(1,('BD SECOS'!Q:Q=B83)*('BD SECOS'!AE:AE=$D$4),0)),IF($B$4="PPA",INDEX('BD PPA'!AD:AD,MATCH(1,('BD PPA'!U:U=B83)*('BD PPA'!AK:AK=$D$4),0)),INDEX('BD FRESCOS'!AD:AD,MATCH(1,('BD FRESCOS'!U:U=B83)*('BD FRESCOS'!AK:AK=$D$4),0)))))),""))</f>
        <v/>
      </c>
      <c r="J83" s="77" t="str">
        <f t="shared" si="7"/>
        <v/>
      </c>
    </row>
    <row r="84" spans="1:10" x14ac:dyDescent="0.35">
      <c r="A84" s="45" t="str">
        <f>IF(OR($B$8=0,C84="",C84=0),"",46)</f>
        <v/>
      </c>
      <c r="B84" t="str">
        <f>IF($B$8=0,"",IFERROR(IF(INDEX(Distritos!$I$7:$I$66,MATCH(SMALL(Distritos!$J$7:$J$66,46),Distritos!$J$7:$J$66,0))=0,"",INDEX(Distritos!$H$7:$H$66,MATCH(SMALL(Distritos!$J$7:$J$66,46),Distritos!$J$7:$J$66,0))),""))</f>
        <v/>
      </c>
      <c r="C84" s="32" t="str">
        <f>IF($B$8=0,"",IFERROR(IF(INDEX(Distritos!$I$7:$I$66,MATCH(SMALL(Distritos!$J$7:$J$66,46),Distritos!$J$7:$J$66,0))=0,"",INDEX(Distritos!$I$7:$I$66,MATCH(SMALL(Distritos!$J$7:$J$66,46),Distritos!$J$7:$J$66,0))),""))</f>
        <v/>
      </c>
      <c r="D84" s="74" t="str">
        <f t="shared" si="8"/>
        <v/>
      </c>
      <c r="E84" s="69" t="str">
        <f>IF(OR($B$8=0,B84=""),"",IFERROR(ROUND(IF($D$4="TODOS",IF($B$4="TODOS",(SUMIF('BD SECOS'!Q:Q,B84,'BD SECOS'!U:U)+SUMIF('BD PPA'!U:U,B84,'BD PPA'!AA:AA)+SUMIF('BD FRESCOS'!U:U,B84,'BD FRESCOS'!AA:AA))/(COUNTIF('BD SECOS'!Q:Q,B84)+COUNTIF('BD PPA'!U:U,B84)+COUNTIF('BD FRESCOS'!U:U,B84)),IF($B$4="SECOS",AVERAGEIF('BD SECOS'!Q:Q,B84,'BD SECOS'!U:U),IF($B$4="PPA",AVERAGEIF('BD PPA'!U:U,B84,'BD PPA'!AA:AA),AVERAGEIF('BD FRESCOS'!U:U,B84,'BD FRESCOS'!AA:AA)))),IF($B$4="TODOS",(SUMIFS('BD SECOS'!U:U,'BD SECOS'!Q:Q,B84,'BD SECOS'!AE:AE,$D$4)+SUMIFS('BD PPA'!AA:AA,'BD PPA'!U:U,B84,'BD PPA'!AK:AK,$D$4)+SUMIFS('BD FRESCOS'!AA:AA,'BD FRESCOS'!U:U,B84,'BD FRESCOS'!AK:AK,$D$4))/(COUNTIFS('BD SECOS'!Q:Q,B84,'BD SECOS'!AE:AE,$D$4)+COUNTIFS('BD PPA'!U:U,B84,'BD PPA'!AK:AK,$D$4)+COUNTIFS('BD FRESCOS'!U:U,B84,'BD FRESCOS'!AK:AK,$D$4)),IF($B$4="SECOS",AVERAGEIFS('BD SECOS'!U:U,'BD SECOS'!Q:Q,B84,'BD SECOS'!AE:AE,$D$4),IF($B$4="PPA",AVERAGEIFS('BD PPA'!AA:AA,'BD PPA'!U:U,B84,'BD PPA'!AK:AK,$D$4),AVERAGEIFS('BD FRESCOS'!AA:AA,'BD FRESCOS'!U:U,B84,'BD FRESCOS'!AK:AK,$D$4))))),2),""))</f>
        <v/>
      </c>
      <c r="F84" s="75" t="str">
        <f t="shared" si="5"/>
        <v/>
      </c>
      <c r="G84" s="69" t="str">
        <f>IF(OR($B$8=0,B84=""),"",IFERROR(ROUND(IF($D$4="TODOS",IF($B$4="TODOS",(SUMIF('BD SECOS'!Q:Q,B84,'BD SECOS'!Y:Y)+SUMIF('BD PPA'!U:U,B84,'BD PPA'!AE:AE)+SUMIF('BD FRESCOS'!U:U,B84,'BD FRESCOS'!AE:AE))/(COUNTIF('BD SECOS'!Q:Q,B84)+COUNTIF('BD PPA'!U:U,B84)+COUNTIF('BD FRESCOS'!U:U,B84)),IF($B$4="SECOS",AVERAGEIF('BD SECOS'!Q:Q,B84,'BD SECOS'!Y:Y),IF($B$4="PPA",AVERAGEIF('BD PPA'!U:U,B84,'BD PPA'!AE:AE),AVERAGEIF('BD FRESCOS'!U:U,B84,'BD FRESCOS'!AE:AE)))),IF($B$4="TODOS",(SUMIFS('BD SECOS'!Y:Y,'BD SECOS'!Q:Q,B84,'BD SECOS'!AE:AE,$D$4)+SUMIFS('BD PPA'!AE:AE,'BD PPA'!U:U,B84,'BD PPA'!AK:AK,$D$4)+SUMIFS('BD FRESCOS'!AE:AE,'BD FRESCOS'!U:U,B84,'BD FRESCOS'!AK:AK,$D$4))/(COUNTIFS('BD SECOS'!Q:Q,B84,'BD SECOS'!AE:AE,$D$4)+COUNTIFS('BD PPA'!U:U,B84,'BD PPA'!AK:AK,$D$4)+COUNTIFS('BD FRESCOS'!U:U,B84,'BD FRESCOS'!AK:AK,$D$4)),IF($B$4="SECOS",AVERAGEIFS('BD SECOS'!Y:Y,'BD SECOS'!Q:Q,B84,'BD SECOS'!AE:AE,$D$4),IF($B$4="PPA",AVERAGEIFS('BD PPA'!AE:AE,'BD PPA'!U:U,B84,'BD PPA'!AK:AK,$D$4),AVERAGEIFS('BD FRESCOS'!AE:AE,'BD FRESCOS'!U:U,B84,'BD FRESCOS'!AK:AK,$D$4))))),2),""))</f>
        <v/>
      </c>
      <c r="H84" s="77" t="str">
        <f t="shared" si="9"/>
        <v/>
      </c>
      <c r="I84" s="75" t="str" cm="1">
        <f t="array" ref="I84">IF(OR($B$8=0,B84=""),"",IFERROR(IF($D$4="TODOS",IF($B$4="TODOS",INDEX('BD SECOS'!X:X,MATCH(B84,'BD SECOS'!Q:Q,0)),IF($B$4="SECOS",INDEX('BD SECOS'!X:X,MATCH(B84,'BD SECOS'!Q:Q,0)),IF($B$4="PPA",INDEX('BD PPA'!AD:AD,MATCH(B84,'BD PPA'!U:U,0)),INDEX('BD FRESCOS'!AD:AD,MATCH(B84,'BD FRESCOS'!U:U,0))))),IF($B$4="TODOS",IFERROR(INDEX('BD SECOS'!X:X,MATCH(1,('BD SECOS'!Q:Q=B84)*('BD SECOS'!AE:AE=$D$4),0)),IFERROR(INDEX('BD PPA'!AD:AD,MATCH(1,('BD PPA'!U:U=B84)*('BD PPA'!AK:AK=$D$4),0)),INDEX('BD FRESCOS'!AD:AD,MATCH(1,('BD FRESCOS'!U:U=B84)*('BD FRESCOS'!AK:AK=$D$4),0)))),IF($B$4="SECOS",INDEX('BD SECOS'!X:X,MATCH(1,('BD SECOS'!Q:Q=B84)*('BD SECOS'!AE:AE=$D$4),0)),IF($B$4="PPA",INDEX('BD PPA'!AD:AD,MATCH(1,('BD PPA'!U:U=B84)*('BD PPA'!AK:AK=$D$4),0)),INDEX('BD FRESCOS'!AD:AD,MATCH(1,('BD FRESCOS'!U:U=B84)*('BD FRESCOS'!AK:AK=$D$4),0)))))),""))</f>
        <v/>
      </c>
      <c r="J84" s="77" t="str">
        <f t="shared" si="7"/>
        <v/>
      </c>
    </row>
    <row r="85" spans="1:10" x14ac:dyDescent="0.35">
      <c r="A85" s="45" t="str">
        <f>IF(OR($B$8=0,C85="",C85=0),"",47)</f>
        <v/>
      </c>
      <c r="B85" t="str">
        <f>IF($B$8=0,"",IFERROR(IF(INDEX(Distritos!$I$7:$I$66,MATCH(SMALL(Distritos!$J$7:$J$66,47),Distritos!$J$7:$J$66,0))=0,"",INDEX(Distritos!$H$7:$H$66,MATCH(SMALL(Distritos!$J$7:$J$66,47),Distritos!$J$7:$J$66,0))),""))</f>
        <v/>
      </c>
      <c r="C85" s="32" t="str">
        <f>IF($B$8=0,"",IFERROR(IF(INDEX(Distritos!$I$7:$I$66,MATCH(SMALL(Distritos!$J$7:$J$66,47),Distritos!$J$7:$J$66,0))=0,"",INDEX(Distritos!$I$7:$I$66,MATCH(SMALL(Distritos!$J$7:$J$66,47),Distritos!$J$7:$J$66,0))),""))</f>
        <v/>
      </c>
      <c r="D85" s="74" t="str">
        <f t="shared" si="8"/>
        <v/>
      </c>
      <c r="E85" s="69" t="str">
        <f>IF(OR($B$8=0,B85=""),"",IFERROR(ROUND(IF($D$4="TODOS",IF($B$4="TODOS",(SUMIF('BD SECOS'!Q:Q,B85,'BD SECOS'!U:U)+SUMIF('BD PPA'!U:U,B85,'BD PPA'!AA:AA)+SUMIF('BD FRESCOS'!U:U,B85,'BD FRESCOS'!AA:AA))/(COUNTIF('BD SECOS'!Q:Q,B85)+COUNTIF('BD PPA'!U:U,B85)+COUNTIF('BD FRESCOS'!U:U,B85)),IF($B$4="SECOS",AVERAGEIF('BD SECOS'!Q:Q,B85,'BD SECOS'!U:U),IF($B$4="PPA",AVERAGEIF('BD PPA'!U:U,B85,'BD PPA'!AA:AA),AVERAGEIF('BD FRESCOS'!U:U,B85,'BD FRESCOS'!AA:AA)))),IF($B$4="TODOS",(SUMIFS('BD SECOS'!U:U,'BD SECOS'!Q:Q,B85,'BD SECOS'!AE:AE,$D$4)+SUMIFS('BD PPA'!AA:AA,'BD PPA'!U:U,B85,'BD PPA'!AK:AK,$D$4)+SUMIFS('BD FRESCOS'!AA:AA,'BD FRESCOS'!U:U,B85,'BD FRESCOS'!AK:AK,$D$4))/(COUNTIFS('BD SECOS'!Q:Q,B85,'BD SECOS'!AE:AE,$D$4)+COUNTIFS('BD PPA'!U:U,B85,'BD PPA'!AK:AK,$D$4)+COUNTIFS('BD FRESCOS'!U:U,B85,'BD FRESCOS'!AK:AK,$D$4)),IF($B$4="SECOS",AVERAGEIFS('BD SECOS'!U:U,'BD SECOS'!Q:Q,B85,'BD SECOS'!AE:AE,$D$4),IF($B$4="PPA",AVERAGEIFS('BD PPA'!AA:AA,'BD PPA'!U:U,B85,'BD PPA'!AK:AK,$D$4),AVERAGEIFS('BD FRESCOS'!AA:AA,'BD FRESCOS'!U:U,B85,'BD FRESCOS'!AK:AK,$D$4))))),2),""))</f>
        <v/>
      </c>
      <c r="F85" s="75" t="str">
        <f t="shared" si="5"/>
        <v/>
      </c>
      <c r="G85" s="69" t="str">
        <f>IF(OR($B$8=0,B85=""),"",IFERROR(ROUND(IF($D$4="TODOS",IF($B$4="TODOS",(SUMIF('BD SECOS'!Q:Q,B85,'BD SECOS'!Y:Y)+SUMIF('BD PPA'!U:U,B85,'BD PPA'!AE:AE)+SUMIF('BD FRESCOS'!U:U,B85,'BD FRESCOS'!AE:AE))/(COUNTIF('BD SECOS'!Q:Q,B85)+COUNTIF('BD PPA'!U:U,B85)+COUNTIF('BD FRESCOS'!U:U,B85)),IF($B$4="SECOS",AVERAGEIF('BD SECOS'!Q:Q,B85,'BD SECOS'!Y:Y),IF($B$4="PPA",AVERAGEIF('BD PPA'!U:U,B85,'BD PPA'!AE:AE),AVERAGEIF('BD FRESCOS'!U:U,B85,'BD FRESCOS'!AE:AE)))),IF($B$4="TODOS",(SUMIFS('BD SECOS'!Y:Y,'BD SECOS'!Q:Q,B85,'BD SECOS'!AE:AE,$D$4)+SUMIFS('BD PPA'!AE:AE,'BD PPA'!U:U,B85,'BD PPA'!AK:AK,$D$4)+SUMIFS('BD FRESCOS'!AE:AE,'BD FRESCOS'!U:U,B85,'BD FRESCOS'!AK:AK,$D$4))/(COUNTIFS('BD SECOS'!Q:Q,B85,'BD SECOS'!AE:AE,$D$4)+COUNTIFS('BD PPA'!U:U,B85,'BD PPA'!AK:AK,$D$4)+COUNTIFS('BD FRESCOS'!U:U,B85,'BD FRESCOS'!AK:AK,$D$4)),IF($B$4="SECOS",AVERAGEIFS('BD SECOS'!Y:Y,'BD SECOS'!Q:Q,B85,'BD SECOS'!AE:AE,$D$4),IF($B$4="PPA",AVERAGEIFS('BD PPA'!AE:AE,'BD PPA'!U:U,B85,'BD PPA'!AK:AK,$D$4),AVERAGEIFS('BD FRESCOS'!AE:AE,'BD FRESCOS'!U:U,B85,'BD FRESCOS'!AK:AK,$D$4))))),2),""))</f>
        <v/>
      </c>
      <c r="H85" s="77" t="str">
        <f t="shared" si="9"/>
        <v/>
      </c>
      <c r="I85" s="75" t="str" cm="1">
        <f t="array" ref="I85">IF(OR($B$8=0,B85=""),"",IFERROR(IF($D$4="TODOS",IF($B$4="TODOS",INDEX('BD SECOS'!X:X,MATCH(B85,'BD SECOS'!Q:Q,0)),IF($B$4="SECOS",INDEX('BD SECOS'!X:X,MATCH(B85,'BD SECOS'!Q:Q,0)),IF($B$4="PPA",INDEX('BD PPA'!AD:AD,MATCH(B85,'BD PPA'!U:U,0)),INDEX('BD FRESCOS'!AD:AD,MATCH(B85,'BD FRESCOS'!U:U,0))))),IF($B$4="TODOS",IFERROR(INDEX('BD SECOS'!X:X,MATCH(1,('BD SECOS'!Q:Q=B85)*('BD SECOS'!AE:AE=$D$4),0)),IFERROR(INDEX('BD PPA'!AD:AD,MATCH(1,('BD PPA'!U:U=B85)*('BD PPA'!AK:AK=$D$4),0)),INDEX('BD FRESCOS'!AD:AD,MATCH(1,('BD FRESCOS'!U:U=B85)*('BD FRESCOS'!AK:AK=$D$4),0)))),IF($B$4="SECOS",INDEX('BD SECOS'!X:X,MATCH(1,('BD SECOS'!Q:Q=B85)*('BD SECOS'!AE:AE=$D$4),0)),IF($B$4="PPA",INDEX('BD PPA'!AD:AD,MATCH(1,('BD PPA'!U:U=B85)*('BD PPA'!AK:AK=$D$4),0)),INDEX('BD FRESCOS'!AD:AD,MATCH(1,('BD FRESCOS'!U:U=B85)*('BD FRESCOS'!AK:AK=$D$4),0)))))),""))</f>
        <v/>
      </c>
      <c r="J85" s="77" t="str">
        <f t="shared" si="7"/>
        <v/>
      </c>
    </row>
    <row r="86" spans="1:10" x14ac:dyDescent="0.35">
      <c r="A86" t="str">
        <f>IF(OR($B$8=0,C86="",C86=0),"",48)</f>
        <v/>
      </c>
      <c r="B86" t="str">
        <f>IF($B$8=0,"",IFERROR(IF(INDEX(Distritos!$I$7:$I$66,MATCH(SMALL(Distritos!$J$7:$J$66,48),Distritos!$J$7:$J$66,0))=0,"",INDEX(Distritos!$H$7:$H$66,MATCH(SMALL(Distritos!$J$7:$J$66,48),Distritos!$J$7:$J$66,0))),""))</f>
        <v/>
      </c>
      <c r="C86" s="32" t="str">
        <f>IF($B$8=0,"",IFERROR(IF(INDEX(Distritos!$I$7:$I$66,MATCH(SMALL(Distritos!$J$7:$J$66,48),Distritos!$J$7:$J$66,0))=0,"",INDEX(Distritos!$I$7:$I$66,MATCH(SMALL(Distritos!$J$7:$J$66,48),Distritos!$J$7:$J$66,0))),""))</f>
        <v/>
      </c>
      <c r="D86" s="74" t="str">
        <f t="shared" si="8"/>
        <v/>
      </c>
      <c r="E86" s="69" t="str">
        <f>IF(OR($B$8=0,B86=""),"",IFERROR(ROUND(IF($D$4="TODOS",IF($B$4="TODOS",(SUMIF('BD SECOS'!Q:Q,B86,'BD SECOS'!U:U)+SUMIF('BD PPA'!U:U,B86,'BD PPA'!AA:AA)+SUMIF('BD FRESCOS'!U:U,B86,'BD FRESCOS'!AA:AA))/(COUNTIF('BD SECOS'!Q:Q,B86)+COUNTIF('BD PPA'!U:U,B86)+COUNTIF('BD FRESCOS'!U:U,B86)),IF($B$4="SECOS",AVERAGEIF('BD SECOS'!Q:Q,B86,'BD SECOS'!U:U),IF($B$4="PPA",AVERAGEIF('BD PPA'!U:U,B86,'BD PPA'!AA:AA),AVERAGEIF('BD FRESCOS'!U:U,B86,'BD FRESCOS'!AA:AA)))),IF($B$4="TODOS",(SUMIFS('BD SECOS'!U:U,'BD SECOS'!Q:Q,B86,'BD SECOS'!AE:AE,$D$4)+SUMIFS('BD PPA'!AA:AA,'BD PPA'!U:U,B86,'BD PPA'!AK:AK,$D$4)+SUMIFS('BD FRESCOS'!AA:AA,'BD FRESCOS'!U:U,B86,'BD FRESCOS'!AK:AK,$D$4))/(COUNTIFS('BD SECOS'!Q:Q,B86,'BD SECOS'!AE:AE,$D$4)+COUNTIFS('BD PPA'!U:U,B86,'BD PPA'!AK:AK,$D$4)+COUNTIFS('BD FRESCOS'!U:U,B86,'BD FRESCOS'!AK:AK,$D$4)),IF($B$4="SECOS",AVERAGEIFS('BD SECOS'!U:U,'BD SECOS'!Q:Q,B86,'BD SECOS'!AE:AE,$D$4),IF($B$4="PPA",AVERAGEIFS('BD PPA'!AA:AA,'BD PPA'!U:U,B86,'BD PPA'!AK:AK,$D$4),AVERAGEIFS('BD FRESCOS'!AA:AA,'BD FRESCOS'!U:U,B86,'BD FRESCOS'!AK:AK,$D$4))))),2),""))</f>
        <v/>
      </c>
      <c r="F86" s="75" t="str">
        <f t="shared" si="5"/>
        <v/>
      </c>
      <c r="G86" s="69" t="str">
        <f>IF(OR($B$8=0,B86=""),"",IFERROR(ROUND(IF($D$4="TODOS",IF($B$4="TODOS",(SUMIF('BD SECOS'!Q:Q,B86,'BD SECOS'!Y:Y)+SUMIF('BD PPA'!U:U,B86,'BD PPA'!AE:AE)+SUMIF('BD FRESCOS'!U:U,B86,'BD FRESCOS'!AE:AE))/(COUNTIF('BD SECOS'!Q:Q,B86)+COUNTIF('BD PPA'!U:U,B86)+COUNTIF('BD FRESCOS'!U:U,B86)),IF($B$4="SECOS",AVERAGEIF('BD SECOS'!Q:Q,B86,'BD SECOS'!Y:Y),IF($B$4="PPA",AVERAGEIF('BD PPA'!U:U,B86,'BD PPA'!AE:AE),AVERAGEIF('BD FRESCOS'!U:U,B86,'BD FRESCOS'!AE:AE)))),IF($B$4="TODOS",(SUMIFS('BD SECOS'!Y:Y,'BD SECOS'!Q:Q,B86,'BD SECOS'!AE:AE,$D$4)+SUMIFS('BD PPA'!AE:AE,'BD PPA'!U:U,B86,'BD PPA'!AK:AK,$D$4)+SUMIFS('BD FRESCOS'!AE:AE,'BD FRESCOS'!U:U,B86,'BD FRESCOS'!AK:AK,$D$4))/(COUNTIFS('BD SECOS'!Q:Q,B86,'BD SECOS'!AE:AE,$D$4)+COUNTIFS('BD PPA'!U:U,B86,'BD PPA'!AK:AK,$D$4)+COUNTIFS('BD FRESCOS'!U:U,B86,'BD FRESCOS'!AK:AK,$D$4)),IF($B$4="SECOS",AVERAGEIFS('BD SECOS'!Y:Y,'BD SECOS'!Q:Q,B86,'BD SECOS'!AE:AE,$D$4),IF($B$4="PPA",AVERAGEIFS('BD PPA'!AE:AE,'BD PPA'!U:U,B86,'BD PPA'!AK:AK,$D$4),AVERAGEIFS('BD FRESCOS'!AE:AE,'BD FRESCOS'!U:U,B86,'BD FRESCOS'!AK:AK,$D$4))))),2),""))</f>
        <v/>
      </c>
      <c r="H86" s="77" t="str">
        <f t="shared" si="9"/>
        <v/>
      </c>
      <c r="I86" s="75" t="str" cm="1">
        <f t="array" ref="I86">IF(OR($B$8=0,B86=""),"",IFERROR(IF($D$4="TODOS",IF($B$4="TODOS",INDEX('BD SECOS'!X:X,MATCH(B86,'BD SECOS'!Q:Q,0)),IF($B$4="SECOS",INDEX('BD SECOS'!X:X,MATCH(B86,'BD SECOS'!Q:Q,0)),IF($B$4="PPA",INDEX('BD PPA'!AD:AD,MATCH(B86,'BD PPA'!U:U,0)),INDEX('BD FRESCOS'!AD:AD,MATCH(B86,'BD FRESCOS'!U:U,0))))),IF($B$4="TODOS",IFERROR(INDEX('BD SECOS'!X:X,MATCH(1,('BD SECOS'!Q:Q=B86)*('BD SECOS'!AE:AE=$D$4),0)),IFERROR(INDEX('BD PPA'!AD:AD,MATCH(1,('BD PPA'!U:U=B86)*('BD PPA'!AK:AK=$D$4),0)),INDEX('BD FRESCOS'!AD:AD,MATCH(1,('BD FRESCOS'!U:U=B86)*('BD FRESCOS'!AK:AK=$D$4),0)))),IF($B$4="SECOS",INDEX('BD SECOS'!X:X,MATCH(1,('BD SECOS'!Q:Q=B86)*('BD SECOS'!AE:AE=$D$4),0)),IF($B$4="PPA",INDEX('BD PPA'!AD:AD,MATCH(1,('BD PPA'!U:U=B86)*('BD PPA'!AK:AK=$D$4),0)),INDEX('BD FRESCOS'!AD:AD,MATCH(1,('BD FRESCOS'!U:U=B86)*('BD FRESCOS'!AK:AK=$D$4),0)))))),""))</f>
        <v/>
      </c>
      <c r="J86" s="77" t="str">
        <f t="shared" si="7"/>
        <v/>
      </c>
    </row>
    <row r="87" spans="1:10" x14ac:dyDescent="0.35">
      <c r="A87" t="str">
        <f>IF(OR($B$8=0,C87="",C87=0),"",49)</f>
        <v/>
      </c>
      <c r="B87" t="str">
        <f>IF($B$8=0,"",IFERROR(IF(INDEX(Distritos!$I$7:$I$66,MATCH(SMALL(Distritos!$J$7:$J$66,49),Distritos!$J$7:$J$66,0))=0,"",INDEX(Distritos!$H$7:$H$66,MATCH(SMALL(Distritos!$J$7:$J$66,49),Distritos!$J$7:$J$66,0))),""))</f>
        <v/>
      </c>
      <c r="C87" s="32" t="str">
        <f>IF($B$8=0,"",IFERROR(IF(INDEX(Distritos!$I$7:$I$66,MATCH(SMALL(Distritos!$J$7:$J$66,49),Distritos!$J$7:$J$66,0))=0,"",INDEX(Distritos!$I$7:$I$66,MATCH(SMALL(Distritos!$J$7:$J$66,49),Distritos!$J$7:$J$66,0))),""))</f>
        <v/>
      </c>
      <c r="D87" s="74" t="str">
        <f t="shared" si="8"/>
        <v/>
      </c>
      <c r="E87" s="69" t="str">
        <f>IF(OR($B$8=0,B87=""),"",IFERROR(ROUND(IF($D$4="TODOS",IF($B$4="TODOS",(SUMIF('BD SECOS'!Q:Q,B87,'BD SECOS'!U:U)+SUMIF('BD PPA'!U:U,B87,'BD PPA'!AA:AA)+SUMIF('BD FRESCOS'!U:U,B87,'BD FRESCOS'!AA:AA))/(COUNTIF('BD SECOS'!Q:Q,B87)+COUNTIF('BD PPA'!U:U,B87)+COUNTIF('BD FRESCOS'!U:U,B87)),IF($B$4="SECOS",AVERAGEIF('BD SECOS'!Q:Q,B87,'BD SECOS'!U:U),IF($B$4="PPA",AVERAGEIF('BD PPA'!U:U,B87,'BD PPA'!AA:AA),AVERAGEIF('BD FRESCOS'!U:U,B87,'BD FRESCOS'!AA:AA)))),IF($B$4="TODOS",(SUMIFS('BD SECOS'!U:U,'BD SECOS'!Q:Q,B87,'BD SECOS'!AE:AE,$D$4)+SUMIFS('BD PPA'!AA:AA,'BD PPA'!U:U,B87,'BD PPA'!AK:AK,$D$4)+SUMIFS('BD FRESCOS'!AA:AA,'BD FRESCOS'!U:U,B87,'BD FRESCOS'!AK:AK,$D$4))/(COUNTIFS('BD SECOS'!Q:Q,B87,'BD SECOS'!AE:AE,$D$4)+COUNTIFS('BD PPA'!U:U,B87,'BD PPA'!AK:AK,$D$4)+COUNTIFS('BD FRESCOS'!U:U,B87,'BD FRESCOS'!AK:AK,$D$4)),IF($B$4="SECOS",AVERAGEIFS('BD SECOS'!U:U,'BD SECOS'!Q:Q,B87,'BD SECOS'!AE:AE,$D$4),IF($B$4="PPA",AVERAGEIFS('BD PPA'!AA:AA,'BD PPA'!U:U,B87,'BD PPA'!AK:AK,$D$4),AVERAGEIFS('BD FRESCOS'!AA:AA,'BD FRESCOS'!U:U,B87,'BD FRESCOS'!AK:AK,$D$4))))),2),""))</f>
        <v/>
      </c>
      <c r="F87" s="75" t="str">
        <f t="shared" si="5"/>
        <v/>
      </c>
      <c r="G87" s="69" t="str">
        <f>IF(OR($B$8=0,B87=""),"",IFERROR(ROUND(IF($D$4="TODOS",IF($B$4="TODOS",(SUMIF('BD SECOS'!Q:Q,B87,'BD SECOS'!Y:Y)+SUMIF('BD PPA'!U:U,B87,'BD PPA'!AE:AE)+SUMIF('BD FRESCOS'!U:U,B87,'BD FRESCOS'!AE:AE))/(COUNTIF('BD SECOS'!Q:Q,B87)+COUNTIF('BD PPA'!U:U,B87)+COUNTIF('BD FRESCOS'!U:U,B87)),IF($B$4="SECOS",AVERAGEIF('BD SECOS'!Q:Q,B87,'BD SECOS'!Y:Y),IF($B$4="PPA",AVERAGEIF('BD PPA'!U:U,B87,'BD PPA'!AE:AE),AVERAGEIF('BD FRESCOS'!U:U,B87,'BD FRESCOS'!AE:AE)))),IF($B$4="TODOS",(SUMIFS('BD SECOS'!Y:Y,'BD SECOS'!Q:Q,B87,'BD SECOS'!AE:AE,$D$4)+SUMIFS('BD PPA'!AE:AE,'BD PPA'!U:U,B87,'BD PPA'!AK:AK,$D$4)+SUMIFS('BD FRESCOS'!AE:AE,'BD FRESCOS'!U:U,B87,'BD FRESCOS'!AK:AK,$D$4))/(COUNTIFS('BD SECOS'!Q:Q,B87,'BD SECOS'!AE:AE,$D$4)+COUNTIFS('BD PPA'!U:U,B87,'BD PPA'!AK:AK,$D$4)+COUNTIFS('BD FRESCOS'!U:U,B87,'BD FRESCOS'!AK:AK,$D$4)),IF($B$4="SECOS",AVERAGEIFS('BD SECOS'!Y:Y,'BD SECOS'!Q:Q,B87,'BD SECOS'!AE:AE,$D$4),IF($B$4="PPA",AVERAGEIFS('BD PPA'!AE:AE,'BD PPA'!U:U,B87,'BD PPA'!AK:AK,$D$4),AVERAGEIFS('BD FRESCOS'!AE:AE,'BD FRESCOS'!U:U,B87,'BD FRESCOS'!AK:AK,$D$4))))),2),""))</f>
        <v/>
      </c>
      <c r="H87" s="77" t="str">
        <f t="shared" si="9"/>
        <v/>
      </c>
      <c r="I87" s="75" t="str" cm="1">
        <f t="array" ref="I87">IF(OR($B$8=0,B87=""),"",IFERROR(IF($D$4="TODOS",IF($B$4="TODOS",INDEX('BD SECOS'!X:X,MATCH(B87,'BD SECOS'!Q:Q,0)),IF($B$4="SECOS",INDEX('BD SECOS'!X:X,MATCH(B87,'BD SECOS'!Q:Q,0)),IF($B$4="PPA",INDEX('BD PPA'!AD:AD,MATCH(B87,'BD PPA'!U:U,0)),INDEX('BD FRESCOS'!AD:AD,MATCH(B87,'BD FRESCOS'!U:U,0))))),IF($B$4="TODOS",IFERROR(INDEX('BD SECOS'!X:X,MATCH(1,('BD SECOS'!Q:Q=B87)*('BD SECOS'!AE:AE=$D$4),0)),IFERROR(INDEX('BD PPA'!AD:AD,MATCH(1,('BD PPA'!U:U=B87)*('BD PPA'!AK:AK=$D$4),0)),INDEX('BD FRESCOS'!AD:AD,MATCH(1,('BD FRESCOS'!U:U=B87)*('BD FRESCOS'!AK:AK=$D$4),0)))),IF($B$4="SECOS",INDEX('BD SECOS'!X:X,MATCH(1,('BD SECOS'!Q:Q=B87)*('BD SECOS'!AE:AE=$D$4),0)),IF($B$4="PPA",INDEX('BD PPA'!AD:AD,MATCH(1,('BD PPA'!U:U=B87)*('BD PPA'!AK:AK=$D$4),0)),INDEX('BD FRESCOS'!AD:AD,MATCH(1,('BD FRESCOS'!U:U=B87)*('BD FRESCOS'!AK:AK=$D$4),0)))))),""))</f>
        <v/>
      </c>
      <c r="J87" s="77" t="str">
        <f t="shared" si="7"/>
        <v/>
      </c>
    </row>
    <row r="88" spans="1:10" x14ac:dyDescent="0.35">
      <c r="A88" t="str">
        <f>IF(OR($B$8=0,C88="",C88=0),"",50)</f>
        <v/>
      </c>
      <c r="B88" t="str">
        <f>IF($B$8=0,"",IFERROR(IF(INDEX(Distritos!$I$7:$I$66,MATCH(SMALL(Distritos!$J$7:$J$66,50),Distritos!$J$7:$J$66,0))=0,"",INDEX(Distritos!$H$7:$H$66,MATCH(SMALL(Distritos!$J$7:$J$66,50),Distritos!$J$7:$J$66,0))),""))</f>
        <v/>
      </c>
      <c r="C88" s="32" t="str">
        <f>IF($B$8=0,"",IFERROR(IF(INDEX(Distritos!$I$7:$I$66,MATCH(SMALL(Distritos!$J$7:$J$66,50),Distritos!$J$7:$J$66,0))=0,"",INDEX(Distritos!$I$7:$I$66,MATCH(SMALL(Distritos!$J$7:$J$66,50),Distritos!$J$7:$J$66,0))),""))</f>
        <v/>
      </c>
      <c r="D88" s="74" t="str">
        <f t="shared" si="8"/>
        <v/>
      </c>
      <c r="E88" s="69" t="str">
        <f>IF(OR($B$8=0,B88=""),"",IFERROR(ROUND(IF($D$4="TODOS",IF($B$4="TODOS",(SUMIF('BD SECOS'!Q:Q,B88,'BD SECOS'!U:U)+SUMIF('BD PPA'!U:U,B88,'BD PPA'!AA:AA)+SUMIF('BD FRESCOS'!U:U,B88,'BD FRESCOS'!AA:AA))/(COUNTIF('BD SECOS'!Q:Q,B88)+COUNTIF('BD PPA'!U:U,B88)+COUNTIF('BD FRESCOS'!U:U,B88)),IF($B$4="SECOS",AVERAGEIF('BD SECOS'!Q:Q,B88,'BD SECOS'!U:U),IF($B$4="PPA",AVERAGEIF('BD PPA'!U:U,B88,'BD PPA'!AA:AA),AVERAGEIF('BD FRESCOS'!U:U,B88,'BD FRESCOS'!AA:AA)))),IF($B$4="TODOS",(SUMIFS('BD SECOS'!U:U,'BD SECOS'!Q:Q,B88,'BD SECOS'!AE:AE,$D$4)+SUMIFS('BD PPA'!AA:AA,'BD PPA'!U:U,B88,'BD PPA'!AK:AK,$D$4)+SUMIFS('BD FRESCOS'!AA:AA,'BD FRESCOS'!U:U,B88,'BD FRESCOS'!AK:AK,$D$4))/(COUNTIFS('BD SECOS'!Q:Q,B88,'BD SECOS'!AE:AE,$D$4)+COUNTIFS('BD PPA'!U:U,B88,'BD PPA'!AK:AK,$D$4)+COUNTIFS('BD FRESCOS'!U:U,B88,'BD FRESCOS'!AK:AK,$D$4)),IF($B$4="SECOS",AVERAGEIFS('BD SECOS'!U:U,'BD SECOS'!Q:Q,B88,'BD SECOS'!AE:AE,$D$4),IF($B$4="PPA",AVERAGEIFS('BD PPA'!AA:AA,'BD PPA'!U:U,B88,'BD PPA'!AK:AK,$D$4),AVERAGEIFS('BD FRESCOS'!AA:AA,'BD FRESCOS'!U:U,B88,'BD FRESCOS'!AK:AK,$D$4))))),2),""))</f>
        <v/>
      </c>
      <c r="F88" s="75" t="str">
        <f t="shared" si="5"/>
        <v/>
      </c>
      <c r="G88" s="69" t="str">
        <f>IF(OR($B$8=0,B88=""),"",IFERROR(ROUND(IF($D$4="TODOS",IF($B$4="TODOS",(SUMIF('BD SECOS'!Q:Q,B88,'BD SECOS'!Y:Y)+SUMIF('BD PPA'!U:U,B88,'BD PPA'!AE:AE)+SUMIF('BD FRESCOS'!U:U,B88,'BD FRESCOS'!AE:AE))/(COUNTIF('BD SECOS'!Q:Q,B88)+COUNTIF('BD PPA'!U:U,B88)+COUNTIF('BD FRESCOS'!U:U,B88)),IF($B$4="SECOS",AVERAGEIF('BD SECOS'!Q:Q,B88,'BD SECOS'!Y:Y),IF($B$4="PPA",AVERAGEIF('BD PPA'!U:U,B88,'BD PPA'!AE:AE),AVERAGEIF('BD FRESCOS'!U:U,B88,'BD FRESCOS'!AE:AE)))),IF($B$4="TODOS",(SUMIFS('BD SECOS'!Y:Y,'BD SECOS'!Q:Q,B88,'BD SECOS'!AE:AE,$D$4)+SUMIFS('BD PPA'!AE:AE,'BD PPA'!U:U,B88,'BD PPA'!AK:AK,$D$4)+SUMIFS('BD FRESCOS'!AE:AE,'BD FRESCOS'!U:U,B88,'BD FRESCOS'!AK:AK,$D$4))/(COUNTIFS('BD SECOS'!Q:Q,B88,'BD SECOS'!AE:AE,$D$4)+COUNTIFS('BD PPA'!U:U,B88,'BD PPA'!AK:AK,$D$4)+COUNTIFS('BD FRESCOS'!U:U,B88,'BD FRESCOS'!AK:AK,$D$4)),IF($B$4="SECOS",AVERAGEIFS('BD SECOS'!Y:Y,'BD SECOS'!Q:Q,B88,'BD SECOS'!AE:AE,$D$4),IF($B$4="PPA",AVERAGEIFS('BD PPA'!AE:AE,'BD PPA'!U:U,B88,'BD PPA'!AK:AK,$D$4),AVERAGEIFS('BD FRESCOS'!AE:AE,'BD FRESCOS'!U:U,B88,'BD FRESCOS'!AK:AK,$D$4))))),2),""))</f>
        <v/>
      </c>
      <c r="H88" s="77" t="str">
        <f t="shared" si="9"/>
        <v/>
      </c>
      <c r="I88" s="75" t="str" cm="1">
        <f t="array" ref="I88">IF(OR($B$8=0,B88=""),"",IFERROR(IF($D$4="TODOS",IF($B$4="TODOS",INDEX('BD SECOS'!X:X,MATCH(B88,'BD SECOS'!Q:Q,0)),IF($B$4="SECOS",INDEX('BD SECOS'!X:X,MATCH(B88,'BD SECOS'!Q:Q,0)),IF($B$4="PPA",INDEX('BD PPA'!AD:AD,MATCH(B88,'BD PPA'!U:U,0)),INDEX('BD FRESCOS'!AD:AD,MATCH(B88,'BD FRESCOS'!U:U,0))))),IF($B$4="TODOS",IFERROR(INDEX('BD SECOS'!X:X,MATCH(1,('BD SECOS'!Q:Q=B88)*('BD SECOS'!AE:AE=$D$4),0)),IFERROR(INDEX('BD PPA'!AD:AD,MATCH(1,('BD PPA'!U:U=B88)*('BD PPA'!AK:AK=$D$4),0)),INDEX('BD FRESCOS'!AD:AD,MATCH(1,('BD FRESCOS'!U:U=B88)*('BD FRESCOS'!AK:AK=$D$4),0)))),IF($B$4="SECOS",INDEX('BD SECOS'!X:X,MATCH(1,('BD SECOS'!Q:Q=B88)*('BD SECOS'!AE:AE=$D$4),0)),IF($B$4="PPA",INDEX('BD PPA'!AD:AD,MATCH(1,('BD PPA'!U:U=B88)*('BD PPA'!AK:AK=$D$4),0)),INDEX('BD FRESCOS'!AD:AD,MATCH(1,('BD FRESCOS'!U:U=B88)*('BD FRESCOS'!AK:AK=$D$4),0)))))),""))</f>
        <v/>
      </c>
      <c r="J88" s="77" t="str">
        <f t="shared" si="7"/>
        <v/>
      </c>
    </row>
    <row r="89" spans="1:10" x14ac:dyDescent="0.35">
      <c r="A89" t="str">
        <f>IF(OR($B$8=0,C89="",C89=0),"",51)</f>
        <v/>
      </c>
      <c r="B89" t="str">
        <f>IF($B$8=0,"",IFERROR(IF(INDEX(Distritos!$I$7:$I$66,MATCH(SMALL(Distritos!$J$7:$J$66,51),Distritos!$J$7:$J$66,0))=0,"",INDEX(Distritos!$H$7:$H$66,MATCH(SMALL(Distritos!$J$7:$J$66,51),Distritos!$J$7:$J$66,0))),""))</f>
        <v/>
      </c>
      <c r="C89" s="32" t="str">
        <f>IF($B$8=0,"",IFERROR(IF(INDEX(Distritos!$I$7:$I$66,MATCH(SMALL(Distritos!$J$7:$J$66,51),Distritos!$J$7:$J$66,0))=0,"",INDEX(Distritos!$I$7:$I$66,MATCH(SMALL(Distritos!$J$7:$J$66,51),Distritos!$J$7:$J$66,0))),""))</f>
        <v/>
      </c>
      <c r="D89" s="74" t="str">
        <f t="shared" si="8"/>
        <v/>
      </c>
      <c r="E89" s="69" t="str">
        <f>IF(OR($B$8=0,B89=""),"",IFERROR(ROUND(IF($D$4="TODOS",IF($B$4="TODOS",(SUMIF('BD SECOS'!Q:Q,B89,'BD SECOS'!U:U)+SUMIF('BD PPA'!U:U,B89,'BD PPA'!AA:AA)+SUMIF('BD FRESCOS'!U:U,B89,'BD FRESCOS'!AA:AA))/(COUNTIF('BD SECOS'!Q:Q,B89)+COUNTIF('BD PPA'!U:U,B89)+COUNTIF('BD FRESCOS'!U:U,B89)),IF($B$4="SECOS",AVERAGEIF('BD SECOS'!Q:Q,B89,'BD SECOS'!U:U),IF($B$4="PPA",AVERAGEIF('BD PPA'!U:U,B89,'BD PPA'!AA:AA),AVERAGEIF('BD FRESCOS'!U:U,B89,'BD FRESCOS'!AA:AA)))),IF($B$4="TODOS",(SUMIFS('BD SECOS'!U:U,'BD SECOS'!Q:Q,B89,'BD SECOS'!AE:AE,$D$4)+SUMIFS('BD PPA'!AA:AA,'BD PPA'!U:U,B89,'BD PPA'!AK:AK,$D$4)+SUMIFS('BD FRESCOS'!AA:AA,'BD FRESCOS'!U:U,B89,'BD FRESCOS'!AK:AK,$D$4))/(COUNTIFS('BD SECOS'!Q:Q,B89,'BD SECOS'!AE:AE,$D$4)+COUNTIFS('BD PPA'!U:U,B89,'BD PPA'!AK:AK,$D$4)+COUNTIFS('BD FRESCOS'!U:U,B89,'BD FRESCOS'!AK:AK,$D$4)),IF($B$4="SECOS",AVERAGEIFS('BD SECOS'!U:U,'BD SECOS'!Q:Q,B89,'BD SECOS'!AE:AE,$D$4),IF($B$4="PPA",AVERAGEIFS('BD PPA'!AA:AA,'BD PPA'!U:U,B89,'BD PPA'!AK:AK,$D$4),AVERAGEIFS('BD FRESCOS'!AA:AA,'BD FRESCOS'!U:U,B89,'BD FRESCOS'!AK:AK,$D$4))))),2),""))</f>
        <v/>
      </c>
      <c r="F89" s="75" t="str">
        <f t="shared" si="5"/>
        <v/>
      </c>
      <c r="G89" s="69" t="str">
        <f>IF(OR($B$8=0,B89=""),"",IFERROR(ROUND(IF($D$4="TODOS",IF($B$4="TODOS",(SUMIF('BD SECOS'!Q:Q,B89,'BD SECOS'!Y:Y)+SUMIF('BD PPA'!U:U,B89,'BD PPA'!AE:AE)+SUMIF('BD FRESCOS'!U:U,B89,'BD FRESCOS'!AE:AE))/(COUNTIF('BD SECOS'!Q:Q,B89)+COUNTIF('BD PPA'!U:U,B89)+COUNTIF('BD FRESCOS'!U:U,B89)),IF($B$4="SECOS",AVERAGEIF('BD SECOS'!Q:Q,B89,'BD SECOS'!Y:Y),IF($B$4="PPA",AVERAGEIF('BD PPA'!U:U,B89,'BD PPA'!AE:AE),AVERAGEIF('BD FRESCOS'!U:U,B89,'BD FRESCOS'!AE:AE)))),IF($B$4="TODOS",(SUMIFS('BD SECOS'!Y:Y,'BD SECOS'!Q:Q,B89,'BD SECOS'!AE:AE,$D$4)+SUMIFS('BD PPA'!AE:AE,'BD PPA'!U:U,B89,'BD PPA'!AK:AK,$D$4)+SUMIFS('BD FRESCOS'!AE:AE,'BD FRESCOS'!U:U,B89,'BD FRESCOS'!AK:AK,$D$4))/(COUNTIFS('BD SECOS'!Q:Q,B89,'BD SECOS'!AE:AE,$D$4)+COUNTIFS('BD PPA'!U:U,B89,'BD PPA'!AK:AK,$D$4)+COUNTIFS('BD FRESCOS'!U:U,B89,'BD FRESCOS'!AK:AK,$D$4)),IF($B$4="SECOS",AVERAGEIFS('BD SECOS'!Y:Y,'BD SECOS'!Q:Q,B89,'BD SECOS'!AE:AE,$D$4),IF($B$4="PPA",AVERAGEIFS('BD PPA'!AE:AE,'BD PPA'!U:U,B89,'BD PPA'!AK:AK,$D$4),AVERAGEIFS('BD FRESCOS'!AE:AE,'BD FRESCOS'!U:U,B89,'BD FRESCOS'!AK:AK,$D$4))))),2),""))</f>
        <v/>
      </c>
      <c r="H89" s="77" t="str">
        <f t="shared" si="9"/>
        <v/>
      </c>
      <c r="I89" s="75" t="str" cm="1">
        <f t="array" ref="I89">IF(OR($B$8=0,B89=""),"",IFERROR(IF($D$4="TODOS",IF($B$4="TODOS",INDEX('BD SECOS'!X:X,MATCH(B89,'BD SECOS'!Q:Q,0)),IF($B$4="SECOS",INDEX('BD SECOS'!X:X,MATCH(B89,'BD SECOS'!Q:Q,0)),IF($B$4="PPA",INDEX('BD PPA'!AD:AD,MATCH(B89,'BD PPA'!U:U,0)),INDEX('BD FRESCOS'!AD:AD,MATCH(B89,'BD FRESCOS'!U:U,0))))),IF($B$4="TODOS",IFERROR(INDEX('BD SECOS'!X:X,MATCH(1,('BD SECOS'!Q:Q=B89)*('BD SECOS'!AE:AE=$D$4),0)),IFERROR(INDEX('BD PPA'!AD:AD,MATCH(1,('BD PPA'!U:U=B89)*('BD PPA'!AK:AK=$D$4),0)),INDEX('BD FRESCOS'!AD:AD,MATCH(1,('BD FRESCOS'!U:U=B89)*('BD FRESCOS'!AK:AK=$D$4),0)))),IF($B$4="SECOS",INDEX('BD SECOS'!X:X,MATCH(1,('BD SECOS'!Q:Q=B89)*('BD SECOS'!AE:AE=$D$4),0)),IF($B$4="PPA",INDEX('BD PPA'!AD:AD,MATCH(1,('BD PPA'!U:U=B89)*('BD PPA'!AK:AK=$D$4),0)),INDEX('BD FRESCOS'!AD:AD,MATCH(1,('BD FRESCOS'!U:U=B89)*('BD FRESCOS'!AK:AK=$D$4),0)))))),""))</f>
        <v/>
      </c>
      <c r="J89" s="77" t="str">
        <f t="shared" si="7"/>
        <v/>
      </c>
    </row>
    <row r="93" spans="1:10" x14ac:dyDescent="0.35">
      <c r="A93" t="s">
        <v>4634</v>
      </c>
    </row>
    <row r="97" spans="1:12" ht="16" x14ac:dyDescent="0.4">
      <c r="A97" s="198" t="s">
        <v>4693</v>
      </c>
      <c r="B97" s="199"/>
      <c r="C97" s="199"/>
      <c r="D97" s="199"/>
      <c r="E97" s="199"/>
      <c r="F97" s="199"/>
      <c r="G97" s="199"/>
      <c r="H97" s="199"/>
      <c r="I97" s="146">
        <f ca="1">NOW()</f>
        <v>46163.421677893515</v>
      </c>
    </row>
    <row r="98" spans="1:12" x14ac:dyDescent="0.35">
      <c r="A98" s="16" t="s">
        <v>4694</v>
      </c>
      <c r="B98" s="58">
        <v>9</v>
      </c>
      <c r="C98" s="154" t="s">
        <v>4695</v>
      </c>
    </row>
    <row r="99" spans="1:12" x14ac:dyDescent="0.35">
      <c r="A99" s="164" t="s">
        <v>4235</v>
      </c>
      <c r="B99" s="164" t="s">
        <v>4696</v>
      </c>
      <c r="C99" s="164" t="s">
        <v>4667</v>
      </c>
      <c r="D99" s="164" t="s">
        <v>4633</v>
      </c>
      <c r="E99" s="164" t="s">
        <v>4643</v>
      </c>
      <c r="F99" s="164" t="s">
        <v>4669</v>
      </c>
      <c r="G99" s="164" t="s">
        <v>4670</v>
      </c>
      <c r="H99" s="164" t="s">
        <v>4702</v>
      </c>
      <c r="I99" s="164" t="s">
        <v>4754</v>
      </c>
      <c r="J99" s="164" t="s">
        <v>4755</v>
      </c>
      <c r="L99" s="164" t="s">
        <v>4753</v>
      </c>
    </row>
    <row r="100" spans="1:12" x14ac:dyDescent="0.35">
      <c r="A100" t="s">
        <v>4237</v>
      </c>
      <c r="B100">
        <f>COUNTIFS(REGISTRO_DIARIO!B:B,$B$98,REGISTRO_DIARIO!D:D,"RUTA 1")</f>
        <v>6</v>
      </c>
      <c r="C100" s="171">
        <f>SUMIFS(REGISTRO_DIARIO!G:G,REGISTRO_DIARIO!B:B,$B$98,REGISTRO_DIARIO!D:D,"RUTA 1")</f>
        <v>167</v>
      </c>
      <c r="D100" s="171">
        <f>SUMIFS(REGISTRO_DIARIO!F:F,REGISTRO_DIARIO!B:B,$B$98,REGISTRO_DIARIO!D:D,"RUTA 1")</f>
        <v>300</v>
      </c>
      <c r="E100" s="149">
        <f t="shared" ref="E100:E113" si="10">IFERROR(C100/D100,0)</f>
        <v>0.55666666666666664</v>
      </c>
      <c r="F100" s="144">
        <f>SUMIFS(REGISTRO_DIARIO!J:J,REGISTRO_DIARIO!B:B,$B$98,REGISTRO_DIARIO!D:D,"RUTA 1")</f>
        <v>1860</v>
      </c>
      <c r="G100" s="173">
        <f t="shared" ref="G100:G114" si="11">IFERROR(F100/C100,0)</f>
        <v>11.137724550898204</v>
      </c>
      <c r="H100" t="str">
        <f t="shared" ref="H100:H113" si="12">IF(E100&gt;=0.9,"✅ Óptimo",IF(E100&gt;=0.7,"🔄 OK",IF(E100&gt;=0.5,"⚠️ Bajo",IF(E100&gt;0,"🔴 Muy Bajo","-"))))</f>
        <v>⚠️ Bajo</v>
      </c>
      <c r="I100" s="196">
        <f>C100/B100</f>
        <v>27.833333333333332</v>
      </c>
      <c r="J100" s="196">
        <f>D100/B100</f>
        <v>50</v>
      </c>
      <c r="L100" t="str">
        <f>"MAX: "&amp;_xlfn.MAXIFS(Tabla6[PASAJEROS],Tabla6[SEMANA],GRAFICO!$B$98,Tabla6[RUTA],GRAFICO!$A100)&amp;" - MIN: "&amp;_xlfn.MINIFS(Tabla6[PASAJEROS],Tabla6[SEMANA],GRAFICO!$B$98,Tabla6[RUTA],GRAFICO!$A100)</f>
        <v>MAX: 31 - MIN: 21</v>
      </c>
    </row>
    <row r="101" spans="1:12" x14ac:dyDescent="0.35">
      <c r="A101" t="s">
        <v>4246</v>
      </c>
      <c r="B101">
        <f>COUNTIFS(REGISTRO_DIARIO!B:B,$B$98,REGISTRO_DIARIO!D:D,"RUTA 2")</f>
        <v>10</v>
      </c>
      <c r="C101" s="171">
        <f>SUMIFS(REGISTRO_DIARIO!G:G,REGISTRO_DIARIO!B:B,$B$98,REGISTRO_DIARIO!D:D,"RUTA 2")</f>
        <v>327</v>
      </c>
      <c r="D101" s="171">
        <f>SUMIFS(REGISTRO_DIARIO!F:F,REGISTRO_DIARIO!B:B,$B$98,REGISTRO_DIARIO!D:D,"RUTA 2")</f>
        <v>392</v>
      </c>
      <c r="E101" s="149">
        <f t="shared" si="10"/>
        <v>0.83418367346938771</v>
      </c>
      <c r="F101" s="144">
        <f>SUMIFS(REGISTRO_DIARIO!J:J,REGISTRO_DIARIO!B:B,$B$98,REGISTRO_DIARIO!D:D,"RUTA 2")</f>
        <v>2940</v>
      </c>
      <c r="G101" s="173">
        <f t="shared" si="11"/>
        <v>8.9908256880733948</v>
      </c>
      <c r="H101" t="str">
        <f t="shared" si="12"/>
        <v>🔄 OK</v>
      </c>
      <c r="I101" s="196">
        <f t="shared" ref="I101:I113" si="13">C101/B101</f>
        <v>32.700000000000003</v>
      </c>
      <c r="J101" s="196">
        <f t="shared" ref="J101:J114" si="14">D101/B101</f>
        <v>39.200000000000003</v>
      </c>
      <c r="L101" t="str">
        <f>"MAX: "&amp;_xlfn.MAXIFS(Tabla6[PASAJEROS],Tabla6[SEMANA],GRAFICO!$B$98,Tabla6[RUTA],GRAFICO!$A101)&amp;" - MIN: "&amp;_xlfn.MINIFS(Tabla6[PASAJEROS],Tabla6[SEMANA],GRAFICO!$B$98,Tabla6[RUTA],GRAFICO!$A101)</f>
        <v>MAX: 50 - MIN: 3</v>
      </c>
    </row>
    <row r="102" spans="1:12" x14ac:dyDescent="0.35">
      <c r="A102" t="s">
        <v>4250</v>
      </c>
      <c r="B102">
        <f>COUNTIFS(REGISTRO_DIARIO!B:B,$B$98,REGISTRO_DIARIO!D:D,"RUTA 3")</f>
        <v>7</v>
      </c>
      <c r="C102" s="171">
        <f>SUMIFS(REGISTRO_DIARIO!G:G,REGISTRO_DIARIO!B:B,$B$98,REGISTRO_DIARIO!D:D,"RUTA 3")</f>
        <v>243</v>
      </c>
      <c r="D102" s="171">
        <f>SUMIFS(REGISTRO_DIARIO!F:F,REGISTRO_DIARIO!B:B,$B$98,REGISTRO_DIARIO!D:D,"RUTA 3")</f>
        <v>316</v>
      </c>
      <c r="E102" s="149">
        <f t="shared" si="10"/>
        <v>0.76898734177215189</v>
      </c>
      <c r="F102" s="144">
        <f>SUMIFS(REGISTRO_DIARIO!J:J,REGISTRO_DIARIO!B:B,$B$98,REGISTRO_DIARIO!D:D,"RUTA 3")</f>
        <v>2320</v>
      </c>
      <c r="G102" s="173">
        <f t="shared" si="11"/>
        <v>9.5473251028806576</v>
      </c>
      <c r="H102" t="str">
        <f t="shared" si="12"/>
        <v>🔄 OK</v>
      </c>
      <c r="I102" s="196">
        <f t="shared" si="13"/>
        <v>34.714285714285715</v>
      </c>
      <c r="J102" s="196">
        <f t="shared" si="14"/>
        <v>45.142857142857146</v>
      </c>
      <c r="L102" t="str">
        <f>"MAX: "&amp;_xlfn.MAXIFS(Tabla6[PASAJEROS],Tabla6[SEMANA],GRAFICO!$B$98,Tabla6[RUTA],GRAFICO!$A102)&amp;" - MIN: "&amp;_xlfn.MINIFS(Tabla6[PASAJEROS],Tabla6[SEMANA],GRAFICO!$B$98,Tabla6[RUTA],GRAFICO!$A102)</f>
        <v>MAX: 46 - MIN: 5</v>
      </c>
    </row>
    <row r="103" spans="1:12" x14ac:dyDescent="0.35">
      <c r="A103" t="s">
        <v>4261</v>
      </c>
      <c r="B103">
        <f>COUNTIFS(REGISTRO_DIARIO!B:B,$B$98,REGISTRO_DIARIO!D:D,"RUTA 4A")</f>
        <v>6</v>
      </c>
      <c r="C103" s="171">
        <f>SUMIFS(REGISTRO_DIARIO!G:G,REGISTRO_DIARIO!B:B,$B$98,REGISTRO_DIARIO!D:D,"RUTA 4A")</f>
        <v>104</v>
      </c>
      <c r="D103" s="171">
        <f>SUMIFS(REGISTRO_DIARIO!F:F,REGISTRO_DIARIO!B:B,$B$98,REGISTRO_DIARIO!D:D,"RUTA 4A")</f>
        <v>260</v>
      </c>
      <c r="E103" s="149">
        <f t="shared" si="10"/>
        <v>0.4</v>
      </c>
      <c r="F103" s="144">
        <f>SUMIFS(REGISTRO_DIARIO!J:J,REGISTRO_DIARIO!B:B,$B$98,REGISTRO_DIARIO!D:D,"RUTA 4A")</f>
        <v>2080</v>
      </c>
      <c r="G103" s="173">
        <f t="shared" si="11"/>
        <v>20</v>
      </c>
      <c r="H103" t="str">
        <f t="shared" si="12"/>
        <v>🔴 Muy Bajo</v>
      </c>
      <c r="I103" s="196">
        <f t="shared" si="13"/>
        <v>17.333333333333332</v>
      </c>
      <c r="J103" s="196">
        <f t="shared" si="14"/>
        <v>43.333333333333336</v>
      </c>
      <c r="L103" t="str">
        <f>"MAX: "&amp;_xlfn.MAXIFS(Tabla6[PASAJEROS],Tabla6[SEMANA],GRAFICO!$B$98,Tabla6[RUTA],GRAFICO!$A103)&amp;" - MIN: "&amp;_xlfn.MINIFS(Tabla6[PASAJEROS],Tabla6[SEMANA],GRAFICO!$B$98,Tabla6[RUTA],GRAFICO!$A103)</f>
        <v>MAX: 24 - MIN: 10</v>
      </c>
    </row>
    <row r="104" spans="1:12" x14ac:dyDescent="0.35">
      <c r="A104" t="s">
        <v>4273</v>
      </c>
      <c r="B104">
        <f>COUNTIFS(REGISTRO_DIARIO!B:B,$B$98,REGISTRO_DIARIO!D:D,"RUTA 4B")</f>
        <v>6</v>
      </c>
      <c r="C104" s="171">
        <f>SUMIFS(REGISTRO_DIARIO!G:G,REGISTRO_DIARIO!B:B,$B$98,REGISTRO_DIARIO!D:D,"RUTA 4B")</f>
        <v>153</v>
      </c>
      <c r="D104" s="171">
        <f>SUMIFS(REGISTRO_DIARIO!F:F,REGISTRO_DIARIO!B:B,$B$98,REGISTRO_DIARIO!D:D,"RUTA 4B")</f>
        <v>280</v>
      </c>
      <c r="E104" s="149">
        <f t="shared" si="10"/>
        <v>0.54642857142857137</v>
      </c>
      <c r="F104" s="144">
        <f>SUMIFS(REGISTRO_DIARIO!J:J,REGISTRO_DIARIO!B:B,$B$98,REGISTRO_DIARIO!D:D,"RUTA 4B")</f>
        <v>2030</v>
      </c>
      <c r="G104" s="173">
        <f t="shared" si="11"/>
        <v>13.267973856209151</v>
      </c>
      <c r="H104" t="str">
        <f t="shared" si="12"/>
        <v>⚠️ Bajo</v>
      </c>
      <c r="I104" s="196">
        <f t="shared" si="13"/>
        <v>25.5</v>
      </c>
      <c r="J104" s="196">
        <f t="shared" si="14"/>
        <v>46.666666666666664</v>
      </c>
      <c r="L104" t="str">
        <f>"MAX: "&amp;_xlfn.MAXIFS(Tabla6[PASAJEROS],Tabla6[SEMANA],GRAFICO!$B$98,Tabla6[RUTA],GRAFICO!$A104)&amp;" - MIN: "&amp;_xlfn.MINIFS(Tabla6[PASAJEROS],Tabla6[SEMANA],GRAFICO!$B$98,Tabla6[RUTA],GRAFICO!$A104)</f>
        <v>MAX: 28 - MIN: 21</v>
      </c>
    </row>
    <row r="105" spans="1:12" x14ac:dyDescent="0.35">
      <c r="A105" t="s">
        <v>4281</v>
      </c>
      <c r="B105">
        <f>COUNTIFS(REGISTRO_DIARIO!B:B,$B$98,REGISTRO_DIARIO!D:D,"RUTA 5A")</f>
        <v>6</v>
      </c>
      <c r="C105" s="171">
        <f>SUMIFS(REGISTRO_DIARIO!G:G,REGISTRO_DIARIO!B:B,$B$98,REGISTRO_DIARIO!D:D,"RUTA 5A")</f>
        <v>164</v>
      </c>
      <c r="D105" s="171">
        <f>SUMIFS(REGISTRO_DIARIO!F:F,REGISTRO_DIARIO!B:B,$B$98,REGISTRO_DIARIO!D:D,"RUTA 5A")</f>
        <v>300</v>
      </c>
      <c r="E105" s="149">
        <f t="shared" si="10"/>
        <v>0.54666666666666663</v>
      </c>
      <c r="F105" s="144">
        <f>SUMIFS(REGISTRO_DIARIO!J:J,REGISTRO_DIARIO!B:B,$B$98,REGISTRO_DIARIO!D:D,"RUTA 5A")</f>
        <v>2220</v>
      </c>
      <c r="G105" s="173">
        <f t="shared" si="11"/>
        <v>13.536585365853659</v>
      </c>
      <c r="H105" t="str">
        <f t="shared" si="12"/>
        <v>⚠️ Bajo</v>
      </c>
      <c r="I105" s="196">
        <f t="shared" si="13"/>
        <v>27.333333333333332</v>
      </c>
      <c r="J105" s="196">
        <f t="shared" si="14"/>
        <v>50</v>
      </c>
      <c r="L105" t="str">
        <f>"MAX: "&amp;_xlfn.MAXIFS(Tabla6[PASAJEROS],Tabla6[SEMANA],GRAFICO!$B$98,Tabla6[RUTA],GRAFICO!$A105)&amp;" - MIN: "&amp;_xlfn.MINIFS(Tabla6[PASAJEROS],Tabla6[SEMANA],GRAFICO!$B$98,Tabla6[RUTA],GRAFICO!$A105)</f>
        <v>MAX: 31 - MIN: 24</v>
      </c>
    </row>
    <row r="106" spans="1:12" x14ac:dyDescent="0.35">
      <c r="A106" t="s">
        <v>4289</v>
      </c>
      <c r="B106">
        <f>COUNTIFS(REGISTRO_DIARIO!B:B,$B$98,REGISTRO_DIARIO!D:D,"RUTA 5B")</f>
        <v>6</v>
      </c>
      <c r="C106" s="171">
        <f>SUMIFS(REGISTRO_DIARIO!G:G,REGISTRO_DIARIO!B:B,$B$98,REGISTRO_DIARIO!D:D,"RUTA 5B")</f>
        <v>154</v>
      </c>
      <c r="D106" s="171">
        <f>SUMIFS(REGISTRO_DIARIO!F:F,REGISTRO_DIARIO!B:B,$B$98,REGISTRO_DIARIO!D:D,"RUTA 5B")</f>
        <v>300</v>
      </c>
      <c r="E106" s="149">
        <f t="shared" si="10"/>
        <v>0.51333333333333331</v>
      </c>
      <c r="F106" s="144">
        <f>SUMIFS(REGISTRO_DIARIO!J:J,REGISTRO_DIARIO!B:B,$B$98,REGISTRO_DIARIO!D:D,"RUTA 5B")</f>
        <v>1860</v>
      </c>
      <c r="G106" s="173">
        <f t="shared" si="11"/>
        <v>12.077922077922079</v>
      </c>
      <c r="H106" t="str">
        <f t="shared" si="12"/>
        <v>⚠️ Bajo</v>
      </c>
      <c r="I106" s="196">
        <f t="shared" si="13"/>
        <v>25.666666666666668</v>
      </c>
      <c r="J106" s="196">
        <f t="shared" si="14"/>
        <v>50</v>
      </c>
      <c r="L106" t="str">
        <f>"MAX: "&amp;_xlfn.MAXIFS(Tabla6[PASAJEROS],Tabla6[SEMANA],GRAFICO!$B$98,Tabla6[RUTA],GRAFICO!$A106)&amp;" - MIN: "&amp;_xlfn.MINIFS(Tabla6[PASAJEROS],Tabla6[SEMANA],GRAFICO!$B$98,Tabla6[RUTA],GRAFICO!$A106)</f>
        <v>MAX: 32 - MIN: 19</v>
      </c>
    </row>
    <row r="107" spans="1:12" x14ac:dyDescent="0.35">
      <c r="A107" t="s">
        <v>4296</v>
      </c>
      <c r="B107">
        <f>COUNTIFS(REGISTRO_DIARIO!B:B,$B$98,REGISTRO_DIARIO!D:D,"RUTA 5C")</f>
        <v>6</v>
      </c>
      <c r="C107" s="171">
        <f>SUMIFS(REGISTRO_DIARIO!G:G,REGISTRO_DIARIO!B:B,$B$98,REGISTRO_DIARIO!D:D,"RUTA 5C")</f>
        <v>241</v>
      </c>
      <c r="D107" s="171">
        <f>SUMIFS(REGISTRO_DIARIO!F:F,REGISTRO_DIARIO!B:B,$B$98,REGISTRO_DIARIO!D:D,"RUTA 5C")</f>
        <v>300</v>
      </c>
      <c r="E107" s="149">
        <f t="shared" si="10"/>
        <v>0.80333333333333334</v>
      </c>
      <c r="F107" s="144">
        <f>SUMIFS(REGISTRO_DIARIO!J:J,REGISTRO_DIARIO!B:B,$B$98,REGISTRO_DIARIO!D:D,"RUTA 5C")</f>
        <v>1740</v>
      </c>
      <c r="G107" s="173">
        <f t="shared" si="11"/>
        <v>7.2199170124481329</v>
      </c>
      <c r="H107" t="str">
        <f t="shared" si="12"/>
        <v>🔄 OK</v>
      </c>
      <c r="I107" s="196">
        <f t="shared" si="13"/>
        <v>40.166666666666664</v>
      </c>
      <c r="J107" s="196">
        <f t="shared" si="14"/>
        <v>50</v>
      </c>
      <c r="L107" t="str">
        <f>"MAX: "&amp;_xlfn.MAXIFS(Tabla6[PASAJEROS],Tabla6[SEMANA],GRAFICO!$B$98,Tabla6[RUTA],GRAFICO!$A107)&amp;" - MIN: "&amp;_xlfn.MINIFS(Tabla6[PASAJEROS],Tabla6[SEMANA],GRAFICO!$B$98,Tabla6[RUTA],GRAFICO!$A107)</f>
        <v>MAX: 46 - MIN: 32</v>
      </c>
    </row>
    <row r="108" spans="1:12" x14ac:dyDescent="0.35">
      <c r="A108" t="s">
        <v>4299</v>
      </c>
      <c r="B108">
        <f>COUNTIFS(REGISTRO_DIARIO!B:B,$B$98,REGISTRO_DIARIO!D:D,"RUTA 6A")</f>
        <v>6</v>
      </c>
      <c r="C108" s="171">
        <f>SUMIFS(REGISTRO_DIARIO!G:G,REGISTRO_DIARIO!B:B,$B$98,REGISTRO_DIARIO!D:D,"RUTA 6A")</f>
        <v>126</v>
      </c>
      <c r="D108" s="171">
        <f>SUMIFS(REGISTRO_DIARIO!F:F,REGISTRO_DIARIO!B:B,$B$98,REGISTRO_DIARIO!D:D,"RUTA 6A")</f>
        <v>240</v>
      </c>
      <c r="E108" s="149">
        <f t="shared" si="10"/>
        <v>0.52500000000000002</v>
      </c>
      <c r="F108" s="144">
        <f>SUMIFS(REGISTRO_DIARIO!J:J,REGISTRO_DIARIO!B:B,$B$98,REGISTRO_DIARIO!D:D,"RUTA 6A")</f>
        <v>2190</v>
      </c>
      <c r="G108" s="173">
        <f t="shared" si="11"/>
        <v>17.38095238095238</v>
      </c>
      <c r="H108" t="str">
        <f t="shared" si="12"/>
        <v>⚠️ Bajo</v>
      </c>
      <c r="I108" s="196">
        <f t="shared" si="13"/>
        <v>21</v>
      </c>
      <c r="J108" s="196">
        <f t="shared" si="14"/>
        <v>40</v>
      </c>
      <c r="L108" t="str">
        <f>"MAX: "&amp;_xlfn.MAXIFS(Tabla6[PASAJEROS],Tabla6[SEMANA],GRAFICO!$B$98,Tabla6[RUTA],GRAFICO!$A108)&amp;" - MIN: "&amp;_xlfn.MINIFS(Tabla6[PASAJEROS],Tabla6[SEMANA],GRAFICO!$B$98,Tabla6[RUTA],GRAFICO!$A108)</f>
        <v>MAX: 25 - MIN: 17</v>
      </c>
    </row>
    <row r="109" spans="1:12" x14ac:dyDescent="0.35">
      <c r="A109" t="s">
        <v>4302</v>
      </c>
      <c r="B109">
        <f>COUNTIFS(REGISTRO_DIARIO!B:B,$B$98,REGISTRO_DIARIO!D:D,"RUTA 6B")</f>
        <v>6</v>
      </c>
      <c r="C109" s="171">
        <f>SUMIFS(REGISTRO_DIARIO!G:G,REGISTRO_DIARIO!B:B,$B$98,REGISTRO_DIARIO!D:D,"RUTA 6B")</f>
        <v>101</v>
      </c>
      <c r="D109" s="171">
        <f>SUMIFS(REGISTRO_DIARIO!F:F,REGISTRO_DIARIO!B:B,$B$98,REGISTRO_DIARIO!D:D,"RUTA 6B")</f>
        <v>300</v>
      </c>
      <c r="E109" s="149">
        <f t="shared" si="10"/>
        <v>0.33666666666666667</v>
      </c>
      <c r="F109" s="144">
        <f>SUMIFS(REGISTRO_DIARIO!J:J,REGISTRO_DIARIO!B:B,$B$98,REGISTRO_DIARIO!D:D,"RUTA 6B")</f>
        <v>2160</v>
      </c>
      <c r="G109" s="173">
        <f t="shared" si="11"/>
        <v>21.386138613861387</v>
      </c>
      <c r="H109" t="str">
        <f t="shared" si="12"/>
        <v>🔴 Muy Bajo</v>
      </c>
      <c r="I109" s="196">
        <f t="shared" si="13"/>
        <v>16.833333333333332</v>
      </c>
      <c r="J109" s="196">
        <f t="shared" si="14"/>
        <v>50</v>
      </c>
      <c r="L109" t="str">
        <f>"MAX: "&amp;_xlfn.MAXIFS(Tabla6[PASAJEROS],Tabla6[SEMANA],GRAFICO!$B$98,Tabla6[RUTA],GRAFICO!$A109)&amp;" - MIN: "&amp;_xlfn.MINIFS(Tabla6[PASAJEROS],Tabla6[SEMANA],GRAFICO!$B$98,Tabla6[RUTA],GRAFICO!$A109)</f>
        <v>MAX: 21 - MIN: 10</v>
      </c>
    </row>
    <row r="110" spans="1:12" x14ac:dyDescent="0.35">
      <c r="A110" t="s">
        <v>4308</v>
      </c>
      <c r="B110">
        <f>COUNTIFS(REGISTRO_DIARIO!B:B,$B$98,REGISTRO_DIARIO!D:D,"RUTA 6C")</f>
        <v>6</v>
      </c>
      <c r="C110" s="171">
        <f>SUMIFS(REGISTRO_DIARIO!G:G,REGISTRO_DIARIO!B:B,$B$98,REGISTRO_DIARIO!D:D,"RUTA 6C")</f>
        <v>132</v>
      </c>
      <c r="D110" s="171">
        <f>SUMIFS(REGISTRO_DIARIO!F:F,REGISTRO_DIARIO!B:B,$B$98,REGISTRO_DIARIO!D:D,"RUTA 6C")</f>
        <v>300</v>
      </c>
      <c r="E110" s="149">
        <f t="shared" si="10"/>
        <v>0.44</v>
      </c>
      <c r="F110" s="144">
        <f>SUMIFS(REGISTRO_DIARIO!J:J,REGISTRO_DIARIO!B:B,$B$98,REGISTRO_DIARIO!D:D,"RUTA 6C")</f>
        <v>1860</v>
      </c>
      <c r="G110" s="173">
        <f t="shared" si="11"/>
        <v>14.090909090909092</v>
      </c>
      <c r="H110" t="str">
        <f t="shared" si="12"/>
        <v>🔴 Muy Bajo</v>
      </c>
      <c r="I110" s="196">
        <f t="shared" si="13"/>
        <v>22</v>
      </c>
      <c r="J110" s="196">
        <f t="shared" si="14"/>
        <v>50</v>
      </c>
      <c r="L110" t="str">
        <f>"MAX: "&amp;_xlfn.MAXIFS(Tabla6[PASAJEROS],Tabla6[SEMANA],GRAFICO!$B$98,Tabla6[RUTA],GRAFICO!$A110)&amp;" - MIN: "&amp;_xlfn.MINIFS(Tabla6[PASAJEROS],Tabla6[SEMANA],GRAFICO!$B$98,Tabla6[RUTA],GRAFICO!$A110)</f>
        <v>MAX: 27 - MIN: 17</v>
      </c>
    </row>
    <row r="111" spans="1:12" x14ac:dyDescent="0.35">
      <c r="A111" t="s">
        <v>4316</v>
      </c>
      <c r="B111">
        <f>COUNTIFS(REGISTRO_DIARIO!B:B,$B$98,REGISTRO_DIARIO!D:D,"RUTA 7")</f>
        <v>6</v>
      </c>
      <c r="C111" s="171">
        <f>SUMIFS(REGISTRO_DIARIO!G:G,REGISTRO_DIARIO!B:B,$B$98,REGISTRO_DIARIO!D:D,"RUTA 7")</f>
        <v>135</v>
      </c>
      <c r="D111" s="171">
        <f>SUMIFS(REGISTRO_DIARIO!F:F,REGISTRO_DIARIO!B:B,$B$98,REGISTRO_DIARIO!D:D,"RUTA 7")</f>
        <v>300</v>
      </c>
      <c r="E111" s="149">
        <f t="shared" si="10"/>
        <v>0.45</v>
      </c>
      <c r="F111" s="144">
        <f>SUMIFS(REGISTRO_DIARIO!J:J,REGISTRO_DIARIO!B:B,$B$98,REGISTRO_DIARIO!D:D,"RUTA 7")</f>
        <v>2280</v>
      </c>
      <c r="G111" s="173">
        <f t="shared" si="11"/>
        <v>16.888888888888889</v>
      </c>
      <c r="H111" t="str">
        <f t="shared" si="12"/>
        <v>🔴 Muy Bajo</v>
      </c>
      <c r="I111" s="196">
        <f t="shared" si="13"/>
        <v>22.5</v>
      </c>
      <c r="J111" s="196">
        <f t="shared" si="14"/>
        <v>50</v>
      </c>
      <c r="L111" t="str">
        <f>"MAX: "&amp;_xlfn.MAXIFS(Tabla6[PASAJEROS],Tabla6[SEMANA],GRAFICO!$B$98,Tabla6[RUTA],GRAFICO!$A111)&amp;" - MIN: "&amp;_xlfn.MINIFS(Tabla6[PASAJEROS],Tabla6[SEMANA],GRAFICO!$B$98,Tabla6[RUTA],GRAFICO!$A111)</f>
        <v>MAX: 27 - MIN: 12</v>
      </c>
    </row>
    <row r="112" spans="1:12" x14ac:dyDescent="0.35">
      <c r="A112" t="s">
        <v>4336</v>
      </c>
      <c r="B112">
        <f>COUNTIFS(REGISTRO_DIARIO!B:B,$B$98,REGISTRO_DIARIO!D:D,"RUTA 8")</f>
        <v>6</v>
      </c>
      <c r="C112" s="171">
        <f>SUMIFS(REGISTRO_DIARIO!G:G,REGISTRO_DIARIO!B:B,$B$98,REGISTRO_DIARIO!D:D,"RUTA 8")</f>
        <v>116</v>
      </c>
      <c r="D112" s="171">
        <f>SUMIFS(REGISTRO_DIARIO!F:F,REGISTRO_DIARIO!B:B,$B$98,REGISTRO_DIARIO!D:D,"RUTA 8")</f>
        <v>240</v>
      </c>
      <c r="E112" s="149">
        <f t="shared" si="10"/>
        <v>0.48333333333333334</v>
      </c>
      <c r="F112" s="144">
        <f>SUMIFS(REGISTRO_DIARIO!J:J,REGISTRO_DIARIO!B:B,$B$98,REGISTRO_DIARIO!D:D,"RUTA 8")</f>
        <v>2190</v>
      </c>
      <c r="G112" s="173">
        <f t="shared" si="11"/>
        <v>18.879310344827587</v>
      </c>
      <c r="H112" t="str">
        <f t="shared" si="12"/>
        <v>🔴 Muy Bajo</v>
      </c>
      <c r="I112" s="196">
        <f t="shared" si="13"/>
        <v>19.333333333333332</v>
      </c>
      <c r="J112" s="196">
        <f t="shared" si="14"/>
        <v>40</v>
      </c>
      <c r="L112" t="str">
        <f>"MAX: "&amp;_xlfn.MAXIFS(Tabla6[PASAJEROS],Tabla6[SEMANA],GRAFICO!$B$98,Tabla6[RUTA],GRAFICO!$A112)&amp;" - MIN: "&amp;_xlfn.MINIFS(Tabla6[PASAJEROS],Tabla6[SEMANA],GRAFICO!$B$98,Tabla6[RUTA],GRAFICO!$A112)</f>
        <v>MAX: 24 - MIN: 15</v>
      </c>
    </row>
    <row r="113" spans="1:12" x14ac:dyDescent="0.35">
      <c r="A113" t="s">
        <v>4349</v>
      </c>
      <c r="B113">
        <f>COUNTIFS(REGISTRO_DIARIO!B:B,$B$98,REGISTRO_DIARIO!D:D,"RUTA 9")</f>
        <v>6</v>
      </c>
      <c r="C113" s="171">
        <f>SUMIFS(REGISTRO_DIARIO!G:G,REGISTRO_DIARIO!B:B,$B$98,REGISTRO_DIARIO!D:D,"RUTA 9")</f>
        <v>41</v>
      </c>
      <c r="D113" s="171">
        <f>SUMIFS(REGISTRO_DIARIO!F:F,REGISTRO_DIARIO!B:B,$B$98,REGISTRO_DIARIO!D:D,"RUTA 9")</f>
        <v>84</v>
      </c>
      <c r="E113" s="149">
        <f t="shared" si="10"/>
        <v>0.48809523809523808</v>
      </c>
      <c r="F113" s="144">
        <f>SUMIFS(REGISTRO_DIARIO!J:J,REGISTRO_DIARIO!B:B,$B$98,REGISTRO_DIARIO!D:D,"RUTA 9")</f>
        <v>2040</v>
      </c>
      <c r="G113" s="173">
        <f t="shared" si="11"/>
        <v>49.756097560975611</v>
      </c>
      <c r="H113" t="str">
        <f t="shared" si="12"/>
        <v>🔴 Muy Bajo</v>
      </c>
      <c r="I113" s="196">
        <f t="shared" si="13"/>
        <v>6.833333333333333</v>
      </c>
      <c r="J113" s="196">
        <f t="shared" si="14"/>
        <v>14</v>
      </c>
      <c r="L113" t="str">
        <f>"MAX: "&amp;_xlfn.MAXIFS(Tabla6[PASAJEROS],Tabla6[SEMANA],GRAFICO!$B$98,Tabla6[RUTA],GRAFICO!$A113)&amp;" - MIN: "&amp;_xlfn.MINIFS(Tabla6[PASAJEROS],Tabla6[SEMANA],GRAFICO!$B$98,Tabla6[RUTA],GRAFICO!$A113)</f>
        <v>MAX: 9 - MIN: 4</v>
      </c>
    </row>
    <row r="114" spans="1:12" x14ac:dyDescent="0.35">
      <c r="A114" s="165" t="s">
        <v>4697</v>
      </c>
      <c r="B114" s="166">
        <f>SUM(B100:B113)</f>
        <v>89</v>
      </c>
      <c r="C114" s="172">
        <f>SUM(C100:C113)</f>
        <v>2204</v>
      </c>
      <c r="D114" s="172">
        <f>SUM(D100:D113)</f>
        <v>3912</v>
      </c>
      <c r="E114" s="167">
        <f>IFERROR(C114/D114,0)</f>
        <v>0.56339468302658491</v>
      </c>
      <c r="F114" s="168">
        <f>SUM(F100:F113)</f>
        <v>29770</v>
      </c>
      <c r="G114" s="174">
        <f t="shared" si="11"/>
        <v>13.507259528130671</v>
      </c>
      <c r="H114" s="166"/>
      <c r="I114" s="196">
        <f>SUM(I100:I113)</f>
        <v>339.74761904761903</v>
      </c>
      <c r="J114" s="196">
        <f t="shared" si="14"/>
        <v>43.955056179775283</v>
      </c>
    </row>
    <row r="115" spans="1:12" x14ac:dyDescent="0.35">
      <c r="A115" s="37"/>
      <c r="B115" s="37"/>
      <c r="C115" s="37"/>
      <c r="D115" s="37"/>
      <c r="E115" s="37"/>
      <c r="F115" s="145"/>
      <c r="G115" s="148"/>
      <c r="H115" s="37"/>
    </row>
    <row r="116" spans="1:12" x14ac:dyDescent="0.35">
      <c r="A116" s="37"/>
      <c r="B116" s="37"/>
      <c r="C116" s="37"/>
      <c r="D116" s="37"/>
      <c r="E116" s="37"/>
      <c r="F116" s="145"/>
      <c r="G116" s="148"/>
      <c r="H116" s="37"/>
    </row>
    <row r="121" spans="1:12" ht="18.5" x14ac:dyDescent="0.45">
      <c r="A121" s="200" t="s">
        <v>4688</v>
      </c>
      <c r="B121" s="199"/>
      <c r="C121" s="199"/>
      <c r="D121" s="199"/>
      <c r="E121" s="199"/>
      <c r="F121" s="199"/>
      <c r="G121" s="199"/>
      <c r="H121" s="199"/>
      <c r="I121" s="199"/>
      <c r="J121" s="199"/>
      <c r="K121" s="199"/>
      <c r="L121" s="199"/>
    </row>
    <row r="122" spans="1:12" x14ac:dyDescent="0.35">
      <c r="A122" s="201" t="s">
        <v>4689</v>
      </c>
      <c r="B122" s="199"/>
      <c r="C122" s="199"/>
      <c r="D122" s="199"/>
      <c r="E122" s="199"/>
      <c r="F122" s="199"/>
      <c r="G122" s="199"/>
      <c r="H122" s="199"/>
      <c r="I122" s="199"/>
      <c r="J122" s="199"/>
      <c r="K122" s="199"/>
      <c r="L122" s="199"/>
    </row>
    <row r="124" spans="1:12" ht="16" x14ac:dyDescent="0.4">
      <c r="A124" s="202" t="s">
        <v>4690</v>
      </c>
      <c r="B124" s="199"/>
      <c r="C124" s="199"/>
      <c r="E124" s="203" t="s">
        <v>4691</v>
      </c>
      <c r="F124" s="199"/>
      <c r="G124" s="199"/>
    </row>
    <row r="125" spans="1:12" x14ac:dyDescent="0.35">
      <c r="A125" s="16" t="s">
        <v>4672</v>
      </c>
      <c r="B125" s="162">
        <v>46076</v>
      </c>
      <c r="C125" s="53" t="s">
        <v>4698</v>
      </c>
      <c r="E125" s="16" t="s">
        <v>4679</v>
      </c>
      <c r="F125" s="57">
        <v>9</v>
      </c>
    </row>
    <row r="126" spans="1:12" x14ac:dyDescent="0.35">
      <c r="A126" s="16" t="s">
        <v>4673</v>
      </c>
      <c r="B126">
        <f>COUNTIF(REGISTRO_DIARIO!C:C,B125)</f>
        <v>15</v>
      </c>
      <c r="E126" s="16" t="s">
        <v>4680</v>
      </c>
      <c r="F126" s="171">
        <f>COUNTIF(REGISTRO_DIARIO!B:B,F125)</f>
        <v>89</v>
      </c>
    </row>
    <row r="127" spans="1:12" x14ac:dyDescent="0.35">
      <c r="A127" s="16" t="s">
        <v>4674</v>
      </c>
      <c r="B127">
        <f>SUMIF(REGISTRO_DIARIO!C:C,B125,REGISTRO_DIARIO!G:G)</f>
        <v>379</v>
      </c>
      <c r="E127" s="16" t="s">
        <v>4681</v>
      </c>
      <c r="F127" s="171">
        <f>SUMIF(REGISTRO_DIARIO!B:B,F125,REGISTRO_DIARIO!G:G)</f>
        <v>2204</v>
      </c>
    </row>
    <row r="128" spans="1:12" x14ac:dyDescent="0.35">
      <c r="A128" s="16" t="s">
        <v>4675</v>
      </c>
      <c r="B128" s="144">
        <f>SUMIF(REGISTRO_DIARIO!C:C,B125,REGISTRO_DIARIO!J:J)</f>
        <v>5020</v>
      </c>
      <c r="E128" s="16" t="s">
        <v>4682</v>
      </c>
      <c r="F128" s="144">
        <f>SUMIF(REGISTRO_DIARIO!B:B,F125,REGISTRO_DIARIO!J:J)</f>
        <v>29770</v>
      </c>
    </row>
    <row r="129" spans="1:6" x14ac:dyDescent="0.35">
      <c r="A129" s="16" t="s">
        <v>4678</v>
      </c>
      <c r="B129">
        <f>SUMIF(REGISTRO_DIARIO!C:C,B125,REGISTRO_DIARIO!F:F)</f>
        <v>669</v>
      </c>
      <c r="E129" s="16" t="s">
        <v>4692</v>
      </c>
      <c r="F129" s="171">
        <f>SUMIF(REGISTRO_DIARIO!B:B,F125,REGISTRO_DIARIO!F:F)</f>
        <v>3912</v>
      </c>
    </row>
    <row r="130" spans="1:6" x14ac:dyDescent="0.35">
      <c r="A130" s="16" t="s">
        <v>4676</v>
      </c>
      <c r="B130" s="149">
        <f>IFERROR(B127/B129,0)</f>
        <v>0.56651718983557553</v>
      </c>
      <c r="E130" s="16" t="s">
        <v>4683</v>
      </c>
      <c r="F130" s="149">
        <f>IFERROR(F127/F129,0)</f>
        <v>0.56339468302658491</v>
      </c>
    </row>
    <row r="131" spans="1:6" x14ac:dyDescent="0.35">
      <c r="A131" s="16" t="s">
        <v>4677</v>
      </c>
      <c r="B131" s="163">
        <f>IFERROR(B128/B127,0)</f>
        <v>13.24538258575198</v>
      </c>
      <c r="E131" s="16" t="s">
        <v>4684</v>
      </c>
      <c r="F131" s="163">
        <f>IFERROR(F128/F127,0)</f>
        <v>13.507259528130671</v>
      </c>
    </row>
    <row r="132" spans="1:6" x14ac:dyDescent="0.35">
      <c r="A132" s="16" t="s">
        <v>4686</v>
      </c>
      <c r="B132" t="str">
        <f>B127&amp;" de "&amp;B129&amp;" ("&amp;TEXT(IFERROR(B127/B129,0),"0%")&amp;")"</f>
        <v>379 de 669 (57%)</v>
      </c>
    </row>
  </sheetData>
  <autoFilter ref="A38:J90" xr:uid="{596EF4FC-7CDB-4E6B-8711-9BDBF766B68A}"/>
  <mergeCells count="14">
    <mergeCell ref="A1:O1"/>
    <mergeCell ref="A37:J37"/>
    <mergeCell ref="A2:O2"/>
    <mergeCell ref="A6:B6"/>
    <mergeCell ref="D6:F6"/>
    <mergeCell ref="H6:J6"/>
    <mergeCell ref="F17:I17"/>
    <mergeCell ref="A17:D17"/>
    <mergeCell ref="K17:O17"/>
    <mergeCell ref="A97:H97"/>
    <mergeCell ref="A121:L121"/>
    <mergeCell ref="A122:L122"/>
    <mergeCell ref="A124:C124"/>
    <mergeCell ref="E124:G124"/>
  </mergeCells>
  <dataValidations count="2">
    <dataValidation type="list" allowBlank="1" showInputMessage="1" showErrorMessage="1" sqref="D4" xr:uid="{62CB7BA9-549A-42DE-A942-BC38C40F7276}">
      <formula1>"OPERARIO,STAFF,TODOS"</formula1>
    </dataValidation>
    <dataValidation type="list" allowBlank="1" showInputMessage="1" showErrorMessage="1" sqref="B4" xr:uid="{C14BEDD9-EBE0-4610-9D5F-841A0D86B264}">
      <formula1>"SECOS,PPA,FRESCOS,TODOS"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2CD5B10-2122-4DF5-8A3C-9A9344F16EE7}">
          <x14:formula1>
            <xm:f>'BD BUSES'!$B$15:$B$379</xm:f>
          </x14:formula1>
          <xm:sqref>B125</xm:sqref>
        </x14:dataValidation>
        <x14:dataValidation type="list" allowBlank="1" showInputMessage="1" showErrorMessage="1" xr:uid="{71236D20-55E0-4B33-A1A6-D1C6BA802353}">
          <x14:formula1>
            <xm:f>'BD BUSES'!$D$15:$D$66</xm:f>
          </x14:formula1>
          <xm:sqref>F125 B98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F9F9A-290F-4CA0-9F89-0192FE262368}">
  <dimension ref="A1:M83"/>
  <sheetViews>
    <sheetView zoomScale="85" zoomScaleNormal="85" workbookViewId="0">
      <pane xSplit="1" topLeftCell="B1" activePane="topRight" state="frozen"/>
      <selection pane="topRight" activeCell="P83" sqref="P2:P83"/>
    </sheetView>
  </sheetViews>
  <sheetFormatPr baseColWidth="10" defaultRowHeight="14.5" x14ac:dyDescent="0.35"/>
  <cols>
    <col min="1" max="6" width="10.90625" bestFit="1" customWidth="1"/>
    <col min="7" max="7" width="10.08984375" bestFit="1" customWidth="1"/>
    <col min="8" max="8" width="9.26953125" bestFit="1" customWidth="1"/>
    <col min="9" max="9" width="10.90625" bestFit="1" customWidth="1"/>
    <col min="13" max="13" width="9.81640625" bestFit="1" customWidth="1"/>
    <col min="16" max="16" width="17.54296875" bestFit="1" customWidth="1"/>
  </cols>
  <sheetData>
    <row r="1" spans="1:13" x14ac:dyDescent="0.35">
      <c r="A1" s="18" t="s">
        <v>4585</v>
      </c>
      <c r="B1" s="19" t="s">
        <v>4586</v>
      </c>
      <c r="C1" s="19" t="s">
        <v>4587</v>
      </c>
      <c r="D1" s="23" t="s">
        <v>4231</v>
      </c>
      <c r="E1" s="23" t="s">
        <v>4232</v>
      </c>
      <c r="F1" s="24" t="s">
        <v>4233</v>
      </c>
      <c r="G1" s="19" t="s">
        <v>4616</v>
      </c>
      <c r="H1" s="19" t="s">
        <v>4539</v>
      </c>
      <c r="I1" s="19" t="s">
        <v>4633</v>
      </c>
      <c r="J1" s="19" t="s">
        <v>4637</v>
      </c>
      <c r="K1" s="19" t="s">
        <v>4636</v>
      </c>
      <c r="L1" s="19" t="s">
        <v>4635</v>
      </c>
      <c r="M1" s="19" t="s">
        <v>4638</v>
      </c>
    </row>
    <row r="2" spans="1:13" x14ac:dyDescent="0.35">
      <c r="A2" s="8" t="s">
        <v>4237</v>
      </c>
      <c r="B2" s="4" t="s">
        <v>4238</v>
      </c>
      <c r="C2" s="4" t="s">
        <v>4239</v>
      </c>
      <c r="D2" s="4" t="str">
        <f t="shared" ref="D2:D33" si="0">C2&amp;", Lima, Perú"</f>
        <v>Paradero Ferretería, Lima, Perú</v>
      </c>
      <c r="E2" s="25">
        <v>-11.968456</v>
      </c>
      <c r="F2" s="26">
        <v>-77.088847999999999</v>
      </c>
      <c r="G2" s="19" t="s">
        <v>1995</v>
      </c>
      <c r="H2" s="19" t="s">
        <v>4631</v>
      </c>
      <c r="I2" s="19">
        <f>VLOOKUP(BD_PARADEROS[[#This Row],[TIPO]],TBCAPACIDAD[],2,FALSE)</f>
        <v>30</v>
      </c>
      <c r="J2" s="19">
        <v>30</v>
      </c>
      <c r="K2" s="19">
        <v>20</v>
      </c>
      <c r="L2" s="19">
        <v>8</v>
      </c>
      <c r="M2" s="19">
        <v>3720</v>
      </c>
    </row>
    <row r="3" spans="1:13" x14ac:dyDescent="0.35">
      <c r="A3" s="8" t="s">
        <v>4237</v>
      </c>
      <c r="B3" s="4" t="s">
        <v>4240</v>
      </c>
      <c r="C3" s="4" t="s">
        <v>4241</v>
      </c>
      <c r="D3" s="4" t="str">
        <f t="shared" si="0"/>
        <v>Paradero Saracoto, Lima, Perú</v>
      </c>
      <c r="E3" s="25">
        <v>-12.011564399999999</v>
      </c>
      <c r="F3" s="26">
        <v>-76.982143800000003</v>
      </c>
      <c r="G3" s="4" t="s">
        <v>1995</v>
      </c>
      <c r="H3" s="19" t="s">
        <v>4631</v>
      </c>
      <c r="I3" s="4">
        <f>VLOOKUP(BD_PARADEROS[[#This Row],[TIPO]],TBCAPACIDAD[],2,FALSE)</f>
        <v>30</v>
      </c>
      <c r="J3" s="19">
        <v>30</v>
      </c>
      <c r="K3" s="19">
        <v>20</v>
      </c>
      <c r="L3" s="19">
        <v>8</v>
      </c>
      <c r="M3" s="4">
        <v>3720</v>
      </c>
    </row>
    <row r="4" spans="1:13" x14ac:dyDescent="0.35">
      <c r="A4" s="8" t="s">
        <v>4237</v>
      </c>
      <c r="B4" s="4" t="s">
        <v>4242</v>
      </c>
      <c r="C4" s="4" t="s">
        <v>4243</v>
      </c>
      <c r="D4" s="4" t="str">
        <f t="shared" si="0"/>
        <v>Paradero FAME / Cajamarquilla (SOLO SALIDA), Lima, Perú</v>
      </c>
      <c r="E4" s="25">
        <v>-11.994582899999999</v>
      </c>
      <c r="F4" s="26">
        <v>-76.904595900000004</v>
      </c>
      <c r="G4" s="4" t="s">
        <v>1995</v>
      </c>
      <c r="H4" s="19" t="s">
        <v>4631</v>
      </c>
      <c r="I4" s="4">
        <f>VLOOKUP(BD_PARADEROS[[#This Row],[TIPO]],TBCAPACIDAD[],2,FALSE)</f>
        <v>30</v>
      </c>
      <c r="J4" s="19">
        <v>30</v>
      </c>
      <c r="K4" s="19">
        <v>20</v>
      </c>
      <c r="L4" s="19">
        <v>8</v>
      </c>
      <c r="M4" s="4">
        <v>3720</v>
      </c>
    </row>
    <row r="5" spans="1:13" x14ac:dyDescent="0.35">
      <c r="A5" s="8" t="s">
        <v>4237</v>
      </c>
      <c r="B5" s="4" t="s">
        <v>4244</v>
      </c>
      <c r="C5" s="4" t="s">
        <v>4245</v>
      </c>
      <c r="D5" s="4" t="str">
        <f t="shared" si="0"/>
        <v>Tottus Huachipa, Lima, Perú</v>
      </c>
      <c r="E5" s="25">
        <v>-12.0002005</v>
      </c>
      <c r="F5" s="26">
        <v>-76.900436600000006</v>
      </c>
      <c r="G5" s="4" t="s">
        <v>1995</v>
      </c>
      <c r="H5" s="19" t="s">
        <v>4631</v>
      </c>
      <c r="I5" s="4">
        <f>VLOOKUP(BD_PARADEROS[[#This Row],[TIPO]],TBCAPACIDAD[],2,FALSE)</f>
        <v>30</v>
      </c>
      <c r="J5" s="19">
        <v>30</v>
      </c>
      <c r="K5" s="19">
        <v>20</v>
      </c>
      <c r="L5" s="19">
        <v>8</v>
      </c>
      <c r="M5" s="4">
        <v>3720</v>
      </c>
    </row>
    <row r="6" spans="1:13" x14ac:dyDescent="0.35">
      <c r="A6" s="8" t="s">
        <v>4246</v>
      </c>
      <c r="B6" s="4" t="s">
        <v>4238</v>
      </c>
      <c r="C6" s="4" t="s">
        <v>4247</v>
      </c>
      <c r="D6" s="4" t="str">
        <f t="shared" si="0"/>
        <v>Paradero Arco San Antonio, Lima, Perú</v>
      </c>
      <c r="E6" s="25">
        <v>-11.993506500000001</v>
      </c>
      <c r="F6" s="26">
        <v>-76.903131200000004</v>
      </c>
      <c r="G6" s="4" t="s">
        <v>1996</v>
      </c>
      <c r="H6" s="4" t="s">
        <v>4628</v>
      </c>
      <c r="I6" s="4">
        <f>VLOOKUP(BD_PARADEROS[[#This Row],[TIPO]],TBCAPACIDAD[],2,FALSE)</f>
        <v>10</v>
      </c>
      <c r="J6" s="4">
        <v>8</v>
      </c>
      <c r="K6" s="4">
        <v>5</v>
      </c>
      <c r="L6" s="4">
        <v>3</v>
      </c>
      <c r="M6" s="4">
        <v>3720</v>
      </c>
    </row>
    <row r="7" spans="1:13" x14ac:dyDescent="0.35">
      <c r="A7" s="8" t="s">
        <v>4246</v>
      </c>
      <c r="B7" s="4" t="s">
        <v>4248</v>
      </c>
      <c r="C7" s="4" t="s">
        <v>4249</v>
      </c>
      <c r="D7" s="4" t="str">
        <f t="shared" si="0"/>
        <v>Paradero Paraíso, Lima, Perú</v>
      </c>
      <c r="E7" s="25">
        <v>-12.0861146</v>
      </c>
      <c r="F7" s="26">
        <v>-76.912847799999994</v>
      </c>
      <c r="G7" s="4" t="s">
        <v>1996</v>
      </c>
      <c r="H7" s="4" t="s">
        <v>4628</v>
      </c>
      <c r="I7" s="4">
        <f>VLOOKUP(BD_PARADEROS[[#This Row],[TIPO]],TBCAPACIDAD[],2,FALSE)</f>
        <v>10</v>
      </c>
      <c r="J7" s="4">
        <v>8</v>
      </c>
      <c r="K7" s="4">
        <v>5</v>
      </c>
      <c r="L7" s="4">
        <v>3</v>
      </c>
      <c r="M7" s="4">
        <v>3720</v>
      </c>
    </row>
    <row r="8" spans="1:13" x14ac:dyDescent="0.35">
      <c r="A8" s="8" t="s">
        <v>4246</v>
      </c>
      <c r="B8" s="4" t="s">
        <v>4244</v>
      </c>
      <c r="C8" s="4" t="s">
        <v>4245</v>
      </c>
      <c r="D8" s="4" t="str">
        <f t="shared" si="0"/>
        <v>Tottus Huachipa, Lima, Perú</v>
      </c>
      <c r="E8" s="25">
        <v>-12.0002005</v>
      </c>
      <c r="F8" s="26">
        <v>-76.900436600000006</v>
      </c>
      <c r="G8" s="4" t="s">
        <v>1996</v>
      </c>
      <c r="H8" s="4" t="s">
        <v>4628</v>
      </c>
      <c r="I8" s="4">
        <f>VLOOKUP(BD_PARADEROS[[#This Row],[TIPO]],TBCAPACIDAD[],2,FALSE)</f>
        <v>10</v>
      </c>
      <c r="J8" s="4">
        <v>8</v>
      </c>
      <c r="K8" s="4">
        <v>5</v>
      </c>
      <c r="L8" s="4">
        <v>3</v>
      </c>
      <c r="M8" s="4">
        <v>3720</v>
      </c>
    </row>
    <row r="9" spans="1:13" x14ac:dyDescent="0.35">
      <c r="A9" s="8" t="s">
        <v>4250</v>
      </c>
      <c r="B9" s="4" t="s">
        <v>4251</v>
      </c>
      <c r="C9" s="4" t="s">
        <v>4252</v>
      </c>
      <c r="D9" s="4" t="str">
        <f t="shared" si="0"/>
        <v>Paradero Sta. Rosa, Lima, Perú</v>
      </c>
      <c r="E9" s="25">
        <v>-12.0522001</v>
      </c>
      <c r="F9" s="26">
        <v>-77.115333399999997</v>
      </c>
      <c r="G9" s="4" t="s">
        <v>2171</v>
      </c>
      <c r="H9" s="4" t="s">
        <v>4632</v>
      </c>
      <c r="I9" s="4">
        <f>VLOOKUP(BD_PARADEROS[[#This Row],[TIPO]],TBCAPACIDAD[],2,FALSE)</f>
        <v>50</v>
      </c>
      <c r="J9" s="4">
        <v>35</v>
      </c>
      <c r="K9" s="4">
        <v>15</v>
      </c>
      <c r="L9" s="4">
        <v>22</v>
      </c>
      <c r="M9" s="4">
        <v>4080</v>
      </c>
    </row>
    <row r="10" spans="1:13" x14ac:dyDescent="0.35">
      <c r="A10" s="8" t="s">
        <v>4250</v>
      </c>
      <c r="B10" s="4" t="s">
        <v>4253</v>
      </c>
      <c r="C10" s="4" t="s">
        <v>2140</v>
      </c>
      <c r="D10" s="4" t="str">
        <f t="shared" si="0"/>
        <v>Paradero Aurora, Lima, Perú</v>
      </c>
      <c r="E10" s="25">
        <v>-12.0258644</v>
      </c>
      <c r="F10" s="26">
        <v>-76.822585099999998</v>
      </c>
      <c r="G10" s="4" t="s">
        <v>2171</v>
      </c>
      <c r="H10" s="4" t="s">
        <v>4632</v>
      </c>
      <c r="I10" s="4">
        <f>VLOOKUP(BD_PARADEROS[[#This Row],[TIPO]],TBCAPACIDAD[],2,FALSE)</f>
        <v>50</v>
      </c>
      <c r="J10" s="4">
        <v>35</v>
      </c>
      <c r="K10" s="4">
        <v>15</v>
      </c>
      <c r="L10" s="4">
        <v>22</v>
      </c>
      <c r="M10" s="4">
        <v>4080</v>
      </c>
    </row>
    <row r="11" spans="1:13" x14ac:dyDescent="0.35">
      <c r="A11" s="8" t="s">
        <v>4250</v>
      </c>
      <c r="B11" s="4" t="s">
        <v>4254</v>
      </c>
      <c r="C11" s="4" t="s">
        <v>4255</v>
      </c>
      <c r="D11" s="4" t="str">
        <f t="shared" si="0"/>
        <v>Paradero 15 de Julio, Lima, Perú</v>
      </c>
      <c r="E11" s="25">
        <v>-11.977323800000001</v>
      </c>
      <c r="F11" s="26">
        <v>-77.058960999999996</v>
      </c>
      <c r="G11" s="4" t="s">
        <v>2171</v>
      </c>
      <c r="H11" s="4" t="s">
        <v>4632</v>
      </c>
      <c r="I11" s="4">
        <f>VLOOKUP(BD_PARADEROS[[#This Row],[TIPO]],TBCAPACIDAD[],2,FALSE)</f>
        <v>50</v>
      </c>
      <c r="J11" s="4">
        <v>35</v>
      </c>
      <c r="K11" s="4">
        <v>15</v>
      </c>
      <c r="L11" s="4">
        <v>22</v>
      </c>
      <c r="M11" s="4">
        <v>4080</v>
      </c>
    </row>
    <row r="12" spans="1:13" x14ac:dyDescent="0.35">
      <c r="A12" s="8" t="s">
        <v>4250</v>
      </c>
      <c r="B12" s="4" t="s">
        <v>4256</v>
      </c>
      <c r="C12" s="4" t="s">
        <v>4257</v>
      </c>
      <c r="D12" s="4" t="str">
        <f t="shared" si="0"/>
        <v>Paradero Villa Hermosa, Lima, Perú</v>
      </c>
      <c r="E12" s="25">
        <v>-12.0422674</v>
      </c>
      <c r="F12" s="26">
        <v>-76.986968300000001</v>
      </c>
      <c r="G12" s="4" t="s">
        <v>2171</v>
      </c>
      <c r="H12" s="4" t="s">
        <v>4632</v>
      </c>
      <c r="I12" s="4">
        <f>VLOOKUP(BD_PARADEROS[[#This Row],[TIPO]],TBCAPACIDAD[],2,FALSE)</f>
        <v>50</v>
      </c>
      <c r="J12" s="4">
        <v>35</v>
      </c>
      <c r="K12" s="4">
        <v>15</v>
      </c>
      <c r="L12" s="4">
        <v>22</v>
      </c>
      <c r="M12" s="4">
        <v>4080</v>
      </c>
    </row>
    <row r="13" spans="1:13" x14ac:dyDescent="0.35">
      <c r="A13" s="8" t="s">
        <v>4250</v>
      </c>
      <c r="B13" s="4" t="s">
        <v>4242</v>
      </c>
      <c r="C13" s="4" t="s">
        <v>4258</v>
      </c>
      <c r="D13" s="4" t="str">
        <f t="shared" si="0"/>
        <v>Paradero Kimberly (solo aplica para salida), Lima, Perú</v>
      </c>
      <c r="E13" s="25">
        <v>-12.0466888</v>
      </c>
      <c r="F13" s="26">
        <v>-77.043088600000004</v>
      </c>
      <c r="G13" s="4" t="s">
        <v>2171</v>
      </c>
      <c r="H13" s="4" t="s">
        <v>4632</v>
      </c>
      <c r="I13" s="4">
        <f>VLOOKUP(BD_PARADEROS[[#This Row],[TIPO]],TBCAPACIDAD[],2,FALSE)</f>
        <v>50</v>
      </c>
      <c r="J13" s="4">
        <v>35</v>
      </c>
      <c r="K13" s="4">
        <v>15</v>
      </c>
      <c r="L13" s="4">
        <v>22</v>
      </c>
      <c r="M13" s="4">
        <v>4080</v>
      </c>
    </row>
    <row r="14" spans="1:13" x14ac:dyDescent="0.35">
      <c r="A14" s="8" t="s">
        <v>4250</v>
      </c>
      <c r="B14" s="4" t="s">
        <v>4259</v>
      </c>
      <c r="C14" s="4" t="s">
        <v>4260</v>
      </c>
      <c r="D14" s="4" t="str">
        <f t="shared" si="0"/>
        <v>Paradero Rompemuelle, Lima, Perú</v>
      </c>
      <c r="E14" s="25">
        <v>-12.0466888</v>
      </c>
      <c r="F14" s="26">
        <v>-77.043088600000004</v>
      </c>
      <c r="G14" s="4" t="s">
        <v>2171</v>
      </c>
      <c r="H14" s="4" t="s">
        <v>4632</v>
      </c>
      <c r="I14" s="4">
        <f>VLOOKUP(BD_PARADEROS[[#This Row],[TIPO]],TBCAPACIDAD[],2,FALSE)</f>
        <v>50</v>
      </c>
      <c r="J14" s="4">
        <v>35</v>
      </c>
      <c r="K14" s="4">
        <v>15</v>
      </c>
      <c r="L14" s="4">
        <v>22</v>
      </c>
      <c r="M14" s="4">
        <v>4080</v>
      </c>
    </row>
    <row r="15" spans="1:13" x14ac:dyDescent="0.35">
      <c r="A15" s="8" t="s">
        <v>4250</v>
      </c>
      <c r="B15" s="4" t="s">
        <v>4244</v>
      </c>
      <c r="C15" s="4" t="s">
        <v>4245</v>
      </c>
      <c r="D15" s="4" t="str">
        <f t="shared" si="0"/>
        <v>Tottus Huachipa, Lima, Perú</v>
      </c>
      <c r="E15" s="25">
        <v>-12.0002005</v>
      </c>
      <c r="F15" s="26">
        <v>-76.900436600000006</v>
      </c>
      <c r="G15" s="4" t="s">
        <v>2171</v>
      </c>
      <c r="H15" s="4" t="s">
        <v>4632</v>
      </c>
      <c r="I15" s="4">
        <f>VLOOKUP(BD_PARADEROS[[#This Row],[TIPO]],TBCAPACIDAD[],2,FALSE)</f>
        <v>50</v>
      </c>
      <c r="J15" s="4">
        <v>35</v>
      </c>
      <c r="K15" s="4">
        <v>15</v>
      </c>
      <c r="L15" s="4">
        <v>22</v>
      </c>
      <c r="M15" s="4">
        <v>4080</v>
      </c>
    </row>
    <row r="16" spans="1:13" x14ac:dyDescent="0.35">
      <c r="A16" s="8" t="s">
        <v>4261</v>
      </c>
      <c r="B16" s="4" t="s">
        <v>4259</v>
      </c>
      <c r="C16" s="4" t="s">
        <v>4262</v>
      </c>
      <c r="D16" s="4" t="str">
        <f t="shared" si="0"/>
        <v>Municipalidad de Santa Anita, Lima, Perú</v>
      </c>
      <c r="E16" s="25">
        <v>-12.043303099999999</v>
      </c>
      <c r="F16" s="26">
        <v>-76.970367300000007</v>
      </c>
      <c r="G16" s="4" t="s">
        <v>4617</v>
      </c>
      <c r="H16" s="4" t="s">
        <v>4631</v>
      </c>
      <c r="I16" s="4">
        <f>VLOOKUP(BD_PARADEROS[[#This Row],[TIPO]],TBCAPACIDAD[],2,FALSE)</f>
        <v>30</v>
      </c>
      <c r="J16" s="4">
        <v>12</v>
      </c>
      <c r="K16" s="4">
        <v>9</v>
      </c>
      <c r="L16" s="4">
        <v>4</v>
      </c>
      <c r="M16" s="4">
        <v>3900</v>
      </c>
    </row>
    <row r="17" spans="1:13" x14ac:dyDescent="0.35">
      <c r="A17" s="8" t="s">
        <v>4261</v>
      </c>
      <c r="B17" s="4" t="s">
        <v>4263</v>
      </c>
      <c r="C17" s="4" t="s">
        <v>4264</v>
      </c>
      <c r="D17" s="4" t="str">
        <f t="shared" si="0"/>
        <v>Av. Colectora con Metropolitana, Lima, Perú</v>
      </c>
      <c r="E17" s="25">
        <v>-12.0406408</v>
      </c>
      <c r="F17" s="26">
        <v>-76.9608408</v>
      </c>
      <c r="G17" s="4" t="s">
        <v>4617</v>
      </c>
      <c r="H17" s="4" t="s">
        <v>4631</v>
      </c>
      <c r="I17" s="4">
        <f>VLOOKUP(BD_PARADEROS[[#This Row],[TIPO]],TBCAPACIDAD[],2,FALSE)</f>
        <v>30</v>
      </c>
      <c r="J17" s="4">
        <v>12</v>
      </c>
      <c r="K17" s="4">
        <v>9</v>
      </c>
      <c r="L17" s="4">
        <v>4</v>
      </c>
      <c r="M17" s="4">
        <v>3900</v>
      </c>
    </row>
    <row r="18" spans="1:13" x14ac:dyDescent="0.35">
      <c r="A18" s="8" t="s">
        <v>4261</v>
      </c>
      <c r="B18" s="4" t="s">
        <v>4265</v>
      </c>
      <c r="C18" s="4" t="s">
        <v>4266</v>
      </c>
      <c r="D18" s="4" t="str">
        <f t="shared" si="0"/>
        <v>Av. Huarochirí con Metropolitana, Lima, Perú</v>
      </c>
      <c r="E18" s="25">
        <v>-12.0378586</v>
      </c>
      <c r="F18" s="26">
        <v>-76.953911899999994</v>
      </c>
      <c r="G18" s="4" t="s">
        <v>4617</v>
      </c>
      <c r="H18" s="4" t="s">
        <v>4631</v>
      </c>
      <c r="I18" s="4">
        <f>VLOOKUP(BD_PARADEROS[[#This Row],[TIPO]],TBCAPACIDAD[],2,FALSE)</f>
        <v>30</v>
      </c>
      <c r="J18" s="4">
        <v>12</v>
      </c>
      <c r="K18" s="4">
        <v>9</v>
      </c>
      <c r="L18" s="4">
        <v>4</v>
      </c>
      <c r="M18" s="4">
        <v>3900</v>
      </c>
    </row>
    <row r="19" spans="1:13" x14ac:dyDescent="0.35">
      <c r="A19" s="8" t="s">
        <v>4261</v>
      </c>
      <c r="B19" s="4" t="s">
        <v>4267</v>
      </c>
      <c r="C19" s="4" t="s">
        <v>4268</v>
      </c>
      <c r="D19" s="4" t="str">
        <f t="shared" si="0"/>
        <v>Av. Metropolitana con Cultura, Lima, Perú</v>
      </c>
      <c r="E19" s="25">
        <v>-11.952880199999999</v>
      </c>
      <c r="F19" s="26">
        <v>-77.064598399999994</v>
      </c>
      <c r="G19" s="4" t="s">
        <v>4617</v>
      </c>
      <c r="H19" s="4" t="s">
        <v>4631</v>
      </c>
      <c r="I19" s="4">
        <f>VLOOKUP(BD_PARADEROS[[#This Row],[TIPO]],TBCAPACIDAD[],2,FALSE)</f>
        <v>30</v>
      </c>
      <c r="J19" s="4">
        <v>12</v>
      </c>
      <c r="K19" s="4">
        <v>9</v>
      </c>
      <c r="L19" s="4">
        <v>4</v>
      </c>
      <c r="M19" s="4">
        <v>3900</v>
      </c>
    </row>
    <row r="20" spans="1:13" x14ac:dyDescent="0.35">
      <c r="A20" s="8" t="s">
        <v>4261</v>
      </c>
      <c r="B20" s="4" t="s">
        <v>4269</v>
      </c>
      <c r="C20" s="4" t="s">
        <v>4270</v>
      </c>
      <c r="D20" s="4" t="str">
        <f t="shared" si="0"/>
        <v>Real Plaza Puruchuco (Grifo Primax), Lima, Perú</v>
      </c>
      <c r="E20" s="25">
        <v>-12.041366699999999</v>
      </c>
      <c r="F20" s="26">
        <v>-76.9319773</v>
      </c>
      <c r="G20" s="4" t="s">
        <v>4617</v>
      </c>
      <c r="H20" s="4" t="s">
        <v>4631</v>
      </c>
      <c r="I20" s="4">
        <f>VLOOKUP(BD_PARADEROS[[#This Row],[TIPO]],TBCAPACIDAD[],2,FALSE)</f>
        <v>30</v>
      </c>
      <c r="J20" s="4">
        <v>12</v>
      </c>
      <c r="K20" s="4">
        <v>9</v>
      </c>
      <c r="L20" s="4">
        <v>4</v>
      </c>
      <c r="M20" s="4">
        <v>3900</v>
      </c>
    </row>
    <row r="21" spans="1:13" x14ac:dyDescent="0.35">
      <c r="A21" s="8" t="s">
        <v>4261</v>
      </c>
      <c r="B21" s="4" t="s">
        <v>4271</v>
      </c>
      <c r="C21" s="4" t="s">
        <v>4272</v>
      </c>
      <c r="D21" s="4" t="str">
        <f t="shared" si="0"/>
        <v>Paradero Berlín con Javier prado (cruzando el semáforo) aplica solo al ingreso., Lima, Perú</v>
      </c>
      <c r="E21" s="25">
        <v>-12.090224299999999</v>
      </c>
      <c r="F21" s="26">
        <v>-77.017361600000001</v>
      </c>
      <c r="G21" s="4" t="s">
        <v>4617</v>
      </c>
      <c r="H21" s="4" t="s">
        <v>4631</v>
      </c>
      <c r="I21" s="4">
        <f>VLOOKUP(BD_PARADEROS[[#This Row],[TIPO]],TBCAPACIDAD[],2,FALSE)</f>
        <v>30</v>
      </c>
      <c r="J21" s="4">
        <v>12</v>
      </c>
      <c r="K21" s="4">
        <v>9</v>
      </c>
      <c r="L21" s="4">
        <v>4</v>
      </c>
      <c r="M21" s="4">
        <v>3900</v>
      </c>
    </row>
    <row r="22" spans="1:13" x14ac:dyDescent="0.35">
      <c r="A22" s="8" t="s">
        <v>4261</v>
      </c>
      <c r="B22" s="4" t="s">
        <v>4244</v>
      </c>
      <c r="C22" s="4" t="s">
        <v>4245</v>
      </c>
      <c r="D22" s="4" t="str">
        <f t="shared" si="0"/>
        <v>Tottus Huachipa, Lima, Perú</v>
      </c>
      <c r="E22" s="25">
        <v>-12.0002005</v>
      </c>
      <c r="F22" s="26">
        <v>-76.900436600000006</v>
      </c>
      <c r="G22" s="4" t="s">
        <v>4617</v>
      </c>
      <c r="H22" s="4" t="s">
        <v>4631</v>
      </c>
      <c r="I22" s="4">
        <f>VLOOKUP(BD_PARADEROS[[#This Row],[TIPO]],TBCAPACIDAD[],2,FALSE)</f>
        <v>30</v>
      </c>
      <c r="J22" s="4">
        <v>12</v>
      </c>
      <c r="K22" s="4">
        <v>9</v>
      </c>
      <c r="L22" s="4">
        <v>4</v>
      </c>
      <c r="M22" s="4">
        <v>3900</v>
      </c>
    </row>
    <row r="23" spans="1:13" x14ac:dyDescent="0.35">
      <c r="A23" s="8" t="s">
        <v>4273</v>
      </c>
      <c r="B23" s="4" t="s">
        <v>4274</v>
      </c>
      <c r="C23" s="4" t="s">
        <v>4275</v>
      </c>
      <c r="D23" s="4" t="str">
        <f t="shared" si="0"/>
        <v>Panadería Marcela (cruce de la carretera central, con Av. Jose Carlos Mariátegui), Lima, Perú</v>
      </c>
      <c r="E23" s="25">
        <v>-12.026609499999999</v>
      </c>
      <c r="F23" s="26">
        <v>-76.920643400000003</v>
      </c>
      <c r="G23" s="4" t="s">
        <v>4618</v>
      </c>
      <c r="H23" s="4" t="s">
        <v>4631</v>
      </c>
      <c r="I23" s="4">
        <f>VLOOKUP(BD_PARADEROS[[#This Row],[TIPO]],TBCAPACIDAD[],2,FALSE)</f>
        <v>30</v>
      </c>
      <c r="J23" s="4">
        <v>9</v>
      </c>
      <c r="K23" s="4">
        <v>20</v>
      </c>
      <c r="L23" s="4">
        <v>18</v>
      </c>
      <c r="M23" s="4">
        <v>3620</v>
      </c>
    </row>
    <row r="24" spans="1:13" x14ac:dyDescent="0.35">
      <c r="A24" s="8" t="s">
        <v>4273</v>
      </c>
      <c r="B24" s="4" t="s">
        <v>4276</v>
      </c>
      <c r="C24" s="4" t="s">
        <v>4277</v>
      </c>
      <c r="D24" s="4" t="str">
        <f t="shared" si="0"/>
        <v>Paradero Cesar Vallejo, Lima, Perú</v>
      </c>
      <c r="E24" s="25">
        <v>-11.801477999999999</v>
      </c>
      <c r="F24" s="26">
        <v>-77.010198000000003</v>
      </c>
      <c r="G24" s="4" t="s">
        <v>4618</v>
      </c>
      <c r="H24" s="4" t="s">
        <v>4631</v>
      </c>
      <c r="I24" s="4">
        <f>VLOOKUP(BD_PARADEROS[[#This Row],[TIPO]],TBCAPACIDAD[],2,FALSE)</f>
        <v>30</v>
      </c>
      <c r="J24" s="4">
        <v>9</v>
      </c>
      <c r="K24" s="4">
        <v>20</v>
      </c>
      <c r="L24" s="4">
        <v>18</v>
      </c>
      <c r="M24" s="4">
        <v>3620</v>
      </c>
    </row>
    <row r="25" spans="1:13" x14ac:dyDescent="0.35">
      <c r="A25" s="8" t="s">
        <v>4273</v>
      </c>
      <c r="B25" s="4" t="s">
        <v>4238</v>
      </c>
      <c r="C25" s="4" t="s">
        <v>4278</v>
      </c>
      <c r="D25" s="4" t="str">
        <f t="shared" si="0"/>
        <v>Paradero Esperanza, Lima, Perú</v>
      </c>
      <c r="E25" s="25">
        <v>-12.021782200000001</v>
      </c>
      <c r="F25" s="26">
        <v>-76.9069073</v>
      </c>
      <c r="G25" s="4" t="s">
        <v>4618</v>
      </c>
      <c r="H25" s="4" t="s">
        <v>4631</v>
      </c>
      <c r="I25" s="4">
        <f>VLOOKUP(BD_PARADEROS[[#This Row],[TIPO]],TBCAPACIDAD[],2,FALSE)</f>
        <v>30</v>
      </c>
      <c r="J25" s="4">
        <v>9</v>
      </c>
      <c r="K25" s="4">
        <v>20</v>
      </c>
      <c r="L25" s="4">
        <v>18</v>
      </c>
      <c r="M25" s="4">
        <v>3620</v>
      </c>
    </row>
    <row r="26" spans="1:13" x14ac:dyDescent="0.35">
      <c r="A26" s="8" t="s">
        <v>4273</v>
      </c>
      <c r="B26" s="4" t="s">
        <v>4279</v>
      </c>
      <c r="C26" s="4" t="s">
        <v>4280</v>
      </c>
      <c r="D26" s="4" t="str">
        <f t="shared" si="0"/>
        <v>Paradero la Cruz, Lima, Perú</v>
      </c>
      <c r="E26" s="25">
        <v>-12.014773699999999</v>
      </c>
      <c r="F26" s="26">
        <v>-76.885043300000007</v>
      </c>
      <c r="G26" s="4" t="s">
        <v>4618</v>
      </c>
      <c r="H26" s="4" t="s">
        <v>4631</v>
      </c>
      <c r="I26" s="4">
        <f>VLOOKUP(BD_PARADEROS[[#This Row],[TIPO]],TBCAPACIDAD[],2,FALSE)</f>
        <v>30</v>
      </c>
      <c r="J26" s="4">
        <v>9</v>
      </c>
      <c r="K26" s="4">
        <v>20</v>
      </c>
      <c r="L26" s="4">
        <v>18</v>
      </c>
      <c r="M26" s="4">
        <v>3620</v>
      </c>
    </row>
    <row r="27" spans="1:13" x14ac:dyDescent="0.35">
      <c r="A27" s="8" t="s">
        <v>4273</v>
      </c>
      <c r="B27" s="4" t="s">
        <v>4244</v>
      </c>
      <c r="C27" s="4" t="s">
        <v>4245</v>
      </c>
      <c r="D27" s="4" t="str">
        <f t="shared" si="0"/>
        <v>Tottus Huachipa, Lima, Perú</v>
      </c>
      <c r="E27" s="25">
        <v>-12.0002005</v>
      </c>
      <c r="F27" s="26">
        <v>-76.900436600000006</v>
      </c>
      <c r="G27" s="4" t="s">
        <v>4618</v>
      </c>
      <c r="H27" s="4" t="s">
        <v>4631</v>
      </c>
      <c r="I27" s="4">
        <f>VLOOKUP(BD_PARADEROS[[#This Row],[TIPO]],TBCAPACIDAD[],2,FALSE)</f>
        <v>30</v>
      </c>
      <c r="J27" s="4">
        <v>9</v>
      </c>
      <c r="K27" s="4">
        <v>20</v>
      </c>
      <c r="L27" s="4">
        <v>18</v>
      </c>
      <c r="M27" s="4">
        <v>3620</v>
      </c>
    </row>
    <row r="28" spans="1:13" x14ac:dyDescent="0.35">
      <c r="A28" s="8" t="s">
        <v>4281</v>
      </c>
      <c r="B28" s="4" t="s">
        <v>4259</v>
      </c>
      <c r="C28" s="4" t="s">
        <v>4282</v>
      </c>
      <c r="D28" s="4" t="str">
        <f t="shared" si="0"/>
        <v>Paradero Puente Los Ángeles, Lima, Perú</v>
      </c>
      <c r="E28" s="25">
        <v>-12.0328871</v>
      </c>
      <c r="F28" s="26">
        <v>-77.070490699999993</v>
      </c>
      <c r="G28" s="4" t="s">
        <v>4619</v>
      </c>
      <c r="H28" s="4" t="s">
        <v>4632</v>
      </c>
      <c r="I28" s="4">
        <f>VLOOKUP(BD_PARADEROS[[#This Row],[TIPO]],TBCAPACIDAD[],2,FALSE)</f>
        <v>50</v>
      </c>
      <c r="J28" s="4">
        <v>40</v>
      </c>
      <c r="K28" s="4">
        <v>21</v>
      </c>
      <c r="L28" s="4">
        <v>14</v>
      </c>
      <c r="M28" s="4">
        <v>4440</v>
      </c>
    </row>
    <row r="29" spans="1:13" x14ac:dyDescent="0.35">
      <c r="A29" s="8" t="s">
        <v>4281</v>
      </c>
      <c r="B29" s="4" t="s">
        <v>4283</v>
      </c>
      <c r="C29" s="4" t="s">
        <v>4284</v>
      </c>
      <c r="D29" s="4" t="str">
        <f t="shared" si="0"/>
        <v>Mercado Ramiro Prialé, Lima, Perú</v>
      </c>
      <c r="E29" s="25">
        <v>-11.9775165</v>
      </c>
      <c r="F29" s="26">
        <v>-76.778042299999996</v>
      </c>
      <c r="G29" s="4" t="s">
        <v>4619</v>
      </c>
      <c r="H29" s="4" t="s">
        <v>4632</v>
      </c>
      <c r="I29" s="4">
        <f>VLOOKUP(BD_PARADEROS[[#This Row],[TIPO]],TBCAPACIDAD[],2,FALSE)</f>
        <v>50</v>
      </c>
      <c r="J29" s="4">
        <v>40</v>
      </c>
      <c r="K29" s="4">
        <v>21</v>
      </c>
      <c r="L29" s="4">
        <v>14</v>
      </c>
      <c r="M29" s="4">
        <v>4440</v>
      </c>
    </row>
    <row r="30" spans="1:13" x14ac:dyDescent="0.35">
      <c r="A30" s="8" t="s">
        <v>4281</v>
      </c>
      <c r="B30" s="4" t="s">
        <v>4285</v>
      </c>
      <c r="C30" s="4" t="s">
        <v>4286</v>
      </c>
      <c r="D30" s="4" t="str">
        <f t="shared" si="0"/>
        <v>Paradero Girasoles - Chaclacayo, Lima, Perú</v>
      </c>
      <c r="E30" s="25">
        <v>-11.976472100000001</v>
      </c>
      <c r="F30" s="26">
        <v>-76.772493499999996</v>
      </c>
      <c r="G30" s="4" t="s">
        <v>4619</v>
      </c>
      <c r="H30" s="4" t="s">
        <v>4632</v>
      </c>
      <c r="I30" s="4">
        <f>VLOOKUP(BD_PARADEROS[[#This Row],[TIPO]],TBCAPACIDAD[],2,FALSE)</f>
        <v>50</v>
      </c>
      <c r="J30" s="4">
        <v>40</v>
      </c>
      <c r="K30" s="4">
        <v>21</v>
      </c>
      <c r="L30" s="4">
        <v>14</v>
      </c>
      <c r="M30" s="4">
        <v>4440</v>
      </c>
    </row>
    <row r="31" spans="1:13" x14ac:dyDescent="0.35">
      <c r="A31" s="8" t="s">
        <v>4281</v>
      </c>
      <c r="B31" s="4" t="s">
        <v>4287</v>
      </c>
      <c r="C31" s="4" t="s">
        <v>4288</v>
      </c>
      <c r="D31" s="4" t="str">
        <f t="shared" si="0"/>
        <v>Entrada Ñaña, Lima, Perú</v>
      </c>
      <c r="E31" s="25">
        <v>-11.989179999999999</v>
      </c>
      <c r="F31" s="26">
        <v>-76.81841</v>
      </c>
      <c r="G31" s="4" t="s">
        <v>4619</v>
      </c>
      <c r="H31" s="4" t="s">
        <v>4632</v>
      </c>
      <c r="I31" s="4">
        <f>VLOOKUP(BD_PARADEROS[[#This Row],[TIPO]],TBCAPACIDAD[],2,FALSE)</f>
        <v>50</v>
      </c>
      <c r="J31" s="4">
        <v>40</v>
      </c>
      <c r="K31" s="4">
        <v>21</v>
      </c>
      <c r="L31" s="4">
        <v>14</v>
      </c>
      <c r="M31" s="4">
        <v>4440</v>
      </c>
    </row>
    <row r="32" spans="1:13" x14ac:dyDescent="0.35">
      <c r="A32" s="8" t="s">
        <v>4281</v>
      </c>
      <c r="B32" s="4" t="s">
        <v>4244</v>
      </c>
      <c r="C32" s="4" t="s">
        <v>4245</v>
      </c>
      <c r="D32" s="4" t="str">
        <f t="shared" si="0"/>
        <v>Tottus Huachipa, Lima, Perú</v>
      </c>
      <c r="E32" s="25">
        <v>-12.0002005</v>
      </c>
      <c r="F32" s="26">
        <v>-76.900436600000006</v>
      </c>
      <c r="G32" s="4" t="s">
        <v>4619</v>
      </c>
      <c r="H32" s="4" t="s">
        <v>4632</v>
      </c>
      <c r="I32" s="4">
        <f>VLOOKUP(BD_PARADEROS[[#This Row],[TIPO]],TBCAPACIDAD[],2,FALSE)</f>
        <v>50</v>
      </c>
      <c r="J32" s="4">
        <v>40</v>
      </c>
      <c r="K32" s="4">
        <v>21</v>
      </c>
      <c r="L32" s="4">
        <v>14</v>
      </c>
      <c r="M32" s="4">
        <v>4440</v>
      </c>
    </row>
    <row r="33" spans="1:13" x14ac:dyDescent="0.35">
      <c r="A33" s="8" t="s">
        <v>4289</v>
      </c>
      <c r="B33" s="4" t="s">
        <v>4259</v>
      </c>
      <c r="C33" s="4" t="s">
        <v>4290</v>
      </c>
      <c r="D33" s="4" t="str">
        <f t="shared" si="0"/>
        <v>Entrada Huaycán, Lima, Perú</v>
      </c>
      <c r="E33" s="25">
        <v>-12.000375699999999</v>
      </c>
      <c r="F33" s="26">
        <v>-76.838540899999998</v>
      </c>
      <c r="G33" s="4" t="s">
        <v>4620</v>
      </c>
      <c r="H33" s="4" t="s">
        <v>4632</v>
      </c>
      <c r="I33" s="4">
        <f>VLOOKUP(BD_PARADEROS[[#This Row],[TIPO]],TBCAPACIDAD[],2,FALSE)</f>
        <v>50</v>
      </c>
      <c r="J33" s="4">
        <v>27</v>
      </c>
      <c r="K33" s="4">
        <v>15</v>
      </c>
      <c r="L33" s="4">
        <v>23</v>
      </c>
      <c r="M33" s="4">
        <v>3720</v>
      </c>
    </row>
    <row r="34" spans="1:13" x14ac:dyDescent="0.35">
      <c r="A34" s="8" t="s">
        <v>4289</v>
      </c>
      <c r="B34" s="4" t="s">
        <v>4285</v>
      </c>
      <c r="C34" s="4" t="s">
        <v>4291</v>
      </c>
      <c r="D34" s="4" t="str">
        <f t="shared" ref="D34:D65" si="1">C34&amp;", Lima, Perú"</f>
        <v>Entrada Horacio, Lima, Perú</v>
      </c>
      <c r="E34" s="25">
        <v>-12.008354000000001</v>
      </c>
      <c r="F34" s="26">
        <v>-76.8420196</v>
      </c>
      <c r="G34" s="4" t="s">
        <v>4620</v>
      </c>
      <c r="H34" s="4" t="s">
        <v>4632</v>
      </c>
      <c r="I34" s="4">
        <f>VLOOKUP(BD_PARADEROS[[#This Row],[TIPO]],TBCAPACIDAD[],2,FALSE)</f>
        <v>50</v>
      </c>
      <c r="J34" s="4">
        <v>27</v>
      </c>
      <c r="K34" s="4">
        <v>15</v>
      </c>
      <c r="L34" s="4">
        <v>23</v>
      </c>
      <c r="M34" s="4">
        <v>3720</v>
      </c>
    </row>
    <row r="35" spans="1:13" x14ac:dyDescent="0.35">
      <c r="A35" s="8" t="s">
        <v>4289</v>
      </c>
      <c r="B35" s="4" t="s">
        <v>4292</v>
      </c>
      <c r="C35" s="4" t="s">
        <v>4293</v>
      </c>
      <c r="D35" s="4" t="str">
        <f t="shared" si="1"/>
        <v>Paradero Gloria Grande, Lima, Perú</v>
      </c>
      <c r="E35" s="25">
        <v>-12.0074646</v>
      </c>
      <c r="F35" s="26">
        <v>-76.851555599999998</v>
      </c>
      <c r="G35" s="4" t="s">
        <v>4620</v>
      </c>
      <c r="H35" s="4" t="s">
        <v>4632</v>
      </c>
      <c r="I35" s="4">
        <f>VLOOKUP(BD_PARADEROS[[#This Row],[TIPO]],TBCAPACIDAD[],2,FALSE)</f>
        <v>50</v>
      </c>
      <c r="J35" s="4">
        <v>27</v>
      </c>
      <c r="K35" s="4">
        <v>15</v>
      </c>
      <c r="L35" s="4">
        <v>23</v>
      </c>
      <c r="M35" s="4">
        <v>3720</v>
      </c>
    </row>
    <row r="36" spans="1:13" x14ac:dyDescent="0.35">
      <c r="A36" s="8" t="s">
        <v>4289</v>
      </c>
      <c r="B36" s="4" t="s">
        <v>4294</v>
      </c>
      <c r="C36" s="4" t="s">
        <v>4295</v>
      </c>
      <c r="D36" s="4" t="str">
        <f t="shared" si="1"/>
        <v>Paradero San Juan, Lima, Perú</v>
      </c>
      <c r="E36" s="25">
        <v>-12.1328277</v>
      </c>
      <c r="F36" s="26">
        <v>-76.9570121</v>
      </c>
      <c r="G36" s="4" t="s">
        <v>4620</v>
      </c>
      <c r="H36" s="4" t="s">
        <v>4632</v>
      </c>
      <c r="I36" s="4">
        <f>VLOOKUP(BD_PARADEROS[[#This Row],[TIPO]],TBCAPACIDAD[],2,FALSE)</f>
        <v>50</v>
      </c>
      <c r="J36" s="4">
        <v>27</v>
      </c>
      <c r="K36" s="4">
        <v>15</v>
      </c>
      <c r="L36" s="4">
        <v>23</v>
      </c>
      <c r="M36" s="4">
        <v>3720</v>
      </c>
    </row>
    <row r="37" spans="1:13" x14ac:dyDescent="0.35">
      <c r="A37" s="8" t="s">
        <v>4289</v>
      </c>
      <c r="B37" s="4" t="s">
        <v>4244</v>
      </c>
      <c r="C37" s="4" t="s">
        <v>4245</v>
      </c>
      <c r="D37" s="4" t="str">
        <f t="shared" si="1"/>
        <v>Tottus Huachipa, Lima, Perú</v>
      </c>
      <c r="E37" s="25">
        <v>-12.0002005</v>
      </c>
      <c r="F37" s="26">
        <v>-76.900436600000006</v>
      </c>
      <c r="G37" s="4" t="s">
        <v>4620</v>
      </c>
      <c r="H37" s="4" t="s">
        <v>4632</v>
      </c>
      <c r="I37" s="4">
        <f>VLOOKUP(BD_PARADEROS[[#This Row],[TIPO]],TBCAPACIDAD[],2,FALSE)</f>
        <v>50</v>
      </c>
      <c r="J37" s="4">
        <v>27</v>
      </c>
      <c r="K37" s="4">
        <v>15</v>
      </c>
      <c r="L37" s="4">
        <v>23</v>
      </c>
      <c r="M37" s="4">
        <v>3720</v>
      </c>
    </row>
    <row r="38" spans="1:13" x14ac:dyDescent="0.35">
      <c r="A38" s="8" t="s">
        <v>4296</v>
      </c>
      <c r="B38" s="4" t="s">
        <v>4269</v>
      </c>
      <c r="C38" s="4" t="s">
        <v>4297</v>
      </c>
      <c r="D38" s="4" t="str">
        <f t="shared" si="1"/>
        <v>Paradero Sta. Clara, Lima, Perú</v>
      </c>
      <c r="E38" s="25">
        <v>-12.014806</v>
      </c>
      <c r="F38" s="26">
        <v>-76.885275800000002</v>
      </c>
      <c r="G38" s="4" t="s">
        <v>4624</v>
      </c>
      <c r="H38" s="4" t="s">
        <v>4632</v>
      </c>
      <c r="I38" s="4">
        <f>VLOOKUP(BD_PARADEROS[[#This Row],[TIPO]],TBCAPACIDAD[],2,FALSE)</f>
        <v>50</v>
      </c>
      <c r="J38" s="4">
        <v>38</v>
      </c>
      <c r="K38" s="4">
        <v>19</v>
      </c>
      <c r="L38" s="4">
        <v>29</v>
      </c>
      <c r="M38" s="4">
        <v>3480</v>
      </c>
    </row>
    <row r="39" spans="1:13" x14ac:dyDescent="0.35">
      <c r="A39" s="8" t="s">
        <v>4296</v>
      </c>
      <c r="B39" s="4" t="s">
        <v>4274</v>
      </c>
      <c r="C39" s="4" t="s">
        <v>4298</v>
      </c>
      <c r="D39" s="4" t="str">
        <f t="shared" si="1"/>
        <v>Estadio Huachipa, Lima, Perú</v>
      </c>
      <c r="E39" s="25">
        <v>-12.014094699999999</v>
      </c>
      <c r="F39" s="26">
        <v>-76.916338100000004</v>
      </c>
      <c r="G39" s="4" t="s">
        <v>4624</v>
      </c>
      <c r="H39" s="4" t="s">
        <v>4632</v>
      </c>
      <c r="I39" s="4">
        <f>VLOOKUP(BD_PARADEROS[[#This Row],[TIPO]],TBCAPACIDAD[],2,FALSE)</f>
        <v>50</v>
      </c>
      <c r="J39" s="4">
        <v>38</v>
      </c>
      <c r="K39" s="4">
        <v>19</v>
      </c>
      <c r="L39" s="4">
        <v>29</v>
      </c>
      <c r="M39" s="4">
        <v>3480</v>
      </c>
    </row>
    <row r="40" spans="1:13" x14ac:dyDescent="0.35">
      <c r="A40" s="8" t="s">
        <v>4296</v>
      </c>
      <c r="B40" s="4" t="s">
        <v>4244</v>
      </c>
      <c r="C40" s="4" t="s">
        <v>4245</v>
      </c>
      <c r="D40" s="4" t="str">
        <f t="shared" si="1"/>
        <v>Tottus Huachipa, Lima, Perú</v>
      </c>
      <c r="E40" s="25">
        <v>-12.0002005</v>
      </c>
      <c r="F40" s="26">
        <v>-76.900436600000006</v>
      </c>
      <c r="G40" s="4" t="s">
        <v>4624</v>
      </c>
      <c r="H40" s="4" t="s">
        <v>4632</v>
      </c>
      <c r="I40" s="4">
        <f>VLOOKUP(BD_PARADEROS[[#This Row],[TIPO]],TBCAPACIDAD[],2,FALSE)</f>
        <v>50</v>
      </c>
      <c r="J40" s="4">
        <v>38</v>
      </c>
      <c r="K40" s="4">
        <v>19</v>
      </c>
      <c r="L40" s="4">
        <v>29</v>
      </c>
      <c r="M40" s="4">
        <v>3480</v>
      </c>
    </row>
    <row r="41" spans="1:13" x14ac:dyDescent="0.35">
      <c r="A41" s="8" t="s">
        <v>4299</v>
      </c>
      <c r="B41" s="4" t="s">
        <v>4253</v>
      </c>
      <c r="C41" s="4" t="s">
        <v>4300</v>
      </c>
      <c r="D41" s="4" t="str">
        <f t="shared" si="1"/>
        <v>Paradero Bayóvar, Lima, Perú</v>
      </c>
      <c r="E41" s="25">
        <v>-12.0301145</v>
      </c>
      <c r="F41" s="26">
        <v>-76.960033999999993</v>
      </c>
      <c r="G41" s="4" t="s">
        <v>4623</v>
      </c>
      <c r="H41" s="4" t="s">
        <v>4632</v>
      </c>
      <c r="I41" s="4">
        <f>VLOOKUP(BD_PARADEROS[[#This Row],[TIPO]],TBCAPACIDAD[],2,FALSE)</f>
        <v>50</v>
      </c>
      <c r="J41" s="4">
        <v>41</v>
      </c>
      <c r="K41" s="4">
        <v>29</v>
      </c>
      <c r="L41" s="4">
        <v>19</v>
      </c>
      <c r="M41" s="4">
        <v>4440</v>
      </c>
    </row>
    <row r="42" spans="1:13" x14ac:dyDescent="0.35">
      <c r="A42" s="8" t="s">
        <v>4299</v>
      </c>
      <c r="B42" s="4" t="s">
        <v>4254</v>
      </c>
      <c r="C42" s="4" t="s">
        <v>4301</v>
      </c>
      <c r="D42" s="4" t="str">
        <f t="shared" si="1"/>
        <v>Paradero San Martin, Lima, Perú</v>
      </c>
      <c r="E42" s="25">
        <v>-11.9749345</v>
      </c>
      <c r="F42" s="26">
        <v>-77.000217500000005</v>
      </c>
      <c r="G42" s="4" t="s">
        <v>4623</v>
      </c>
      <c r="H42" s="4" t="s">
        <v>4632</v>
      </c>
      <c r="I42" s="4">
        <f>VLOOKUP(BD_PARADEROS[[#This Row],[TIPO]],TBCAPACIDAD[],2,FALSE)</f>
        <v>50</v>
      </c>
      <c r="J42" s="4">
        <v>41</v>
      </c>
      <c r="K42" s="4">
        <v>29</v>
      </c>
      <c r="L42" s="4">
        <v>19</v>
      </c>
      <c r="M42" s="4">
        <v>4440</v>
      </c>
    </row>
    <row r="43" spans="1:13" x14ac:dyDescent="0.35">
      <c r="A43" s="8" t="s">
        <v>4299</v>
      </c>
      <c r="B43" s="4" t="s">
        <v>4244</v>
      </c>
      <c r="C43" s="4" t="s">
        <v>4245</v>
      </c>
      <c r="D43" s="4" t="str">
        <f t="shared" si="1"/>
        <v>Tottus Huachipa, Lima, Perú</v>
      </c>
      <c r="E43" s="25">
        <v>-12.0002005</v>
      </c>
      <c r="F43" s="26">
        <v>-76.900436600000006</v>
      </c>
      <c r="G43" s="4" t="s">
        <v>4623</v>
      </c>
      <c r="H43" s="4" t="s">
        <v>4632</v>
      </c>
      <c r="I43" s="4">
        <f>VLOOKUP(BD_PARADEROS[[#This Row],[TIPO]],TBCAPACIDAD[],2,FALSE)</f>
        <v>50</v>
      </c>
      <c r="J43" s="4">
        <v>41</v>
      </c>
      <c r="K43" s="4">
        <v>29</v>
      </c>
      <c r="L43" s="4">
        <v>19</v>
      </c>
      <c r="M43" s="4">
        <v>4440</v>
      </c>
    </row>
    <row r="44" spans="1:13" x14ac:dyDescent="0.35">
      <c r="A44" s="8" t="s">
        <v>4302</v>
      </c>
      <c r="B44" s="4" t="s">
        <v>4303</v>
      </c>
      <c r="C44" s="4" t="s">
        <v>4304</v>
      </c>
      <c r="D44" s="4" t="str">
        <f t="shared" si="1"/>
        <v>Paradero Metro Canto Rey, Lima, Perú</v>
      </c>
      <c r="E44" s="25">
        <v>-11.975627599999999</v>
      </c>
      <c r="F44" s="26">
        <v>-77.002181100000001</v>
      </c>
      <c r="G44" s="4" t="s">
        <v>4622</v>
      </c>
      <c r="H44" s="4" t="s">
        <v>4631</v>
      </c>
      <c r="I44" s="4">
        <f>VLOOKUP(BD_PARADEROS[[#This Row],[TIPO]],TBCAPACIDAD[],2,FALSE)</f>
        <v>30</v>
      </c>
      <c r="J44" s="4">
        <v>19</v>
      </c>
      <c r="K44" s="4">
        <v>16</v>
      </c>
      <c r="L44" s="4">
        <v>20</v>
      </c>
      <c r="M44" s="4">
        <v>4260</v>
      </c>
    </row>
    <row r="45" spans="1:13" x14ac:dyDescent="0.35">
      <c r="A45" s="8" t="s">
        <v>4302</v>
      </c>
      <c r="B45" s="4" t="s">
        <v>4285</v>
      </c>
      <c r="C45" s="4" t="s">
        <v>4305</v>
      </c>
      <c r="D45" s="4" t="str">
        <f t="shared" si="1"/>
        <v>Paradero San Carlos, Lima, Perú</v>
      </c>
      <c r="E45" s="25">
        <v>-11.988982200000001</v>
      </c>
      <c r="F45" s="26">
        <v>-77.010660799999997</v>
      </c>
      <c r="G45" s="4" t="s">
        <v>4622</v>
      </c>
      <c r="H45" s="4" t="s">
        <v>4631</v>
      </c>
      <c r="I45" s="4">
        <f>VLOOKUP(BD_PARADEROS[[#This Row],[TIPO]],TBCAPACIDAD[],2,FALSE)</f>
        <v>30</v>
      </c>
      <c r="J45" s="4">
        <v>19</v>
      </c>
      <c r="K45" s="4">
        <v>16</v>
      </c>
      <c r="L45" s="4">
        <v>20</v>
      </c>
      <c r="M45" s="4">
        <v>4260</v>
      </c>
    </row>
    <row r="46" spans="1:13" x14ac:dyDescent="0.35">
      <c r="A46" s="8" t="s">
        <v>4302</v>
      </c>
      <c r="B46" s="4" t="s">
        <v>4292</v>
      </c>
      <c r="C46" s="4" t="s">
        <v>4306</v>
      </c>
      <c r="D46" s="4" t="str">
        <f t="shared" si="1"/>
        <v>Paradero 17 de Av. Próceres, Lima, Perú</v>
      </c>
      <c r="E46" s="25">
        <v>-11.980256499999999</v>
      </c>
      <c r="F46" s="26">
        <v>-77.084958200000003</v>
      </c>
      <c r="G46" s="4" t="s">
        <v>4622</v>
      </c>
      <c r="H46" s="4" t="s">
        <v>4631</v>
      </c>
      <c r="I46" s="4">
        <f>VLOOKUP(BD_PARADEROS[[#This Row],[TIPO]],TBCAPACIDAD[],2,FALSE)</f>
        <v>30</v>
      </c>
      <c r="J46" s="4">
        <v>19</v>
      </c>
      <c r="K46" s="4">
        <v>16</v>
      </c>
      <c r="L46" s="4">
        <v>20</v>
      </c>
      <c r="M46" s="4">
        <v>4260</v>
      </c>
    </row>
    <row r="47" spans="1:13" x14ac:dyDescent="0.35">
      <c r="A47" s="8" t="s">
        <v>4302</v>
      </c>
      <c r="B47" s="4" t="s">
        <v>4294</v>
      </c>
      <c r="C47" s="4" t="s">
        <v>4307</v>
      </c>
      <c r="D47" s="4" t="str">
        <f t="shared" si="1"/>
        <v>Paradero Metro Hacienda, Lima, Perú</v>
      </c>
      <c r="E47" s="25">
        <v>-12.0065551</v>
      </c>
      <c r="F47" s="26">
        <v>-77.006669099999996</v>
      </c>
      <c r="G47" s="4" t="s">
        <v>4622</v>
      </c>
      <c r="H47" s="4" t="s">
        <v>4631</v>
      </c>
      <c r="I47" s="4">
        <f>VLOOKUP(BD_PARADEROS[[#This Row],[TIPO]],TBCAPACIDAD[],2,FALSE)</f>
        <v>30</v>
      </c>
      <c r="J47" s="4">
        <v>19</v>
      </c>
      <c r="K47" s="4">
        <v>16</v>
      </c>
      <c r="L47" s="4">
        <v>20</v>
      </c>
      <c r="M47" s="4">
        <v>4260</v>
      </c>
    </row>
    <row r="48" spans="1:13" x14ac:dyDescent="0.35">
      <c r="A48" s="8" t="s">
        <v>4302</v>
      </c>
      <c r="B48" s="4" t="s">
        <v>4244</v>
      </c>
      <c r="C48" s="4" t="s">
        <v>4245</v>
      </c>
      <c r="D48" s="4" t="str">
        <f t="shared" si="1"/>
        <v>Tottus Huachipa, Lima, Perú</v>
      </c>
      <c r="E48" s="25">
        <v>-12.0002005</v>
      </c>
      <c r="F48" s="26">
        <v>-76.900436600000006</v>
      </c>
      <c r="G48" s="4" t="s">
        <v>4622</v>
      </c>
      <c r="H48" s="4" t="s">
        <v>4631</v>
      </c>
      <c r="I48" s="4">
        <f>VLOOKUP(BD_PARADEROS[[#This Row],[TIPO]],TBCAPACIDAD[],2,FALSE)</f>
        <v>30</v>
      </c>
      <c r="J48" s="4">
        <v>19</v>
      </c>
      <c r="K48" s="4">
        <v>16</v>
      </c>
      <c r="L48" s="4">
        <v>20</v>
      </c>
      <c r="M48" s="4">
        <v>4260</v>
      </c>
    </row>
    <row r="49" spans="1:13" x14ac:dyDescent="0.35">
      <c r="A49" s="8" t="s">
        <v>4308</v>
      </c>
      <c r="B49" s="4" t="s">
        <v>4285</v>
      </c>
      <c r="C49" s="4" t="s">
        <v>4309</v>
      </c>
      <c r="D49" s="4" t="str">
        <f t="shared" si="1"/>
        <v>Paradero Celima, Lima, Perú</v>
      </c>
      <c r="E49" s="25">
        <v>-12.0133604</v>
      </c>
      <c r="F49" s="26">
        <v>-77.001567800000004</v>
      </c>
      <c r="G49" s="4" t="s">
        <v>4621</v>
      </c>
      <c r="H49" s="4" t="s">
        <v>4632</v>
      </c>
      <c r="I49" s="4">
        <f>VLOOKUP(BD_PARADEROS[[#This Row],[TIPO]],TBCAPACIDAD[],2,FALSE)</f>
        <v>50</v>
      </c>
      <c r="J49" s="4">
        <v>36</v>
      </c>
      <c r="K49" s="4">
        <v>23</v>
      </c>
      <c r="L49" s="4">
        <v>25</v>
      </c>
      <c r="M49" s="4">
        <v>3720</v>
      </c>
    </row>
    <row r="50" spans="1:13" x14ac:dyDescent="0.35">
      <c r="A50" s="8" t="s">
        <v>4308</v>
      </c>
      <c r="B50" s="4" t="s">
        <v>4269</v>
      </c>
      <c r="C50" s="4" t="s">
        <v>4310</v>
      </c>
      <c r="D50" s="4" t="str">
        <f t="shared" si="1"/>
        <v>Puente Nuevo (Av. Chinchaysuyo &amp; Av. Malecón Checa), Lima, Perú</v>
      </c>
      <c r="E50" s="25">
        <v>-12.028634500000001</v>
      </c>
      <c r="F50" s="26">
        <v>-76.993681100000003</v>
      </c>
      <c r="G50" s="4" t="s">
        <v>4621</v>
      </c>
      <c r="H50" s="4" t="s">
        <v>4632</v>
      </c>
      <c r="I50" s="4">
        <f>VLOOKUP(BD_PARADEROS[[#This Row],[TIPO]],TBCAPACIDAD[],2,FALSE)</f>
        <v>50</v>
      </c>
      <c r="J50" s="4">
        <v>36</v>
      </c>
      <c r="K50" s="4">
        <v>23</v>
      </c>
      <c r="L50" s="4">
        <v>25</v>
      </c>
      <c r="M50" s="4">
        <v>3720</v>
      </c>
    </row>
    <row r="51" spans="1:13" x14ac:dyDescent="0.35">
      <c r="A51" s="8" t="s">
        <v>4308</v>
      </c>
      <c r="B51" s="4" t="s">
        <v>4271</v>
      </c>
      <c r="C51" s="4" t="s">
        <v>4311</v>
      </c>
      <c r="D51" s="4" t="str">
        <f t="shared" si="1"/>
        <v>Paradero Pajatén (Pajatén/Av. Malecón Checa), Lima, Perú</v>
      </c>
      <c r="E51" s="25">
        <v>-12.02153</v>
      </c>
      <c r="F51" s="26">
        <v>-76.98612</v>
      </c>
      <c r="G51" s="4" t="s">
        <v>4621</v>
      </c>
      <c r="H51" s="4" t="s">
        <v>4632</v>
      </c>
      <c r="I51" s="4">
        <f>VLOOKUP(BD_PARADEROS[[#This Row],[TIPO]],TBCAPACIDAD[],2,FALSE)</f>
        <v>50</v>
      </c>
      <c r="J51" s="4">
        <v>36</v>
      </c>
      <c r="K51" s="4">
        <v>23</v>
      </c>
      <c r="L51" s="4">
        <v>25</v>
      </c>
      <c r="M51" s="4">
        <v>3720</v>
      </c>
    </row>
    <row r="52" spans="1:13" x14ac:dyDescent="0.35">
      <c r="A52" s="8" t="s">
        <v>4308</v>
      </c>
      <c r="B52" s="4" t="s">
        <v>4312</v>
      </c>
      <c r="C52" s="4" t="s">
        <v>4313</v>
      </c>
      <c r="D52" s="4" t="str">
        <f t="shared" si="1"/>
        <v>Paradero Tottus Campoy, Lima, Perú</v>
      </c>
      <c r="E52" s="25">
        <v>-12.024037999999999</v>
      </c>
      <c r="F52" s="26">
        <v>-76.973168999999999</v>
      </c>
      <c r="G52" s="4" t="s">
        <v>4621</v>
      </c>
      <c r="H52" s="4" t="s">
        <v>4632</v>
      </c>
      <c r="I52" s="4">
        <f>VLOOKUP(BD_PARADEROS[[#This Row],[TIPO]],TBCAPACIDAD[],2,FALSE)</f>
        <v>50</v>
      </c>
      <c r="J52" s="4">
        <v>36</v>
      </c>
      <c r="K52" s="4">
        <v>23</v>
      </c>
      <c r="L52" s="4">
        <v>25</v>
      </c>
      <c r="M52" s="4">
        <v>3720</v>
      </c>
    </row>
    <row r="53" spans="1:13" x14ac:dyDescent="0.35">
      <c r="A53" s="8" t="s">
        <v>4308</v>
      </c>
      <c r="B53" s="4" t="s">
        <v>4314</v>
      </c>
      <c r="C53" s="4" t="s">
        <v>4315</v>
      </c>
      <c r="D53" s="4" t="str">
        <f t="shared" si="1"/>
        <v>Paradero Calle 8, Lima, Perú</v>
      </c>
      <c r="E53" s="25">
        <v>-12.2067026</v>
      </c>
      <c r="F53" s="26">
        <v>-76.862691100000006</v>
      </c>
      <c r="G53" s="4" t="s">
        <v>4621</v>
      </c>
      <c r="H53" s="4" t="s">
        <v>4632</v>
      </c>
      <c r="I53" s="4">
        <f>VLOOKUP(BD_PARADEROS[[#This Row],[TIPO]],TBCAPACIDAD[],2,FALSE)</f>
        <v>50</v>
      </c>
      <c r="J53" s="4">
        <v>36</v>
      </c>
      <c r="K53" s="4">
        <v>23</v>
      </c>
      <c r="L53" s="4">
        <v>25</v>
      </c>
      <c r="M53" s="4">
        <v>3720</v>
      </c>
    </row>
    <row r="54" spans="1:13" x14ac:dyDescent="0.35">
      <c r="A54" s="8" t="s">
        <v>4308</v>
      </c>
      <c r="B54" s="4" t="s">
        <v>4244</v>
      </c>
      <c r="C54" s="4" t="s">
        <v>4245</v>
      </c>
      <c r="D54" s="4" t="str">
        <f t="shared" si="1"/>
        <v>Tottus Huachipa, Lima, Perú</v>
      </c>
      <c r="E54" s="25">
        <v>-12.0002005</v>
      </c>
      <c r="F54" s="26">
        <v>-76.900436600000006</v>
      </c>
      <c r="G54" s="4" t="s">
        <v>4621</v>
      </c>
      <c r="H54" s="4" t="s">
        <v>4632</v>
      </c>
      <c r="I54" s="4">
        <f>VLOOKUP(BD_PARADEROS[[#This Row],[TIPO]],TBCAPACIDAD[],2,FALSE)</f>
        <v>50</v>
      </c>
      <c r="J54" s="4">
        <v>36</v>
      </c>
      <c r="K54" s="4">
        <v>23</v>
      </c>
      <c r="L54" s="4">
        <v>25</v>
      </c>
      <c r="M54" s="4">
        <v>3720</v>
      </c>
    </row>
    <row r="55" spans="1:13" x14ac:dyDescent="0.35">
      <c r="A55" s="8" t="s">
        <v>4316</v>
      </c>
      <c r="B55" s="4" t="s">
        <v>4317</v>
      </c>
      <c r="C55" s="4" t="s">
        <v>4318</v>
      </c>
      <c r="D55" s="4" t="str">
        <f t="shared" si="1"/>
        <v>Paradero 200 Millas, Lima, Perú</v>
      </c>
      <c r="E55" s="25">
        <v>-11.9954968</v>
      </c>
      <c r="F55" s="26">
        <v>-77.124786299999997</v>
      </c>
      <c r="G55" s="4" t="s">
        <v>2058</v>
      </c>
      <c r="H55" s="4" t="s">
        <v>4632</v>
      </c>
      <c r="I55" s="4">
        <f>VLOOKUP(BD_PARADEROS[[#This Row],[TIPO]],TBCAPACIDAD[],2,FALSE)</f>
        <v>50</v>
      </c>
      <c r="J55" s="4">
        <v>47</v>
      </c>
      <c r="K55" s="4">
        <v>24</v>
      </c>
      <c r="L55" s="4">
        <v>36</v>
      </c>
      <c r="M55" s="4">
        <v>4440</v>
      </c>
    </row>
    <row r="56" spans="1:13" x14ac:dyDescent="0.35">
      <c r="A56" s="8" t="s">
        <v>4316</v>
      </c>
      <c r="B56" s="4" t="s">
        <v>4319</v>
      </c>
      <c r="C56" s="4" t="s">
        <v>4320</v>
      </c>
      <c r="D56" s="4" t="str">
        <f t="shared" si="1"/>
        <v>Av. Mariátegui con la Ruta C, Lima, Perú</v>
      </c>
      <c r="E56" s="25">
        <v>-12.2152861</v>
      </c>
      <c r="F56" s="26">
        <v>-76.923385800000005</v>
      </c>
      <c r="G56" s="4" t="s">
        <v>2058</v>
      </c>
      <c r="H56" s="4" t="s">
        <v>4632</v>
      </c>
      <c r="I56" s="4">
        <f>VLOOKUP(BD_PARADEROS[[#This Row],[TIPO]],TBCAPACIDAD[],2,FALSE)</f>
        <v>50</v>
      </c>
      <c r="J56" s="4">
        <v>47</v>
      </c>
      <c r="K56" s="4">
        <v>24</v>
      </c>
      <c r="L56" s="4">
        <v>36</v>
      </c>
      <c r="M56" s="4">
        <v>4440</v>
      </c>
    </row>
    <row r="57" spans="1:13" x14ac:dyDescent="0.35">
      <c r="A57" s="8" t="s">
        <v>4316</v>
      </c>
      <c r="B57" s="4" t="s">
        <v>4251</v>
      </c>
      <c r="C57" s="4" t="s">
        <v>4321</v>
      </c>
      <c r="D57" s="4" t="str">
        <f t="shared" si="1"/>
        <v>Villa El Salvador (Cruce AV. El Sol con ruta C), Lima, Perú</v>
      </c>
      <c r="E57" s="25">
        <v>-12.205833200000001</v>
      </c>
      <c r="F57" s="26">
        <v>-76.9527669</v>
      </c>
      <c r="G57" s="4" t="s">
        <v>2058</v>
      </c>
      <c r="H57" s="4" t="s">
        <v>4632</v>
      </c>
      <c r="I57" s="4">
        <f>VLOOKUP(BD_PARADEROS[[#This Row],[TIPO]],TBCAPACIDAD[],2,FALSE)</f>
        <v>50</v>
      </c>
      <c r="J57" s="4">
        <v>47</v>
      </c>
      <c r="K57" s="4">
        <v>24</v>
      </c>
      <c r="L57" s="4">
        <v>36</v>
      </c>
      <c r="M57" s="4">
        <v>4440</v>
      </c>
    </row>
    <row r="58" spans="1:13" x14ac:dyDescent="0.35">
      <c r="A58" s="8" t="s">
        <v>4316</v>
      </c>
      <c r="B58" s="4" t="s">
        <v>4253</v>
      </c>
      <c r="C58" s="4" t="s">
        <v>4322</v>
      </c>
      <c r="D58" s="4" t="str">
        <f t="shared" si="1"/>
        <v>Villa El Salvador (Cruce Av. 1ro de Mayo con ruta C), Lima, Perú</v>
      </c>
      <c r="E58" s="25">
        <v>-12.1982584</v>
      </c>
      <c r="F58" s="26">
        <v>-76.957418000000004</v>
      </c>
      <c r="G58" s="4" t="s">
        <v>2058</v>
      </c>
      <c r="H58" s="4" t="s">
        <v>4632</v>
      </c>
      <c r="I58" s="4">
        <f>VLOOKUP(BD_PARADEROS[[#This Row],[TIPO]],TBCAPACIDAD[],2,FALSE)</f>
        <v>50</v>
      </c>
      <c r="J58" s="4">
        <v>47</v>
      </c>
      <c r="K58" s="4">
        <v>24</v>
      </c>
      <c r="L58" s="4">
        <v>36</v>
      </c>
      <c r="M58" s="4">
        <v>4440</v>
      </c>
    </row>
    <row r="59" spans="1:13" x14ac:dyDescent="0.35">
      <c r="A59" s="8" t="s">
        <v>4316</v>
      </c>
      <c r="B59" s="4" t="s">
        <v>4254</v>
      </c>
      <c r="C59" s="4" t="s">
        <v>4323</v>
      </c>
      <c r="D59" s="4" t="str">
        <f t="shared" si="1"/>
        <v>Puente Alipio, Lima, Perú</v>
      </c>
      <c r="E59" s="25">
        <v>-12.168670000000001</v>
      </c>
      <c r="F59" s="26">
        <v>-76.979179999999999</v>
      </c>
      <c r="G59" s="4" t="s">
        <v>2058</v>
      </c>
      <c r="H59" s="4" t="s">
        <v>4632</v>
      </c>
      <c r="I59" s="4">
        <f>VLOOKUP(BD_PARADEROS[[#This Row],[TIPO]],TBCAPACIDAD[],2,FALSE)</f>
        <v>50</v>
      </c>
      <c r="J59" s="4">
        <v>47</v>
      </c>
      <c r="K59" s="4">
        <v>24</v>
      </c>
      <c r="L59" s="4">
        <v>36</v>
      </c>
      <c r="M59" s="4">
        <v>4440</v>
      </c>
    </row>
    <row r="60" spans="1:13" x14ac:dyDescent="0.35">
      <c r="A60" s="8" t="s">
        <v>4316</v>
      </c>
      <c r="B60" s="4" t="s">
        <v>4303</v>
      </c>
      <c r="C60" s="4" t="s">
        <v>4324</v>
      </c>
      <c r="D60" s="4" t="str">
        <f t="shared" si="1"/>
        <v>Paradero Amauta, Lima, Perú</v>
      </c>
      <c r="E60" s="25">
        <v>-12.1619726</v>
      </c>
      <c r="F60" s="26">
        <v>-76.981806700000007</v>
      </c>
      <c r="G60" s="4" t="s">
        <v>2058</v>
      </c>
      <c r="H60" s="4" t="s">
        <v>4632</v>
      </c>
      <c r="I60" s="4">
        <f>VLOOKUP(BD_PARADEROS[[#This Row],[TIPO]],TBCAPACIDAD[],2,FALSE)</f>
        <v>50</v>
      </c>
      <c r="J60" s="4">
        <v>47</v>
      </c>
      <c r="K60" s="4">
        <v>24</v>
      </c>
      <c r="L60" s="4">
        <v>36</v>
      </c>
      <c r="M60" s="4">
        <v>4440</v>
      </c>
    </row>
    <row r="61" spans="1:13" x14ac:dyDescent="0.35">
      <c r="A61" s="8" t="s">
        <v>4316</v>
      </c>
      <c r="B61" s="4" t="s">
        <v>4259</v>
      </c>
      <c r="C61" s="4" t="s">
        <v>4325</v>
      </c>
      <c r="D61" s="4" t="str">
        <f t="shared" si="1"/>
        <v>Tottus Atocongo (Auxiliar), Lima, Perú</v>
      </c>
      <c r="E61" s="25">
        <v>-12.147255599999999</v>
      </c>
      <c r="F61" s="26">
        <v>-76.981729400000006</v>
      </c>
      <c r="G61" s="4" t="s">
        <v>2058</v>
      </c>
      <c r="H61" s="4" t="s">
        <v>4632</v>
      </c>
      <c r="I61" s="4">
        <f>VLOOKUP(BD_PARADEROS[[#This Row],[TIPO]],TBCAPACIDAD[],2,FALSE)</f>
        <v>50</v>
      </c>
      <c r="J61" s="4">
        <v>47</v>
      </c>
      <c r="K61" s="4">
        <v>24</v>
      </c>
      <c r="L61" s="4">
        <v>36</v>
      </c>
      <c r="M61" s="4">
        <v>4440</v>
      </c>
    </row>
    <row r="62" spans="1:13" x14ac:dyDescent="0.35">
      <c r="A62" s="8" t="s">
        <v>4316</v>
      </c>
      <c r="B62" s="4" t="s">
        <v>4285</v>
      </c>
      <c r="C62" s="4" t="s">
        <v>4326</v>
      </c>
      <c r="D62" s="4" t="str">
        <f t="shared" si="1"/>
        <v>Puente Benavides (Arriba del puente, antes del semáforo), Lima, Perú</v>
      </c>
      <c r="E62" s="25">
        <v>-12.1315077</v>
      </c>
      <c r="F62" s="26">
        <v>-76.977962399999996</v>
      </c>
      <c r="G62" s="4" t="s">
        <v>2058</v>
      </c>
      <c r="H62" s="4" t="s">
        <v>4632</v>
      </c>
      <c r="I62" s="4">
        <f>VLOOKUP(BD_PARADEROS[[#This Row],[TIPO]],TBCAPACIDAD[],2,FALSE)</f>
        <v>50</v>
      </c>
      <c r="J62" s="4">
        <v>47</v>
      </c>
      <c r="K62" s="4">
        <v>24</v>
      </c>
      <c r="L62" s="4">
        <v>36</v>
      </c>
      <c r="M62" s="4">
        <v>4440</v>
      </c>
    </row>
    <row r="63" spans="1:13" x14ac:dyDescent="0.35">
      <c r="A63" s="8" t="s">
        <v>4316</v>
      </c>
      <c r="B63" s="4" t="s">
        <v>4294</v>
      </c>
      <c r="C63" s="4" t="s">
        <v>4327</v>
      </c>
      <c r="D63" s="4" t="str">
        <f t="shared" si="1"/>
        <v>Puente Primavera, Lima, Perú</v>
      </c>
      <c r="E63" s="25">
        <v>-12.111108</v>
      </c>
      <c r="F63" s="26">
        <v>-76.977913000000001</v>
      </c>
      <c r="G63" s="4" t="s">
        <v>2058</v>
      </c>
      <c r="H63" s="4" t="s">
        <v>4632</v>
      </c>
      <c r="I63" s="4">
        <f>VLOOKUP(BD_PARADEROS[[#This Row],[TIPO]],TBCAPACIDAD[],2,FALSE)</f>
        <v>50</v>
      </c>
      <c r="J63" s="4">
        <v>47</v>
      </c>
      <c r="K63" s="4">
        <v>24</v>
      </c>
      <c r="L63" s="4">
        <v>36</v>
      </c>
      <c r="M63" s="4">
        <v>4440</v>
      </c>
    </row>
    <row r="64" spans="1:13" x14ac:dyDescent="0.35">
      <c r="A64" s="8" t="s">
        <v>4316</v>
      </c>
      <c r="B64" s="4" t="s">
        <v>4328</v>
      </c>
      <c r="C64" s="4" t="s">
        <v>4329</v>
      </c>
      <c r="D64" s="4" t="str">
        <f t="shared" si="1"/>
        <v>Paradero Pentagonito, Lima, Perú</v>
      </c>
      <c r="E64" s="25">
        <v>-12.1007421</v>
      </c>
      <c r="F64" s="26">
        <v>-76.9868077</v>
      </c>
      <c r="G64" s="4" t="s">
        <v>2058</v>
      </c>
      <c r="H64" s="4" t="s">
        <v>4632</v>
      </c>
      <c r="I64" s="4">
        <f>VLOOKUP(BD_PARADEROS[[#This Row],[TIPO]],TBCAPACIDAD[],2,FALSE)</f>
        <v>50</v>
      </c>
      <c r="J64" s="4">
        <v>47</v>
      </c>
      <c r="K64" s="4">
        <v>24</v>
      </c>
      <c r="L64" s="4">
        <v>36</v>
      </c>
      <c r="M64" s="4">
        <v>4440</v>
      </c>
    </row>
    <row r="65" spans="1:13" x14ac:dyDescent="0.35">
      <c r="A65" s="8" t="s">
        <v>4316</v>
      </c>
      <c r="B65" s="4" t="s">
        <v>4269</v>
      </c>
      <c r="C65" s="4" t="s">
        <v>4330</v>
      </c>
      <c r="D65" s="4" t="str">
        <f t="shared" si="1"/>
        <v>Paradero Javier Prado, Lima, Perú</v>
      </c>
      <c r="E65" s="25">
        <v>-12.0820706</v>
      </c>
      <c r="F65" s="26">
        <v>-76.979729000000006</v>
      </c>
      <c r="G65" s="4" t="s">
        <v>2058</v>
      </c>
      <c r="H65" s="4" t="s">
        <v>4632</v>
      </c>
      <c r="I65" s="4">
        <f>VLOOKUP(BD_PARADEROS[[#This Row],[TIPO]],TBCAPACIDAD[],2,FALSE)</f>
        <v>50</v>
      </c>
      <c r="J65" s="4">
        <v>47</v>
      </c>
      <c r="K65" s="4">
        <v>24</v>
      </c>
      <c r="L65" s="4">
        <v>36</v>
      </c>
      <c r="M65" s="4">
        <v>4440</v>
      </c>
    </row>
    <row r="66" spans="1:13" x14ac:dyDescent="0.35">
      <c r="A66" s="8" t="s">
        <v>4316</v>
      </c>
      <c r="B66" s="4" t="s">
        <v>4331</v>
      </c>
      <c r="C66" s="4" t="s">
        <v>4332</v>
      </c>
      <c r="D66" s="4" t="str">
        <f t="shared" ref="D66:D83" si="2">C66&amp;", Lima, Perú"</f>
        <v>Puente Santa Anita, Lima, Perú</v>
      </c>
      <c r="E66" s="25">
        <v>-12.057740900000001</v>
      </c>
      <c r="F66" s="26">
        <v>-76.973791800000001</v>
      </c>
      <c r="G66" s="4" t="s">
        <v>2058</v>
      </c>
      <c r="H66" s="4" t="s">
        <v>4632</v>
      </c>
      <c r="I66" s="4">
        <f>VLOOKUP(BD_PARADEROS[[#This Row],[TIPO]],TBCAPACIDAD[],2,FALSE)</f>
        <v>50</v>
      </c>
      <c r="J66" s="4">
        <v>47</v>
      </c>
      <c r="K66" s="4">
        <v>24</v>
      </c>
      <c r="L66" s="4">
        <v>36</v>
      </c>
      <c r="M66" s="4">
        <v>4440</v>
      </c>
    </row>
    <row r="67" spans="1:13" x14ac:dyDescent="0.35">
      <c r="A67" s="8" t="s">
        <v>4316</v>
      </c>
      <c r="B67" s="4" t="s">
        <v>4333</v>
      </c>
      <c r="C67" s="4" t="s">
        <v>4334</v>
      </c>
      <c r="D67" s="4" t="str">
        <f t="shared" si="2"/>
        <v>Puente Perales, Lima, Perú</v>
      </c>
      <c r="E67" s="25">
        <v>-12.047269999999999</v>
      </c>
      <c r="F67" s="26">
        <v>-76.980826699999994</v>
      </c>
      <c r="G67" s="4" t="s">
        <v>2058</v>
      </c>
      <c r="H67" s="4" t="s">
        <v>4632</v>
      </c>
      <c r="I67" s="4">
        <f>VLOOKUP(BD_PARADEROS[[#This Row],[TIPO]],TBCAPACIDAD[],2,FALSE)</f>
        <v>50</v>
      </c>
      <c r="J67" s="4">
        <v>47</v>
      </c>
      <c r="K67" s="4">
        <v>24</v>
      </c>
      <c r="L67" s="4">
        <v>36</v>
      </c>
      <c r="M67" s="4">
        <v>4440</v>
      </c>
    </row>
    <row r="68" spans="1:13" x14ac:dyDescent="0.35">
      <c r="A68" s="8" t="s">
        <v>4316</v>
      </c>
      <c r="B68" s="4" t="s">
        <v>4242</v>
      </c>
      <c r="C68" s="4" t="s">
        <v>4335</v>
      </c>
      <c r="D68" s="4" t="str">
        <f t="shared" si="2"/>
        <v>Pte. Prialé (solo aplica para la salida), Lima, Perú</v>
      </c>
      <c r="E68" s="25">
        <v>-12.0534035</v>
      </c>
      <c r="F68" s="26">
        <v>-76.957381799999993</v>
      </c>
      <c r="G68" s="4" t="s">
        <v>2058</v>
      </c>
      <c r="H68" s="4" t="s">
        <v>4632</v>
      </c>
      <c r="I68" s="4">
        <f>VLOOKUP(BD_PARADEROS[[#This Row],[TIPO]],TBCAPACIDAD[],2,FALSE)</f>
        <v>50</v>
      </c>
      <c r="J68" s="4">
        <v>47</v>
      </c>
      <c r="K68" s="4">
        <v>24</v>
      </c>
      <c r="L68" s="4">
        <v>36</v>
      </c>
      <c r="M68" s="4">
        <v>4440</v>
      </c>
    </row>
    <row r="69" spans="1:13" x14ac:dyDescent="0.35">
      <c r="A69" s="8" t="s">
        <v>4316</v>
      </c>
      <c r="B69" s="4" t="s">
        <v>4244</v>
      </c>
      <c r="C69" s="4" t="s">
        <v>4245</v>
      </c>
      <c r="D69" s="4" t="str">
        <f t="shared" si="2"/>
        <v>Tottus Huachipa, Lima, Perú</v>
      </c>
      <c r="E69" s="25">
        <v>-12.0002005</v>
      </c>
      <c r="F69" s="26">
        <v>-76.900436600000006</v>
      </c>
      <c r="G69" s="4" t="s">
        <v>2058</v>
      </c>
      <c r="H69" s="4" t="s">
        <v>4632</v>
      </c>
      <c r="I69" s="4">
        <f>VLOOKUP(BD_PARADEROS[[#This Row],[TIPO]],TBCAPACIDAD[],2,FALSE)</f>
        <v>50</v>
      </c>
      <c r="J69" s="4">
        <v>47</v>
      </c>
      <c r="K69" s="4">
        <v>24</v>
      </c>
      <c r="L69" s="4">
        <v>36</v>
      </c>
      <c r="M69" s="4">
        <v>4440</v>
      </c>
    </row>
    <row r="70" spans="1:13" x14ac:dyDescent="0.35">
      <c r="A70" s="8" t="s">
        <v>4336</v>
      </c>
      <c r="B70" s="4" t="s">
        <v>4337</v>
      </c>
      <c r="C70" s="4" t="s">
        <v>4338</v>
      </c>
      <c r="D70" s="4" t="str">
        <f t="shared" si="2"/>
        <v>Paradero Metro Eyzaguirre, Lima, Perú</v>
      </c>
      <c r="E70" s="25">
        <v>-11.9880342</v>
      </c>
      <c r="F70" s="26">
        <v>-77.063451400000005</v>
      </c>
      <c r="G70" s="4" t="s">
        <v>2264</v>
      </c>
      <c r="H70" s="4" t="s">
        <v>4631</v>
      </c>
      <c r="I70" s="4">
        <f>VLOOKUP(BD_PARADEROS[[#This Row],[TIPO]],TBCAPACIDAD[],2,FALSE)</f>
        <v>30</v>
      </c>
      <c r="J70" s="4">
        <v>16</v>
      </c>
      <c r="K70" s="4">
        <v>9</v>
      </c>
      <c r="L70" s="4">
        <v>13</v>
      </c>
      <c r="M70" s="4">
        <v>4380</v>
      </c>
    </row>
    <row r="71" spans="1:13" x14ac:dyDescent="0.35">
      <c r="A71" s="8" t="s">
        <v>4336</v>
      </c>
      <c r="B71" s="4" t="s">
        <v>4254</v>
      </c>
      <c r="C71" s="4" t="s">
        <v>4339</v>
      </c>
      <c r="D71" s="4" t="str">
        <f t="shared" si="2"/>
        <v>Paradero Universitaria con San German, Lima, Perú</v>
      </c>
      <c r="E71" s="25">
        <v>-12.008743300000001</v>
      </c>
      <c r="F71" s="26">
        <v>-77.081984500000004</v>
      </c>
      <c r="G71" s="4" t="s">
        <v>2264</v>
      </c>
      <c r="H71" s="4" t="s">
        <v>4631</v>
      </c>
      <c r="I71" s="4">
        <f>VLOOKUP(BD_PARADEROS[[#This Row],[TIPO]],TBCAPACIDAD[],2,FALSE)</f>
        <v>30</v>
      </c>
      <c r="J71" s="4">
        <v>16</v>
      </c>
      <c r="K71" s="4">
        <v>9</v>
      </c>
      <c r="L71" s="4">
        <v>13</v>
      </c>
      <c r="M71" s="4">
        <v>4380</v>
      </c>
    </row>
    <row r="72" spans="1:13" x14ac:dyDescent="0.35">
      <c r="A72" s="8" t="s">
        <v>4336</v>
      </c>
      <c r="B72" s="4" t="s">
        <v>4256</v>
      </c>
      <c r="C72" s="4" t="s">
        <v>4340</v>
      </c>
      <c r="D72" s="4" t="str">
        <f t="shared" si="2"/>
        <v>Paradero Jose Granda, Lima, Perú</v>
      </c>
      <c r="E72" s="25">
        <v>-12.0261435</v>
      </c>
      <c r="F72" s="26">
        <v>-77.075317900000002</v>
      </c>
      <c r="G72" s="4" t="s">
        <v>2264</v>
      </c>
      <c r="H72" s="4" t="s">
        <v>4631</v>
      </c>
      <c r="I72" s="4">
        <f>VLOOKUP(BD_PARADEROS[[#This Row],[TIPO]],TBCAPACIDAD[],2,FALSE)</f>
        <v>30</v>
      </c>
      <c r="J72" s="4">
        <v>16</v>
      </c>
      <c r="K72" s="4">
        <v>9</v>
      </c>
      <c r="L72" s="4">
        <v>13</v>
      </c>
      <c r="M72" s="4">
        <v>4380</v>
      </c>
    </row>
    <row r="73" spans="1:13" x14ac:dyDescent="0.35">
      <c r="A73" s="8" t="s">
        <v>4336</v>
      </c>
      <c r="B73" s="4" t="s">
        <v>4283</v>
      </c>
      <c r="C73" s="4" t="s">
        <v>4341</v>
      </c>
      <c r="D73" s="4" t="str">
        <f t="shared" si="2"/>
        <v>Paradero Habich, Lima, Perú</v>
      </c>
      <c r="E73" s="25">
        <v>-12.027124799999999</v>
      </c>
      <c r="F73" s="26">
        <v>-77.055757700000001</v>
      </c>
      <c r="G73" s="4" t="s">
        <v>2264</v>
      </c>
      <c r="H73" s="4" t="s">
        <v>4631</v>
      </c>
      <c r="I73" s="4">
        <f>VLOOKUP(BD_PARADEROS[[#This Row],[TIPO]],TBCAPACIDAD[],2,FALSE)</f>
        <v>30</v>
      </c>
      <c r="J73" s="4">
        <v>16</v>
      </c>
      <c r="K73" s="4">
        <v>9</v>
      </c>
      <c r="L73" s="4">
        <v>13</v>
      </c>
      <c r="M73" s="4">
        <v>4380</v>
      </c>
    </row>
    <row r="74" spans="1:13" x14ac:dyDescent="0.35">
      <c r="A74" s="8" t="s">
        <v>4336</v>
      </c>
      <c r="B74" s="4" t="s">
        <v>4342</v>
      </c>
      <c r="C74" s="4" t="s">
        <v>4343</v>
      </c>
      <c r="D74" s="4" t="str">
        <f t="shared" si="2"/>
        <v>Paradero Pte. Trujillo, Lima, Perú</v>
      </c>
      <c r="E74" s="25">
        <v>-12.041266</v>
      </c>
      <c r="F74" s="26">
        <v>-77.032644300000001</v>
      </c>
      <c r="G74" s="4" t="s">
        <v>2264</v>
      </c>
      <c r="H74" s="4" t="s">
        <v>4631</v>
      </c>
      <c r="I74" s="4">
        <f>VLOOKUP(BD_PARADEROS[[#This Row],[TIPO]],TBCAPACIDAD[],2,FALSE)</f>
        <v>30</v>
      </c>
      <c r="J74" s="4">
        <v>16</v>
      </c>
      <c r="K74" s="4">
        <v>9</v>
      </c>
      <c r="L74" s="4">
        <v>13</v>
      </c>
      <c r="M74" s="4">
        <v>4380</v>
      </c>
    </row>
    <row r="75" spans="1:13" x14ac:dyDescent="0.35">
      <c r="A75" s="8" t="s">
        <v>4336</v>
      </c>
      <c r="B75" s="4" t="s">
        <v>4292</v>
      </c>
      <c r="C75" s="4" t="s">
        <v>4344</v>
      </c>
      <c r="D75" s="4" t="str">
        <f t="shared" si="2"/>
        <v>Paradero Mercado Las Flores, Lima, Perú</v>
      </c>
      <c r="E75" s="25">
        <v>-12.0260623</v>
      </c>
      <c r="F75" s="26">
        <v>-77.028713300000007</v>
      </c>
      <c r="G75" s="4" t="s">
        <v>2264</v>
      </c>
      <c r="H75" s="4" t="s">
        <v>4631</v>
      </c>
      <c r="I75" s="4">
        <f>VLOOKUP(BD_PARADEROS[[#This Row],[TIPO]],TBCAPACIDAD[],2,FALSE)</f>
        <v>30</v>
      </c>
      <c r="J75" s="4">
        <v>16</v>
      </c>
      <c r="K75" s="4">
        <v>9</v>
      </c>
      <c r="L75" s="4">
        <v>13</v>
      </c>
      <c r="M75" s="4">
        <v>4380</v>
      </c>
    </row>
    <row r="76" spans="1:13" x14ac:dyDescent="0.35">
      <c r="A76" s="8" t="s">
        <v>4336</v>
      </c>
      <c r="B76" s="4" t="s">
        <v>4345</v>
      </c>
      <c r="C76" s="4" t="s">
        <v>4346</v>
      </c>
      <c r="D76" s="4" t="str">
        <f t="shared" si="2"/>
        <v>Paradero Acho, Lima, Perú</v>
      </c>
      <c r="E76" s="25">
        <v>-11.972317</v>
      </c>
      <c r="F76" s="26">
        <v>-77.004002700000001</v>
      </c>
      <c r="G76" s="4" t="s">
        <v>2264</v>
      </c>
      <c r="H76" s="4" t="s">
        <v>4631</v>
      </c>
      <c r="I76" s="4">
        <f>VLOOKUP(BD_PARADEROS[[#This Row],[TIPO]],TBCAPACIDAD[],2,FALSE)</f>
        <v>30</v>
      </c>
      <c r="J76" s="4">
        <v>16</v>
      </c>
      <c r="K76" s="4">
        <v>9</v>
      </c>
      <c r="L76" s="4">
        <v>13</v>
      </c>
      <c r="M76" s="4">
        <v>4380</v>
      </c>
    </row>
    <row r="77" spans="1:13" x14ac:dyDescent="0.35">
      <c r="A77" s="8" t="s">
        <v>4336</v>
      </c>
      <c r="B77" s="4" t="s">
        <v>4347</v>
      </c>
      <c r="C77" s="4" t="s">
        <v>4348</v>
      </c>
      <c r="D77" s="4" t="str">
        <f t="shared" si="2"/>
        <v>Paradero Pte. Peatonal Primavera, Lima, Perú</v>
      </c>
      <c r="E77" s="25">
        <v>-12.1097956</v>
      </c>
      <c r="F77" s="26">
        <v>-76.9786888</v>
      </c>
      <c r="G77" s="4" t="s">
        <v>2264</v>
      </c>
      <c r="H77" s="4" t="s">
        <v>4631</v>
      </c>
      <c r="I77" s="4">
        <f>VLOOKUP(BD_PARADEROS[[#This Row],[TIPO]],TBCAPACIDAD[],2,FALSE)</f>
        <v>30</v>
      </c>
      <c r="J77" s="4">
        <v>16</v>
      </c>
      <c r="K77" s="4">
        <v>9</v>
      </c>
      <c r="L77" s="4">
        <v>13</v>
      </c>
      <c r="M77" s="4">
        <v>4380</v>
      </c>
    </row>
    <row r="78" spans="1:13" x14ac:dyDescent="0.35">
      <c r="A78" s="8" t="s">
        <v>4336</v>
      </c>
      <c r="B78" s="4" t="s">
        <v>4244</v>
      </c>
      <c r="C78" s="4" t="s">
        <v>4245</v>
      </c>
      <c r="D78" s="4" t="str">
        <f t="shared" si="2"/>
        <v>Tottus Huachipa, Lima, Perú</v>
      </c>
      <c r="E78" s="25">
        <v>-12.0002005</v>
      </c>
      <c r="F78" s="26">
        <v>-76.900436600000006</v>
      </c>
      <c r="G78" s="4" t="s">
        <v>2264</v>
      </c>
      <c r="H78" s="4" t="s">
        <v>4631</v>
      </c>
      <c r="I78" s="4">
        <f>VLOOKUP(BD_PARADEROS[[#This Row],[TIPO]],TBCAPACIDAD[],2,FALSE)</f>
        <v>30</v>
      </c>
      <c r="J78" s="4">
        <v>16</v>
      </c>
      <c r="K78" s="4">
        <v>9</v>
      </c>
      <c r="L78" s="4">
        <v>13</v>
      </c>
      <c r="M78" s="4">
        <v>4380</v>
      </c>
    </row>
    <row r="79" spans="1:13" x14ac:dyDescent="0.35">
      <c r="A79" s="8" t="s">
        <v>4349</v>
      </c>
      <c r="B79" s="4" t="s">
        <v>4251</v>
      </c>
      <c r="C79" s="4" t="s">
        <v>4350</v>
      </c>
      <c r="D79" s="4" t="str">
        <f t="shared" si="2"/>
        <v>Mall Plaza Bellavista, Lima, Perú</v>
      </c>
      <c r="E79" s="25">
        <v>-12.0551303</v>
      </c>
      <c r="F79" s="26">
        <v>-77.102621799999994</v>
      </c>
      <c r="G79" s="4" t="s">
        <v>2086</v>
      </c>
      <c r="H79" s="4" t="s">
        <v>4629</v>
      </c>
      <c r="I79" s="4">
        <f>VLOOKUP(BD_PARADEROS[[#This Row],[TIPO]],TBCAPACIDAD[],2,FALSE)</f>
        <v>16</v>
      </c>
      <c r="J79" s="4">
        <v>10</v>
      </c>
      <c r="K79" s="4">
        <v>8</v>
      </c>
      <c r="L79" s="4">
        <v>6</v>
      </c>
      <c r="M79" s="4">
        <v>4200</v>
      </c>
    </row>
    <row r="80" spans="1:13" x14ac:dyDescent="0.35">
      <c r="A80" s="8" t="s">
        <v>4349</v>
      </c>
      <c r="B80" s="4" t="s">
        <v>4254</v>
      </c>
      <c r="C80" s="4" t="s">
        <v>4351</v>
      </c>
      <c r="D80" s="4" t="str">
        <f t="shared" si="2"/>
        <v>Universitaria con La Marina, Lima, Perú</v>
      </c>
      <c r="E80" s="25">
        <v>-12.0782829</v>
      </c>
      <c r="F80" s="26">
        <v>-77.081743799999998</v>
      </c>
      <c r="G80" s="4" t="s">
        <v>2086</v>
      </c>
      <c r="H80" s="4" t="s">
        <v>4629</v>
      </c>
      <c r="I80" s="4">
        <f>VLOOKUP(BD_PARADEROS[[#This Row],[TIPO]],TBCAPACIDAD[],2,FALSE)</f>
        <v>16</v>
      </c>
      <c r="J80" s="4">
        <v>10</v>
      </c>
      <c r="K80" s="4">
        <v>8</v>
      </c>
      <c r="L80" s="4">
        <v>6</v>
      </c>
      <c r="M80" s="4">
        <v>4200</v>
      </c>
    </row>
    <row r="81" spans="1:13" x14ac:dyDescent="0.35">
      <c r="A81" s="8" t="s">
        <v>4349</v>
      </c>
      <c r="B81" s="4" t="s">
        <v>4259</v>
      </c>
      <c r="C81" s="4" t="s">
        <v>4352</v>
      </c>
      <c r="D81" s="4" t="str">
        <f t="shared" si="2"/>
        <v>Universitaria con Colonial, Lima, Perú</v>
      </c>
      <c r="E81" s="25">
        <v>-12.049841199999999</v>
      </c>
      <c r="F81" s="26">
        <v>-77.077957499999997</v>
      </c>
      <c r="G81" s="4" t="s">
        <v>2086</v>
      </c>
      <c r="H81" s="4" t="s">
        <v>4629</v>
      </c>
      <c r="I81" s="4">
        <f>VLOOKUP(BD_PARADEROS[[#This Row],[TIPO]],TBCAPACIDAD[],2,FALSE)</f>
        <v>16</v>
      </c>
      <c r="J81" s="4">
        <v>10</v>
      </c>
      <c r="K81" s="4">
        <v>8</v>
      </c>
      <c r="L81" s="4">
        <v>6</v>
      </c>
      <c r="M81" s="4">
        <v>4200</v>
      </c>
    </row>
    <row r="82" spans="1:13" x14ac:dyDescent="0.35">
      <c r="A82" s="8" t="s">
        <v>4349</v>
      </c>
      <c r="B82" s="4" t="s">
        <v>4283</v>
      </c>
      <c r="C82" s="4" t="s">
        <v>4353</v>
      </c>
      <c r="D82" s="4" t="str">
        <f t="shared" si="2"/>
        <v>Paradero panadería/Av. Universitaria, Lima, Perú</v>
      </c>
      <c r="E82" s="25">
        <v>-11.986641799999999</v>
      </c>
      <c r="F82" s="26">
        <v>-77.085927100000006</v>
      </c>
      <c r="G82" s="4" t="s">
        <v>2086</v>
      </c>
      <c r="H82" s="4" t="s">
        <v>4629</v>
      </c>
      <c r="I82" s="4">
        <f>VLOOKUP(BD_PARADEROS[[#This Row],[TIPO]],TBCAPACIDAD[],2,FALSE)</f>
        <v>16</v>
      </c>
      <c r="J82" s="4">
        <v>10</v>
      </c>
      <c r="K82" s="4">
        <v>8</v>
      </c>
      <c r="L82" s="4">
        <v>6</v>
      </c>
      <c r="M82" s="4">
        <v>4200</v>
      </c>
    </row>
    <row r="83" spans="1:13" x14ac:dyDescent="0.35">
      <c r="A83" s="9" t="s">
        <v>4349</v>
      </c>
      <c r="B83" s="6" t="s">
        <v>4244</v>
      </c>
      <c r="C83" s="6" t="s">
        <v>4245</v>
      </c>
      <c r="D83" s="6" t="str">
        <f t="shared" si="2"/>
        <v>Tottus Huachipa, Lima, Perú</v>
      </c>
      <c r="E83" s="27">
        <v>-12.0002005</v>
      </c>
      <c r="F83" s="28">
        <v>-76.900436600000006</v>
      </c>
      <c r="G83" s="6" t="s">
        <v>2086</v>
      </c>
      <c r="H83" s="4" t="s">
        <v>4629</v>
      </c>
      <c r="I83" s="6">
        <f>VLOOKUP(BD_PARADEROS[[#This Row],[TIPO]],TBCAPACIDAD[],2,FALSE)</f>
        <v>16</v>
      </c>
      <c r="J83" s="4">
        <v>10</v>
      </c>
      <c r="K83" s="4">
        <v>8</v>
      </c>
      <c r="L83" s="4">
        <v>6</v>
      </c>
      <c r="M83" s="6">
        <v>4200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19E4D-CF2B-4094-A4B6-CFD9AD653474}">
  <dimension ref="A1:D58"/>
  <sheetViews>
    <sheetView topLeftCell="A12" zoomScale="85" zoomScaleNormal="85" workbookViewId="0"/>
  </sheetViews>
  <sheetFormatPr baseColWidth="10" defaultRowHeight="14.5" x14ac:dyDescent="0.35"/>
  <cols>
    <col min="1" max="1" width="68.7265625" bestFit="1" customWidth="1"/>
    <col min="2" max="2" width="36.36328125" customWidth="1"/>
    <col min="3" max="4" width="21.81640625" customWidth="1"/>
    <col min="7" max="7" width="23.08984375" bestFit="1" customWidth="1"/>
  </cols>
  <sheetData>
    <row r="1" spans="1:4" ht="21" x14ac:dyDescent="0.5">
      <c r="A1" s="59" t="s">
        <v>4486</v>
      </c>
    </row>
    <row r="3" spans="1:4" ht="16" x14ac:dyDescent="0.4">
      <c r="A3" s="34" t="s">
        <v>4487</v>
      </c>
    </row>
    <row r="4" spans="1:4" x14ac:dyDescent="0.35">
      <c r="A4" t="s">
        <v>4499</v>
      </c>
    </row>
    <row r="5" spans="1:4" x14ac:dyDescent="0.35">
      <c r="A5" t="s">
        <v>4500</v>
      </c>
    </row>
    <row r="6" spans="1:4" x14ac:dyDescent="0.35">
      <c r="A6" t="s">
        <v>4501</v>
      </c>
    </row>
    <row r="8" spans="1:4" ht="16" x14ac:dyDescent="0.4">
      <c r="A8" s="34" t="s">
        <v>4502</v>
      </c>
    </row>
    <row r="9" spans="1:4" x14ac:dyDescent="0.35">
      <c r="A9" s="56" t="s">
        <v>4503</v>
      </c>
      <c r="B9" s="56" t="s">
        <v>4453</v>
      </c>
      <c r="C9" s="56" t="s">
        <v>3242</v>
      </c>
      <c r="D9" s="56" t="s">
        <v>4504</v>
      </c>
    </row>
    <row r="10" spans="1:4" x14ac:dyDescent="0.35">
      <c r="A10" t="s">
        <v>4458</v>
      </c>
      <c r="B10" t="s">
        <v>4505</v>
      </c>
      <c r="C10">
        <v>455</v>
      </c>
      <c r="D10" t="s">
        <v>4493</v>
      </c>
    </row>
    <row r="11" spans="1:4" x14ac:dyDescent="0.35">
      <c r="A11" t="s">
        <v>4461</v>
      </c>
      <c r="B11" t="s">
        <v>4506</v>
      </c>
      <c r="C11">
        <v>385</v>
      </c>
      <c r="D11" t="s">
        <v>4493</v>
      </c>
    </row>
    <row r="12" spans="1:4" x14ac:dyDescent="0.35">
      <c r="A12" t="s">
        <v>4462</v>
      </c>
      <c r="B12" t="s">
        <v>4507</v>
      </c>
      <c r="C12">
        <v>236</v>
      </c>
      <c r="D12" t="s">
        <v>4493</v>
      </c>
    </row>
    <row r="13" spans="1:4" x14ac:dyDescent="0.35">
      <c r="A13" s="57" t="s">
        <v>4508</v>
      </c>
      <c r="B13" s="57" t="s">
        <v>4509</v>
      </c>
      <c r="C13" s="57">
        <v>1076</v>
      </c>
      <c r="D13" s="57" t="s">
        <v>4493</v>
      </c>
    </row>
    <row r="15" spans="1:4" ht="16" x14ac:dyDescent="0.4">
      <c r="A15" s="34" t="s">
        <v>4510</v>
      </c>
    </row>
    <row r="16" spans="1:4" x14ac:dyDescent="0.35">
      <c r="A16" s="56" t="s">
        <v>4511</v>
      </c>
      <c r="B16" s="56" t="s">
        <v>4452</v>
      </c>
      <c r="C16" s="56" t="s">
        <v>4453</v>
      </c>
      <c r="D16" s="56" t="s">
        <v>4454</v>
      </c>
    </row>
    <row r="17" spans="1:4" x14ac:dyDescent="0.35">
      <c r="A17" t="s">
        <v>1278</v>
      </c>
      <c r="B17" t="s">
        <v>3243</v>
      </c>
      <c r="C17" t="s">
        <v>4512</v>
      </c>
      <c r="D17" t="s">
        <v>4513</v>
      </c>
    </row>
    <row r="18" spans="1:4" x14ac:dyDescent="0.35">
      <c r="A18" t="s">
        <v>1974</v>
      </c>
      <c r="B18" t="s">
        <v>21</v>
      </c>
      <c r="C18" t="s">
        <v>4514</v>
      </c>
      <c r="D18" t="s">
        <v>76</v>
      </c>
    </row>
    <row r="19" spans="1:4" x14ac:dyDescent="0.35">
      <c r="A19" t="s">
        <v>1461</v>
      </c>
      <c r="B19" t="s">
        <v>3242</v>
      </c>
      <c r="C19" t="s">
        <v>4515</v>
      </c>
      <c r="D19">
        <v>162</v>
      </c>
    </row>
    <row r="20" spans="1:4" x14ac:dyDescent="0.35">
      <c r="A20" t="s">
        <v>1861</v>
      </c>
      <c r="B20" t="s">
        <v>4372</v>
      </c>
      <c r="C20" t="s">
        <v>4516</v>
      </c>
      <c r="D20" s="17">
        <v>0.35599999999999998</v>
      </c>
    </row>
    <row r="21" spans="1:4" x14ac:dyDescent="0.35">
      <c r="A21" t="s">
        <v>2019</v>
      </c>
      <c r="B21" t="s">
        <v>4517</v>
      </c>
      <c r="C21" t="s">
        <v>4518</v>
      </c>
      <c r="D21">
        <v>9.0500000000000007</v>
      </c>
    </row>
    <row r="22" spans="1:4" x14ac:dyDescent="0.35">
      <c r="A22" t="s">
        <v>2380</v>
      </c>
      <c r="B22" t="s">
        <v>4376</v>
      </c>
      <c r="C22" t="s">
        <v>4519</v>
      </c>
      <c r="D22" t="s">
        <v>4464</v>
      </c>
    </row>
    <row r="23" spans="1:4" x14ac:dyDescent="0.35">
      <c r="A23" t="s">
        <v>2082</v>
      </c>
      <c r="B23" t="s">
        <v>4465</v>
      </c>
      <c r="C23" t="s">
        <v>4520</v>
      </c>
      <c r="D23">
        <v>3.25</v>
      </c>
    </row>
    <row r="24" spans="1:4" x14ac:dyDescent="0.35">
      <c r="A24" t="s">
        <v>2309</v>
      </c>
      <c r="B24" t="s">
        <v>4378</v>
      </c>
      <c r="C24" t="s">
        <v>4521</v>
      </c>
      <c r="D24" t="s">
        <v>4466</v>
      </c>
    </row>
    <row r="25" spans="1:4" x14ac:dyDescent="0.35">
      <c r="A25" t="s">
        <v>1636</v>
      </c>
      <c r="B25" t="s">
        <v>4379</v>
      </c>
      <c r="C25" t="s">
        <v>4522</v>
      </c>
      <c r="D25" t="s">
        <v>4246</v>
      </c>
    </row>
    <row r="26" spans="1:4" x14ac:dyDescent="0.35">
      <c r="A26" t="s">
        <v>1987</v>
      </c>
      <c r="B26" t="s">
        <v>4380</v>
      </c>
      <c r="C26" t="s">
        <v>4523</v>
      </c>
      <c r="D26" t="s">
        <v>4467</v>
      </c>
    </row>
    <row r="28" spans="1:4" ht="16" x14ac:dyDescent="0.4">
      <c r="A28" s="34" t="s">
        <v>4489</v>
      </c>
    </row>
    <row r="29" spans="1:4" x14ac:dyDescent="0.35">
      <c r="A29" s="16" t="s">
        <v>4524</v>
      </c>
      <c r="C29" s="16" t="s">
        <v>4525</v>
      </c>
    </row>
    <row r="30" spans="1:4" x14ac:dyDescent="0.35">
      <c r="A30" t="s">
        <v>3244</v>
      </c>
      <c r="C30" t="s">
        <v>4364</v>
      </c>
    </row>
    <row r="31" spans="1:4" x14ac:dyDescent="0.35">
      <c r="A31" t="s">
        <v>3246</v>
      </c>
      <c r="C31" t="s">
        <v>4362</v>
      </c>
    </row>
    <row r="32" spans="1:4" x14ac:dyDescent="0.35">
      <c r="A32" t="s">
        <v>3245</v>
      </c>
      <c r="C32" t="s">
        <v>4361</v>
      </c>
    </row>
    <row r="33" spans="1:3" x14ac:dyDescent="0.35">
      <c r="A33" t="s">
        <v>3247</v>
      </c>
      <c r="C33" t="s">
        <v>4363</v>
      </c>
    </row>
    <row r="35" spans="1:3" ht="16" x14ac:dyDescent="0.4">
      <c r="A35" s="34" t="s">
        <v>4490</v>
      </c>
    </row>
    <row r="36" spans="1:3" x14ac:dyDescent="0.35">
      <c r="A36" t="s">
        <v>4467</v>
      </c>
      <c r="B36" t="s">
        <v>4526</v>
      </c>
    </row>
    <row r="37" spans="1:3" x14ac:dyDescent="0.35">
      <c r="A37" t="s">
        <v>4455</v>
      </c>
      <c r="B37" t="s">
        <v>4527</v>
      </c>
    </row>
    <row r="38" spans="1:3" x14ac:dyDescent="0.35">
      <c r="A38" t="s">
        <v>4491</v>
      </c>
      <c r="B38" t="s">
        <v>4528</v>
      </c>
    </row>
    <row r="40" spans="1:3" ht="16" x14ac:dyDescent="0.4">
      <c r="A40" s="34" t="s">
        <v>4492</v>
      </c>
    </row>
    <row r="41" spans="1:3" x14ac:dyDescent="0.35">
      <c r="A41" s="56" t="s">
        <v>4463</v>
      </c>
      <c r="B41" s="56" t="s">
        <v>3242</v>
      </c>
      <c r="C41" s="56" t="s">
        <v>4381</v>
      </c>
    </row>
    <row r="42" spans="1:3" x14ac:dyDescent="0.35">
      <c r="A42" t="s">
        <v>4458</v>
      </c>
      <c r="B42">
        <f>COUNTIF('BD CONSOLIDADA'!A:A,"SECOS")</f>
        <v>0</v>
      </c>
      <c r="C42">
        <v>31</v>
      </c>
    </row>
    <row r="43" spans="1:3" x14ac:dyDescent="0.35">
      <c r="A43" t="s">
        <v>4461</v>
      </c>
      <c r="B43">
        <f>COUNTIF('BD CONSOLIDADA'!A:A,"PPA")</f>
        <v>0</v>
      </c>
      <c r="C43">
        <v>35</v>
      </c>
    </row>
    <row r="44" spans="1:3" x14ac:dyDescent="0.35">
      <c r="A44" t="s">
        <v>4462</v>
      </c>
      <c r="B44">
        <f>COUNTIF('BD CONSOLIDADA'!A:A,"FRESCOS")</f>
        <v>0</v>
      </c>
      <c r="C44">
        <v>24</v>
      </c>
    </row>
    <row r="45" spans="1:3" x14ac:dyDescent="0.35">
      <c r="A45" s="57" t="s">
        <v>4488</v>
      </c>
      <c r="B45" s="57">
        <f>COUNTA('BD CONSOLIDADA'!A:A)-1</f>
        <v>3</v>
      </c>
      <c r="C45" s="57">
        <v>45</v>
      </c>
    </row>
    <row r="47" spans="1:3" ht="16" x14ac:dyDescent="0.4">
      <c r="A47" s="34" t="s">
        <v>4529</v>
      </c>
    </row>
    <row r="48" spans="1:3" x14ac:dyDescent="0.35">
      <c r="A48" s="56" t="s">
        <v>4468</v>
      </c>
      <c r="B48" s="56" t="s">
        <v>4494</v>
      </c>
    </row>
    <row r="49" spans="1:2" x14ac:dyDescent="0.35">
      <c r="A49" t="s">
        <v>4493</v>
      </c>
      <c r="B49" t="s">
        <v>4530</v>
      </c>
    </row>
    <row r="50" spans="1:2" x14ac:dyDescent="0.35">
      <c r="A50" t="s">
        <v>4381</v>
      </c>
      <c r="B50" t="s">
        <v>4495</v>
      </c>
    </row>
    <row r="51" spans="1:2" x14ac:dyDescent="0.35">
      <c r="A51" t="s">
        <v>4496</v>
      </c>
      <c r="B51" t="s">
        <v>4497</v>
      </c>
    </row>
    <row r="53" spans="1:2" ht="16" x14ac:dyDescent="0.4">
      <c r="A53" s="34" t="s">
        <v>4498</v>
      </c>
    </row>
    <row r="54" spans="1:2" x14ac:dyDescent="0.35">
      <c r="A54" t="s">
        <v>4531</v>
      </c>
    </row>
    <row r="55" spans="1:2" x14ac:dyDescent="0.35">
      <c r="A55" s="58" t="s">
        <v>4532</v>
      </c>
    </row>
    <row r="56" spans="1:2" x14ac:dyDescent="0.35">
      <c r="A56" t="s">
        <v>4533</v>
      </c>
    </row>
    <row r="57" spans="1:2" x14ac:dyDescent="0.35">
      <c r="A57" t="s">
        <v>4534</v>
      </c>
    </row>
    <row r="58" spans="1:2" x14ac:dyDescent="0.35">
      <c r="A58" t="s">
        <v>4535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5F4D5-FE41-4632-A51C-3DF66249C53A}">
  <dimension ref="A2:L91"/>
  <sheetViews>
    <sheetView topLeftCell="A54" workbookViewId="0">
      <selection activeCell="F70" sqref="F70"/>
    </sheetView>
  </sheetViews>
  <sheetFormatPr baseColWidth="10" defaultRowHeight="14.5" x14ac:dyDescent="0.35"/>
  <cols>
    <col min="1" max="1" width="15.453125" customWidth="1"/>
    <col min="2" max="2" width="13.6328125" customWidth="1"/>
    <col min="3" max="3" width="10.90625" customWidth="1"/>
    <col min="4" max="6" width="14.54296875" customWidth="1"/>
    <col min="7" max="7" width="15.453125" customWidth="1"/>
    <col min="8" max="8" width="17.26953125" customWidth="1"/>
    <col min="9" max="9" width="17.26953125" hidden="1" customWidth="1"/>
    <col min="10" max="10" width="17.26953125" customWidth="1"/>
    <col min="11" max="11" width="18.1796875" customWidth="1"/>
    <col min="12" max="12" width="20" customWidth="1"/>
    <col min="14" max="14" width="32.7265625" customWidth="1"/>
    <col min="15" max="15" width="18.1796875" customWidth="1"/>
  </cols>
  <sheetData>
    <row r="2" spans="1:12" ht="25" customHeight="1" x14ac:dyDescent="0.35">
      <c r="A2" s="147" t="s">
        <v>4665</v>
      </c>
      <c r="B2" s="147" t="s">
        <v>4666</v>
      </c>
      <c r="C2" s="147" t="s">
        <v>4664</v>
      </c>
      <c r="D2" s="147" t="s">
        <v>4235</v>
      </c>
      <c r="E2" s="147" t="s">
        <v>4639</v>
      </c>
      <c r="F2" s="147" t="s">
        <v>4633</v>
      </c>
      <c r="G2" s="156" t="s">
        <v>4667</v>
      </c>
      <c r="H2" s="147" t="s">
        <v>4643</v>
      </c>
      <c r="I2" s="147" t="s">
        <v>4668</v>
      </c>
      <c r="J2" s="147" t="s">
        <v>4669</v>
      </c>
      <c r="K2" s="147" t="s">
        <v>4670</v>
      </c>
      <c r="L2" s="147" t="s">
        <v>4671</v>
      </c>
    </row>
    <row r="3" spans="1:12" x14ac:dyDescent="0.35">
      <c r="A3" t="str">
        <f t="shared" ref="A3:A37" si="0">IF(C3="","",TEXT(C3,"dddd"))</f>
        <v>lunes</v>
      </c>
      <c r="B3" s="37">
        <f>IF(C3="","",WEEKNUM(Tabla6[[#This Row],[FECHA]],2))</f>
        <v>9</v>
      </c>
      <c r="C3" s="153">
        <v>46076</v>
      </c>
      <c r="D3" s="37" t="s">
        <v>4237</v>
      </c>
      <c r="E3" s="37" t="s">
        <v>4687</v>
      </c>
      <c r="F3" s="37">
        <f>IF(E3="","",VLOOKUP(E3,TBCAPACIDAD[],2,FALSE))</f>
        <v>50</v>
      </c>
      <c r="G3" s="157">
        <v>31</v>
      </c>
      <c r="H3" s="145">
        <f t="shared" ref="H3:H37" si="1">IF(OR(G3="",F3=""),"",G3/F3)</f>
        <v>0.62</v>
      </c>
      <c r="I3" s="151" cm="1">
        <f t="array" ref="I3">IF(OR(D3="",E3=""),"",INDEX('BD BUSES'!$B$1:$Q$8,MATCH(E3,'BD BUSES'!$B$2:$B$8,0)+1,MATCH("TAX "&amp;D3,'BD BUSES'!$B$1:$Q$1,0)))</f>
        <v>310</v>
      </c>
      <c r="J3" s="151">
        <f t="shared" ref="J3:J37" si="2">IF(I3="","",I3)</f>
        <v>310</v>
      </c>
      <c r="K3" s="152">
        <f t="shared" ref="K3:K37" si="3">IF(OR(J3="",G3="",G3=0),"",J3/G3)</f>
        <v>10</v>
      </c>
      <c r="L3" t="str">
        <f t="shared" ref="L3:L37" si="4">IF(H3="","",IF(H3&gt;=0.9,"✅ Óptimo",IF(H3&gt;=0.7,"🔄 OK",IF(H3&gt;=0.5,"⚠️ Bajo","🔴 Muy Bajo"))))</f>
        <v>⚠️ Bajo</v>
      </c>
    </row>
    <row r="4" spans="1:12" x14ac:dyDescent="0.35">
      <c r="A4" t="str">
        <f t="shared" si="0"/>
        <v>lunes</v>
      </c>
      <c r="B4" s="37">
        <f>IF(C4="","",WEEKNUM(Tabla6[[#This Row],[FECHA]],2))</f>
        <v>9</v>
      </c>
      <c r="C4" s="153">
        <v>46076</v>
      </c>
      <c r="D4" s="37" t="s">
        <v>4246</v>
      </c>
      <c r="E4" s="37" t="s">
        <v>4632</v>
      </c>
      <c r="F4" s="37">
        <f>IF(E4="","",VLOOKUP(E4,TBCAPACIDAD[],2,FALSE))</f>
        <v>50</v>
      </c>
      <c r="G4" s="157">
        <v>50</v>
      </c>
      <c r="H4" s="145">
        <f t="shared" si="1"/>
        <v>1</v>
      </c>
      <c r="I4" s="151" cm="1">
        <f t="array" ref="I4">IF(OR(D4="",E4=""),"",INDEX('BD BUSES'!$B$1:$Q$8,MATCH(E4,'BD BUSES'!$B$2:$B$8,0)+1,MATCH("TAX "&amp;D4,'BD BUSES'!$B$1:$Q$1,0)))</f>
        <v>310</v>
      </c>
      <c r="J4" s="151">
        <f t="shared" si="2"/>
        <v>310</v>
      </c>
      <c r="K4" s="152">
        <f t="shared" si="3"/>
        <v>6.2</v>
      </c>
      <c r="L4" t="str">
        <f t="shared" si="4"/>
        <v>✅ Óptimo</v>
      </c>
    </row>
    <row r="5" spans="1:12" x14ac:dyDescent="0.35">
      <c r="A5" t="str">
        <f t="shared" si="0"/>
        <v>lunes</v>
      </c>
      <c r="B5" s="37">
        <f>IF(C5="","",WEEKNUM(Tabla6[[#This Row],[FECHA]],2))</f>
        <v>9</v>
      </c>
      <c r="C5" s="153">
        <v>46076</v>
      </c>
      <c r="D5" s="37" t="s">
        <v>4246</v>
      </c>
      <c r="E5" s="37" t="s">
        <v>4630</v>
      </c>
      <c r="F5" s="37">
        <f>IF(E5="","",VLOOKUP(E5,TBCAPACIDAD[],2,FALSE))</f>
        <v>23</v>
      </c>
      <c r="G5" s="157">
        <v>13</v>
      </c>
      <c r="H5" s="145">
        <f t="shared" si="1"/>
        <v>0.56521739130434778</v>
      </c>
      <c r="I5" s="151" cm="1">
        <f t="array" ref="I5">IF(OR(D5="",E5=""),"",INDEX('BD BUSES'!$B$1:$Q$8,MATCH(E5,'BD BUSES'!$B$2:$B$8,0)+1,MATCH("TAX "&amp;D5,'BD BUSES'!$B$1:$Q$1,0)))</f>
        <v>270</v>
      </c>
      <c r="J5" s="151">
        <f t="shared" si="2"/>
        <v>270</v>
      </c>
      <c r="K5" s="152">
        <f t="shared" si="3"/>
        <v>20.76923076923077</v>
      </c>
      <c r="L5" t="str">
        <f t="shared" si="4"/>
        <v>⚠️ Bajo</v>
      </c>
    </row>
    <row r="6" spans="1:12" x14ac:dyDescent="0.35">
      <c r="A6" t="str">
        <f t="shared" si="0"/>
        <v>lunes</v>
      </c>
      <c r="B6" s="37">
        <f>IF(C6="","",WEEKNUM(Tabla6[[#This Row],[FECHA]],2))</f>
        <v>9</v>
      </c>
      <c r="C6" s="153">
        <v>46076</v>
      </c>
      <c r="D6" s="37" t="s">
        <v>4250</v>
      </c>
      <c r="E6" s="37" t="s">
        <v>4632</v>
      </c>
      <c r="F6" s="37">
        <f>IF(E6="","",VLOOKUP(E6,TBCAPACIDAD[],2,FALSE))</f>
        <v>50</v>
      </c>
      <c r="G6" s="157">
        <v>42</v>
      </c>
      <c r="H6" s="145">
        <f t="shared" si="1"/>
        <v>0.84</v>
      </c>
      <c r="I6" s="151" cm="1">
        <f t="array" ref="I6">IF(OR(D6="",E6=""),"",INDEX('BD BUSES'!$B$1:$Q$8,MATCH(E6,'BD BUSES'!$B$2:$B$8,0)+1,MATCH("TAX "&amp;D6,'BD BUSES'!$B$1:$Q$1,0)))</f>
        <v>340</v>
      </c>
      <c r="J6" s="151">
        <f t="shared" si="2"/>
        <v>340</v>
      </c>
      <c r="K6" s="152">
        <f t="shared" si="3"/>
        <v>8.0952380952380949</v>
      </c>
      <c r="L6" t="str">
        <f t="shared" si="4"/>
        <v>🔄 OK</v>
      </c>
    </row>
    <row r="7" spans="1:12" x14ac:dyDescent="0.35">
      <c r="A7" t="str">
        <f t="shared" si="0"/>
        <v>lunes</v>
      </c>
      <c r="B7" s="37">
        <f>IF(C7="","",WEEKNUM(Tabla6[[#This Row],[FECHA]],2))</f>
        <v>9</v>
      </c>
      <c r="C7" s="153">
        <v>46076</v>
      </c>
      <c r="D7" s="37" t="s">
        <v>4261</v>
      </c>
      <c r="E7" s="37" t="s">
        <v>4687</v>
      </c>
      <c r="F7" s="37">
        <f>IF(E7="","",VLOOKUP(E7,TBCAPACIDAD[],2,FALSE))</f>
        <v>50</v>
      </c>
      <c r="G7" s="157">
        <v>17</v>
      </c>
      <c r="H7" s="145">
        <f t="shared" si="1"/>
        <v>0.34</v>
      </c>
      <c r="I7" s="151" cm="1">
        <f t="array" ref="I7">IF(OR(D7="",E7=""),"",INDEX('BD BUSES'!$B$1:$Q$8,MATCH(E7,'BD BUSES'!$B$2:$B$8,0)+1,MATCH("TAX "&amp;D7,'BD BUSES'!$B$1:$Q$1,0)))</f>
        <v>350</v>
      </c>
      <c r="J7" s="151">
        <f t="shared" si="2"/>
        <v>350</v>
      </c>
      <c r="K7" s="152">
        <f t="shared" si="3"/>
        <v>20.588235294117649</v>
      </c>
      <c r="L7" t="str">
        <f t="shared" si="4"/>
        <v>🔴 Muy Bajo</v>
      </c>
    </row>
    <row r="8" spans="1:12" x14ac:dyDescent="0.35">
      <c r="A8" t="str">
        <f t="shared" si="0"/>
        <v>lunes</v>
      </c>
      <c r="B8" s="37">
        <f>IF(C8="","",WEEKNUM(Tabla6[[#This Row],[FECHA]],2))</f>
        <v>9</v>
      </c>
      <c r="C8" s="153">
        <v>46076</v>
      </c>
      <c r="D8" s="37" t="s">
        <v>4273</v>
      </c>
      <c r="E8" s="37" t="s">
        <v>4687</v>
      </c>
      <c r="F8" s="37">
        <f>IF(E8="","",VLOOKUP(E8,TBCAPACIDAD[],2,FALSE))</f>
        <v>50</v>
      </c>
      <c r="G8" s="157">
        <v>27</v>
      </c>
      <c r="H8" s="145">
        <f t="shared" si="1"/>
        <v>0.54</v>
      </c>
      <c r="I8" s="151" cm="1">
        <f t="array" ref="I8">IF(OR(D8="",E8=""),"",INDEX('BD BUSES'!$B$1:$Q$8,MATCH(E8,'BD BUSES'!$B$2:$B$8,0)+1,MATCH("TAX "&amp;D8,'BD BUSES'!$B$1:$Q$1,0)))</f>
        <v>340</v>
      </c>
      <c r="J8" s="151">
        <f t="shared" si="2"/>
        <v>340</v>
      </c>
      <c r="K8" s="152">
        <f t="shared" si="3"/>
        <v>12.592592592592593</v>
      </c>
      <c r="L8" t="str">
        <f t="shared" si="4"/>
        <v>⚠️ Bajo</v>
      </c>
    </row>
    <row r="9" spans="1:12" x14ac:dyDescent="0.35">
      <c r="A9" t="str">
        <f t="shared" si="0"/>
        <v>lunes</v>
      </c>
      <c r="B9" s="37">
        <f>IF(C9="","",WEEKNUM(Tabla6[[#This Row],[FECHA]],2))</f>
        <v>9</v>
      </c>
      <c r="C9" s="153">
        <v>46076</v>
      </c>
      <c r="D9" s="37" t="s">
        <v>4281</v>
      </c>
      <c r="E9" s="37" t="s">
        <v>4632</v>
      </c>
      <c r="F9" s="37">
        <f>IF(E9="","",VLOOKUP(E9,TBCAPACIDAD[],2,FALSE))</f>
        <v>50</v>
      </c>
      <c r="G9" s="157">
        <v>31</v>
      </c>
      <c r="H9" s="145">
        <f t="shared" si="1"/>
        <v>0.62</v>
      </c>
      <c r="I9" s="151" cm="1">
        <f t="array" ref="I9">IF(OR(D9="",E9=""),"",INDEX('BD BUSES'!$B$1:$Q$8,MATCH(E9,'BD BUSES'!$B$2:$B$8,0)+1,MATCH("TAX "&amp;D9,'BD BUSES'!$B$1:$Q$1,0)))</f>
        <v>370</v>
      </c>
      <c r="J9" s="151">
        <f t="shared" si="2"/>
        <v>370</v>
      </c>
      <c r="K9" s="152">
        <f t="shared" si="3"/>
        <v>11.935483870967742</v>
      </c>
      <c r="L9" t="str">
        <f t="shared" si="4"/>
        <v>⚠️ Bajo</v>
      </c>
    </row>
    <row r="10" spans="1:12" x14ac:dyDescent="0.35">
      <c r="A10" t="str">
        <f t="shared" si="0"/>
        <v>lunes</v>
      </c>
      <c r="B10" s="37">
        <f>IF(C10="","",WEEKNUM(Tabla6[[#This Row],[FECHA]],2))</f>
        <v>9</v>
      </c>
      <c r="C10" s="153">
        <v>46076</v>
      </c>
      <c r="D10" s="37" t="s">
        <v>4289</v>
      </c>
      <c r="E10" s="37" t="s">
        <v>4687</v>
      </c>
      <c r="F10" s="37">
        <f>IF(E10="","",VLOOKUP(E10,TBCAPACIDAD[],2,FALSE))</f>
        <v>50</v>
      </c>
      <c r="G10" s="157">
        <v>21</v>
      </c>
      <c r="H10" s="145">
        <f t="shared" si="1"/>
        <v>0.42</v>
      </c>
      <c r="I10" s="151" cm="1">
        <f t="array" ref="I10">IF(OR(D10="",E10=""),"",INDEX('BD BUSES'!$B$1:$Q$8,MATCH(E10,'BD BUSES'!$B$2:$B$8,0)+1,MATCH("TAX "&amp;D10,'BD BUSES'!$B$1:$Q$1,0)))</f>
        <v>310</v>
      </c>
      <c r="J10" s="151">
        <f t="shared" si="2"/>
        <v>310</v>
      </c>
      <c r="K10" s="152">
        <f t="shared" si="3"/>
        <v>14.761904761904763</v>
      </c>
      <c r="L10" t="str">
        <f t="shared" si="4"/>
        <v>🔴 Muy Bajo</v>
      </c>
    </row>
    <row r="11" spans="1:12" x14ac:dyDescent="0.35">
      <c r="A11" t="str">
        <f t="shared" si="0"/>
        <v>lunes</v>
      </c>
      <c r="B11" s="37">
        <f>IF(C11="","",WEEKNUM(Tabla6[[#This Row],[FECHA]],2))</f>
        <v>9</v>
      </c>
      <c r="C11" s="153">
        <v>46076</v>
      </c>
      <c r="D11" s="37" t="s">
        <v>4296</v>
      </c>
      <c r="E11" s="37" t="s">
        <v>4687</v>
      </c>
      <c r="F11" s="37">
        <f>IF(E11="","",VLOOKUP(E11,TBCAPACIDAD[],2,FALSE))</f>
        <v>50</v>
      </c>
      <c r="G11" s="157">
        <v>32</v>
      </c>
      <c r="H11" s="145">
        <f t="shared" si="1"/>
        <v>0.64</v>
      </c>
      <c r="I11" s="151" cm="1">
        <f t="array" ref="I11">IF(OR(D11="",E11=""),"",INDEX('BD BUSES'!$B$1:$Q$8,MATCH(E11,'BD BUSES'!$B$2:$B$8,0)+1,MATCH("TAX "&amp;D11,'BD BUSES'!$B$1:$Q$1,0)))</f>
        <v>290</v>
      </c>
      <c r="J11" s="151">
        <f t="shared" si="2"/>
        <v>290</v>
      </c>
      <c r="K11" s="152">
        <f t="shared" si="3"/>
        <v>9.0625</v>
      </c>
      <c r="L11" t="str">
        <f t="shared" si="4"/>
        <v>⚠️ Bajo</v>
      </c>
    </row>
    <row r="12" spans="1:12" x14ac:dyDescent="0.35">
      <c r="A12" s="115" t="str">
        <f t="shared" si="0"/>
        <v>lunes</v>
      </c>
      <c r="B12" s="155">
        <f>IF(C12="","",WEEKNUM(Tabla6[[#This Row],[FECHA]],2))</f>
        <v>9</v>
      </c>
      <c r="C12" s="153">
        <v>46076</v>
      </c>
      <c r="D12" s="155" t="s">
        <v>4299</v>
      </c>
      <c r="E12" s="155" t="s">
        <v>4631</v>
      </c>
      <c r="F12" s="155">
        <f>IF(E12="","",VLOOKUP(E12,TBCAPACIDAD[],2,FALSE))</f>
        <v>30</v>
      </c>
      <c r="G12" s="158">
        <v>25</v>
      </c>
      <c r="H12" s="159">
        <f t="shared" si="1"/>
        <v>0.83333333333333337</v>
      </c>
      <c r="I12" s="160" cm="1">
        <f t="array" ref="I12">IF(OR(D12="",E12=""),"",INDEX('BD BUSES'!$B$1:$Q$8,MATCH(E12,'BD BUSES'!$B$2:$B$8,0)+1,MATCH("TAX "&amp;D12,'BD BUSES'!$B$1:$Q$1,0)))</f>
        <v>360</v>
      </c>
      <c r="J12" s="160">
        <f t="shared" si="2"/>
        <v>360</v>
      </c>
      <c r="K12" s="161">
        <f t="shared" si="3"/>
        <v>14.4</v>
      </c>
      <c r="L12" s="115" t="str">
        <f t="shared" si="4"/>
        <v>🔄 OK</v>
      </c>
    </row>
    <row r="13" spans="1:12" x14ac:dyDescent="0.35">
      <c r="A13" t="str">
        <f t="shared" si="0"/>
        <v>lunes</v>
      </c>
      <c r="B13" s="37">
        <f>IF(C13="","",WEEKNUM(Tabla6[[#This Row],[FECHA]],2))</f>
        <v>9</v>
      </c>
      <c r="C13" s="153">
        <v>46076</v>
      </c>
      <c r="D13" s="37" t="s">
        <v>4302</v>
      </c>
      <c r="E13" s="37" t="s">
        <v>4632</v>
      </c>
      <c r="F13" s="37">
        <f>IF(E13="","",VLOOKUP(E13,TBCAPACIDAD[],2,FALSE))</f>
        <v>50</v>
      </c>
      <c r="G13" s="157">
        <v>19</v>
      </c>
      <c r="H13" s="145">
        <f t="shared" si="1"/>
        <v>0.38</v>
      </c>
      <c r="I13" s="151" cm="1">
        <f t="array" ref="I13">IF(OR(D13="",E13=""),"",INDEX('BD BUSES'!$B$1:$Q$8,MATCH(E13,'BD BUSES'!$B$2:$B$8,0)+1,MATCH("TAX "&amp;D13,'BD BUSES'!$B$1:$Q$1,0)))</f>
        <v>360</v>
      </c>
      <c r="J13" s="151">
        <f t="shared" si="2"/>
        <v>360</v>
      </c>
      <c r="K13" s="152">
        <f t="shared" si="3"/>
        <v>18.94736842105263</v>
      </c>
      <c r="L13" t="str">
        <f t="shared" si="4"/>
        <v>🔴 Muy Bajo</v>
      </c>
    </row>
    <row r="14" spans="1:12" x14ac:dyDescent="0.35">
      <c r="A14" t="str">
        <f t="shared" si="0"/>
        <v>lunes</v>
      </c>
      <c r="B14" s="37">
        <f>IF(C14="","",WEEKNUM(Tabla6[[#This Row],[FECHA]],2))</f>
        <v>9</v>
      </c>
      <c r="C14" s="153">
        <v>46076</v>
      </c>
      <c r="D14" s="37" t="s">
        <v>4308</v>
      </c>
      <c r="E14" s="37" t="s">
        <v>4687</v>
      </c>
      <c r="F14" s="37">
        <f>IF(E14="","",VLOOKUP(E14,TBCAPACIDAD[],2,FALSE))</f>
        <v>50</v>
      </c>
      <c r="G14" s="157">
        <v>26</v>
      </c>
      <c r="H14" s="145">
        <f t="shared" si="1"/>
        <v>0.52</v>
      </c>
      <c r="I14" s="151" cm="1">
        <f t="array" ref="I14">IF(OR(D14="",E14=""),"",INDEX('BD BUSES'!$B$1:$Q$8,MATCH(E14,'BD BUSES'!$B$2:$B$8,0)+1,MATCH("TAX "&amp;D14,'BD BUSES'!$B$1:$Q$1,0)))</f>
        <v>310</v>
      </c>
      <c r="J14" s="151">
        <f t="shared" si="2"/>
        <v>310</v>
      </c>
      <c r="K14" s="152">
        <f t="shared" si="3"/>
        <v>11.923076923076923</v>
      </c>
      <c r="L14" t="str">
        <f t="shared" si="4"/>
        <v>⚠️ Bajo</v>
      </c>
    </row>
    <row r="15" spans="1:12" x14ac:dyDescent="0.35">
      <c r="A15" t="str">
        <f t="shared" si="0"/>
        <v>lunes</v>
      </c>
      <c r="B15" s="37">
        <f>IF(C15="","",WEEKNUM(Tabla6[[#This Row],[FECHA]],2))</f>
        <v>9</v>
      </c>
      <c r="C15" s="153">
        <v>46076</v>
      </c>
      <c r="D15" s="37" t="s">
        <v>4316</v>
      </c>
      <c r="E15" s="37" t="s">
        <v>4632</v>
      </c>
      <c r="F15" s="37">
        <f>IF(E15="","",VLOOKUP(E15,TBCAPACIDAD[],2,FALSE))</f>
        <v>50</v>
      </c>
      <c r="G15" s="157">
        <v>22</v>
      </c>
      <c r="H15" s="145">
        <f t="shared" si="1"/>
        <v>0.44</v>
      </c>
      <c r="I15" s="151" cm="1">
        <f t="array" ref="I15">IF(OR(D15="",E15=""),"",INDEX('BD BUSES'!$B$1:$Q$8,MATCH(E15,'BD BUSES'!$B$2:$B$8,0)+1,MATCH("TAX "&amp;D15,'BD BUSES'!$B$1:$Q$1,0)))</f>
        <v>380</v>
      </c>
      <c r="J15" s="151">
        <f t="shared" si="2"/>
        <v>380</v>
      </c>
      <c r="K15" s="152">
        <f t="shared" si="3"/>
        <v>17.272727272727273</v>
      </c>
      <c r="L15" t="str">
        <f t="shared" si="4"/>
        <v>🔴 Muy Bajo</v>
      </c>
    </row>
    <row r="16" spans="1:12" x14ac:dyDescent="0.35">
      <c r="A16" t="str">
        <f t="shared" si="0"/>
        <v>lunes</v>
      </c>
      <c r="B16" s="37">
        <f>IF(C16="","",WEEKNUM(Tabla6[[#This Row],[FECHA]],2))</f>
        <v>9</v>
      </c>
      <c r="C16" s="153">
        <v>46076</v>
      </c>
      <c r="D16" s="37" t="s">
        <v>4336</v>
      </c>
      <c r="E16" s="37" t="s">
        <v>4687</v>
      </c>
      <c r="F16" s="37">
        <f>IF(E16="","",VLOOKUP(E16,TBCAPACIDAD[],2,FALSE))</f>
        <v>50</v>
      </c>
      <c r="G16" s="157">
        <v>17</v>
      </c>
      <c r="H16" s="145">
        <f t="shared" si="1"/>
        <v>0.34</v>
      </c>
      <c r="I16" s="151" cm="1">
        <f t="array" ref="I16">IF(OR(D16="",E16=""),"",INDEX('BD BUSES'!$B$1:$Q$8,MATCH(E16,'BD BUSES'!$B$2:$B$8,0)+1,MATCH("TAX "&amp;D16,'BD BUSES'!$B$1:$Q$1,0)))</f>
        <v>370</v>
      </c>
      <c r="J16" s="151">
        <f t="shared" si="2"/>
        <v>370</v>
      </c>
      <c r="K16" s="152">
        <f t="shared" si="3"/>
        <v>21.764705882352942</v>
      </c>
      <c r="L16" t="str">
        <f t="shared" si="4"/>
        <v>🔴 Muy Bajo</v>
      </c>
    </row>
    <row r="17" spans="1:12" x14ac:dyDescent="0.35">
      <c r="A17" t="str">
        <f t="shared" si="0"/>
        <v>lunes</v>
      </c>
      <c r="B17" s="37">
        <f>IF(C17="","",WEEKNUM(Tabla6[[#This Row],[FECHA]],2))</f>
        <v>9</v>
      </c>
      <c r="C17" s="153">
        <v>46076</v>
      </c>
      <c r="D17" s="37" t="s">
        <v>4349</v>
      </c>
      <c r="E17" s="37" t="s">
        <v>4629</v>
      </c>
      <c r="F17" s="37">
        <f>IF(E17="","",VLOOKUP(E17,TBCAPACIDAD[],2,FALSE))</f>
        <v>16</v>
      </c>
      <c r="G17" s="157">
        <v>6</v>
      </c>
      <c r="H17" s="145">
        <f t="shared" si="1"/>
        <v>0.375</v>
      </c>
      <c r="I17" s="151" cm="1">
        <f t="array" ref="I17">IF(OR(D17="",E17=""),"",INDEX('BD BUSES'!$B$1:$Q$8,MATCH(E17,'BD BUSES'!$B$2:$B$8,0)+1,MATCH("TAX "&amp;D17,'BD BUSES'!$B$1:$Q$1,0)))</f>
        <v>350</v>
      </c>
      <c r="J17" s="151">
        <f t="shared" si="2"/>
        <v>350</v>
      </c>
      <c r="K17" s="152">
        <f t="shared" si="3"/>
        <v>58.333333333333336</v>
      </c>
      <c r="L17" t="str">
        <f t="shared" si="4"/>
        <v>🔴 Muy Bajo</v>
      </c>
    </row>
    <row r="18" spans="1:12" x14ac:dyDescent="0.35">
      <c r="A18" t="str">
        <f t="shared" si="0"/>
        <v>martes</v>
      </c>
      <c r="B18" s="37">
        <f>IF(C18="","",WEEKNUM(Tabla6[[#This Row],[FECHA]],2))</f>
        <v>9</v>
      </c>
      <c r="C18" s="153">
        <v>46077</v>
      </c>
      <c r="D18" s="37" t="s">
        <v>4237</v>
      </c>
      <c r="E18" s="37" t="s">
        <v>4687</v>
      </c>
      <c r="F18" s="37">
        <f>IF(E18="","",VLOOKUP(E18,TBCAPACIDAD[],2,FALSE))</f>
        <v>50</v>
      </c>
      <c r="G18" s="157">
        <v>29</v>
      </c>
      <c r="H18" s="145">
        <f t="shared" si="1"/>
        <v>0.57999999999999996</v>
      </c>
      <c r="I18" s="151" cm="1">
        <f t="array" ref="I18">IF(OR(D18="",E18=""),"",INDEX('BD BUSES'!$B$1:$Q$8,MATCH(E18,'BD BUSES'!$B$2:$B$8,0)+1,MATCH("TAX "&amp;D18,'BD BUSES'!$B$1:$Q$1,0)))</f>
        <v>310</v>
      </c>
      <c r="J18" s="151">
        <f t="shared" si="2"/>
        <v>310</v>
      </c>
      <c r="K18" s="152">
        <f t="shared" si="3"/>
        <v>10.689655172413794</v>
      </c>
      <c r="L18" t="str">
        <f t="shared" si="4"/>
        <v>⚠️ Bajo</v>
      </c>
    </row>
    <row r="19" spans="1:12" x14ac:dyDescent="0.35">
      <c r="A19" t="str">
        <f t="shared" si="0"/>
        <v>martes</v>
      </c>
      <c r="B19" s="37">
        <f>IF(C19="","",WEEKNUM(Tabla6[[#This Row],[FECHA]],2))</f>
        <v>9</v>
      </c>
      <c r="C19" s="153">
        <v>46077</v>
      </c>
      <c r="D19" s="37" t="s">
        <v>4246</v>
      </c>
      <c r="E19" s="37" t="s">
        <v>4632</v>
      </c>
      <c r="F19" s="37">
        <f>IF(E19="","",VLOOKUP(E19,TBCAPACIDAD[],2,FALSE))</f>
        <v>50</v>
      </c>
      <c r="G19" s="157">
        <v>47</v>
      </c>
      <c r="H19" s="145">
        <f t="shared" si="1"/>
        <v>0.94</v>
      </c>
      <c r="I19" s="151" cm="1">
        <f t="array" ref="I19">IF(OR(D19="",E19=""),"",INDEX('BD BUSES'!$B$1:$Q$8,MATCH(E19,'BD BUSES'!$B$2:$B$8,0)+1,MATCH("TAX "&amp;D19,'BD BUSES'!$B$1:$Q$1,0)))</f>
        <v>310</v>
      </c>
      <c r="J19" s="151">
        <f t="shared" si="2"/>
        <v>310</v>
      </c>
      <c r="K19" s="152">
        <f t="shared" si="3"/>
        <v>6.5957446808510642</v>
      </c>
      <c r="L19" t="str">
        <f t="shared" si="4"/>
        <v>✅ Óptimo</v>
      </c>
    </row>
    <row r="20" spans="1:12" x14ac:dyDescent="0.35">
      <c r="A20" t="str">
        <f t="shared" si="0"/>
        <v>martes</v>
      </c>
      <c r="B20" s="37">
        <f>IF(C20="","",WEEKNUM(Tabla6[[#This Row],[FECHA]],2))</f>
        <v>9</v>
      </c>
      <c r="C20" s="153">
        <v>46077</v>
      </c>
      <c r="D20" s="37" t="s">
        <v>4246</v>
      </c>
      <c r="E20" s="37" t="s">
        <v>4630</v>
      </c>
      <c r="F20" s="37">
        <f>IF(E20="","",VLOOKUP(E20,TBCAPACIDAD[],2,FALSE))</f>
        <v>23</v>
      </c>
      <c r="G20" s="157">
        <v>9</v>
      </c>
      <c r="H20" s="145">
        <f t="shared" si="1"/>
        <v>0.39130434782608697</v>
      </c>
      <c r="I20" s="151" cm="1">
        <f t="array" ref="I20">IF(OR(D20="",E20=""),"",INDEX('BD BUSES'!$B$1:$Q$8,MATCH(E20,'BD BUSES'!$B$2:$B$8,0)+1,MATCH("TAX "&amp;D20,'BD BUSES'!$B$1:$Q$1,0)))</f>
        <v>270</v>
      </c>
      <c r="J20" s="151">
        <f t="shared" si="2"/>
        <v>270</v>
      </c>
      <c r="K20" s="152">
        <f t="shared" si="3"/>
        <v>30</v>
      </c>
      <c r="L20" t="str">
        <f t="shared" si="4"/>
        <v>🔴 Muy Bajo</v>
      </c>
    </row>
    <row r="21" spans="1:12" x14ac:dyDescent="0.35">
      <c r="A21" t="str">
        <f t="shared" si="0"/>
        <v>martes</v>
      </c>
      <c r="B21" s="37">
        <f>IF(C21="","",WEEKNUM(Tabla6[[#This Row],[FECHA]],2))</f>
        <v>9</v>
      </c>
      <c r="C21" s="153">
        <v>46077</v>
      </c>
      <c r="D21" s="37" t="s">
        <v>4250</v>
      </c>
      <c r="E21" s="37" t="s">
        <v>4632</v>
      </c>
      <c r="F21" s="37">
        <f>IF(E21="","",VLOOKUP(E21,TBCAPACIDAD[],2,FALSE))</f>
        <v>50</v>
      </c>
      <c r="G21" s="157">
        <v>43</v>
      </c>
      <c r="H21" s="145">
        <f t="shared" si="1"/>
        <v>0.86</v>
      </c>
      <c r="I21" s="151" cm="1">
        <f t="array" ref="I21">IF(OR(D21="",E21=""),"",INDEX('BD BUSES'!$B$1:$Q$8,MATCH(E21,'BD BUSES'!$B$2:$B$8,0)+1,MATCH("TAX "&amp;D21,'BD BUSES'!$B$1:$Q$1,0)))</f>
        <v>340</v>
      </c>
      <c r="J21" s="151">
        <f t="shared" si="2"/>
        <v>340</v>
      </c>
      <c r="K21" s="152">
        <f t="shared" si="3"/>
        <v>7.9069767441860463</v>
      </c>
      <c r="L21" t="str">
        <f t="shared" si="4"/>
        <v>🔄 OK</v>
      </c>
    </row>
    <row r="22" spans="1:12" x14ac:dyDescent="0.35">
      <c r="A22" s="115" t="str">
        <f t="shared" si="0"/>
        <v>martes</v>
      </c>
      <c r="B22" s="155">
        <f>IF(C22="","",WEEKNUM(Tabla6[[#This Row],[FECHA]],2))</f>
        <v>9</v>
      </c>
      <c r="C22" s="153">
        <v>46077</v>
      </c>
      <c r="D22" s="155" t="s">
        <v>4261</v>
      </c>
      <c r="E22" s="155" t="s">
        <v>4631</v>
      </c>
      <c r="F22" s="155">
        <f>IF(E22="","",VLOOKUP(E22,TBCAPACIDAD[],2,FALSE))</f>
        <v>30</v>
      </c>
      <c r="G22" s="158">
        <v>17</v>
      </c>
      <c r="H22" s="159">
        <f t="shared" si="1"/>
        <v>0.56666666666666665</v>
      </c>
      <c r="I22" s="160" cm="1">
        <f t="array" ref="I22">IF(OR(D22="",E22=""),"",INDEX('BD BUSES'!$B$1:$Q$8,MATCH(E22,'BD BUSES'!$B$2:$B$8,0)+1,MATCH("TAX "&amp;D22,'BD BUSES'!$B$1:$Q$1,0)))</f>
        <v>340</v>
      </c>
      <c r="J22" s="160">
        <f t="shared" si="2"/>
        <v>340</v>
      </c>
      <c r="K22" s="161">
        <f t="shared" si="3"/>
        <v>20</v>
      </c>
      <c r="L22" s="115" t="str">
        <f t="shared" si="4"/>
        <v>⚠️ Bajo</v>
      </c>
    </row>
    <row r="23" spans="1:12" x14ac:dyDescent="0.35">
      <c r="A23" t="str">
        <f t="shared" si="0"/>
        <v>martes</v>
      </c>
      <c r="B23" s="37">
        <f>IF(C23="","",WEEKNUM(Tabla6[[#This Row],[FECHA]],2))</f>
        <v>9</v>
      </c>
      <c r="C23" s="153">
        <v>46077</v>
      </c>
      <c r="D23" s="37" t="s">
        <v>4273</v>
      </c>
      <c r="E23" s="37" t="s">
        <v>4631</v>
      </c>
      <c r="F23" s="37">
        <f>IF(E23="","",VLOOKUP(E23,TBCAPACIDAD[],2,FALSE))</f>
        <v>30</v>
      </c>
      <c r="G23" s="157">
        <v>27</v>
      </c>
      <c r="H23" s="145">
        <f t="shared" si="1"/>
        <v>0.9</v>
      </c>
      <c r="I23" s="151" cm="1">
        <f t="array" ref="I23">IF(OR(D23="",E23=""),"",INDEX('BD BUSES'!$B$1:$Q$8,MATCH(E23,'BD BUSES'!$B$2:$B$8,0)+1,MATCH("TAX "&amp;D23,'BD BUSES'!$B$1:$Q$1,0)))</f>
        <v>330</v>
      </c>
      <c r="J23" s="151">
        <f t="shared" si="2"/>
        <v>330</v>
      </c>
      <c r="K23" s="152">
        <f t="shared" si="3"/>
        <v>12.222222222222221</v>
      </c>
      <c r="L23" t="str">
        <f t="shared" si="4"/>
        <v>✅ Óptimo</v>
      </c>
    </row>
    <row r="24" spans="1:12" x14ac:dyDescent="0.35">
      <c r="A24" t="str">
        <f t="shared" si="0"/>
        <v>martes</v>
      </c>
      <c r="B24" s="37">
        <f>IF(C24="","",WEEKNUM(Tabla6[[#This Row],[FECHA]],2))</f>
        <v>9</v>
      </c>
      <c r="C24" s="153">
        <v>46077</v>
      </c>
      <c r="D24" s="37" t="s">
        <v>4281</v>
      </c>
      <c r="E24" s="37" t="s">
        <v>4632</v>
      </c>
      <c r="F24" s="37">
        <f>IF(E24="","",VLOOKUP(E24,TBCAPACIDAD[],2,FALSE))</f>
        <v>50</v>
      </c>
      <c r="G24" s="157">
        <v>30</v>
      </c>
      <c r="H24" s="145">
        <f t="shared" si="1"/>
        <v>0.6</v>
      </c>
      <c r="I24" s="151" cm="1">
        <f t="array" ref="I24">IF(OR(D24="",E24=""),"",INDEX('BD BUSES'!$B$1:$Q$8,MATCH(E24,'BD BUSES'!$B$2:$B$8,0)+1,MATCH("TAX "&amp;D24,'BD BUSES'!$B$1:$Q$1,0)))</f>
        <v>370</v>
      </c>
      <c r="J24" s="151">
        <f t="shared" si="2"/>
        <v>370</v>
      </c>
      <c r="K24" s="152">
        <f t="shared" si="3"/>
        <v>12.333333333333334</v>
      </c>
      <c r="L24" t="str">
        <f t="shared" si="4"/>
        <v>⚠️ Bajo</v>
      </c>
    </row>
    <row r="25" spans="1:12" x14ac:dyDescent="0.35">
      <c r="A25" t="str">
        <f t="shared" si="0"/>
        <v>martes</v>
      </c>
      <c r="B25" s="37">
        <f>IF(C25="","",WEEKNUM(Tabla6[[#This Row],[FECHA]],2))</f>
        <v>9</v>
      </c>
      <c r="C25" s="153">
        <v>46077</v>
      </c>
      <c r="D25" s="37" t="s">
        <v>4289</v>
      </c>
      <c r="E25" s="37" t="s">
        <v>4687</v>
      </c>
      <c r="F25" s="37">
        <f>IF(E25="","",VLOOKUP(E25,TBCAPACIDAD[],2,FALSE))</f>
        <v>50</v>
      </c>
      <c r="G25" s="157">
        <v>30</v>
      </c>
      <c r="H25" s="145">
        <f t="shared" si="1"/>
        <v>0.6</v>
      </c>
      <c r="I25" s="151" cm="1">
        <f t="array" ref="I25">IF(OR(D25="",E25=""),"",INDEX('BD BUSES'!$B$1:$Q$8,MATCH(E25,'BD BUSES'!$B$2:$B$8,0)+1,MATCH("TAX "&amp;D25,'BD BUSES'!$B$1:$Q$1,0)))</f>
        <v>310</v>
      </c>
      <c r="J25" s="151">
        <f t="shared" si="2"/>
        <v>310</v>
      </c>
      <c r="K25" s="152">
        <f t="shared" si="3"/>
        <v>10.333333333333334</v>
      </c>
      <c r="L25" t="str">
        <f t="shared" si="4"/>
        <v>⚠️ Bajo</v>
      </c>
    </row>
    <row r="26" spans="1:12" x14ac:dyDescent="0.35">
      <c r="A26" t="str">
        <f t="shared" si="0"/>
        <v>martes</v>
      </c>
      <c r="B26" s="37">
        <f>IF(C26="","",WEEKNUM(Tabla6[[#This Row],[FECHA]],2))</f>
        <v>9</v>
      </c>
      <c r="C26" s="153">
        <v>46077</v>
      </c>
      <c r="D26" s="37" t="s">
        <v>4296</v>
      </c>
      <c r="E26" s="37" t="s">
        <v>4687</v>
      </c>
      <c r="F26" s="37">
        <f>IF(E26="","",VLOOKUP(E26,TBCAPACIDAD[],2,FALSE))</f>
        <v>50</v>
      </c>
      <c r="G26" s="157">
        <v>40</v>
      </c>
      <c r="H26" s="145">
        <f t="shared" si="1"/>
        <v>0.8</v>
      </c>
      <c r="I26" s="151" cm="1">
        <f t="array" ref="I26">IF(OR(D26="",E26=""),"",INDEX('BD BUSES'!$B$1:$Q$8,MATCH(E26,'BD BUSES'!$B$2:$B$8,0)+1,MATCH("TAX "&amp;D26,'BD BUSES'!$B$1:$Q$1,0)))</f>
        <v>290</v>
      </c>
      <c r="J26" s="151">
        <f t="shared" si="2"/>
        <v>290</v>
      </c>
      <c r="K26" s="152">
        <f t="shared" si="3"/>
        <v>7.25</v>
      </c>
      <c r="L26" t="str">
        <f t="shared" si="4"/>
        <v>🔄 OK</v>
      </c>
    </row>
    <row r="27" spans="1:12" x14ac:dyDescent="0.35">
      <c r="A27" s="115" t="str">
        <f t="shared" si="0"/>
        <v>martes</v>
      </c>
      <c r="B27" s="155">
        <f>IF(C27="","",WEEKNUM(Tabla6[[#This Row],[FECHA]],2))</f>
        <v>9</v>
      </c>
      <c r="C27" s="153">
        <v>46077</v>
      </c>
      <c r="D27" s="155" t="s">
        <v>4299</v>
      </c>
      <c r="E27" s="155" t="s">
        <v>4631</v>
      </c>
      <c r="F27" s="155">
        <f>IF(E27="","",VLOOKUP(E27,TBCAPACIDAD[],2,FALSE))</f>
        <v>30</v>
      </c>
      <c r="G27" s="158">
        <v>24</v>
      </c>
      <c r="H27" s="159">
        <f t="shared" si="1"/>
        <v>0.8</v>
      </c>
      <c r="I27" s="160" cm="1">
        <f t="array" ref="I27">IF(OR(D27="",E27=""),"",INDEX('BD BUSES'!$B$1:$Q$8,MATCH(E27,'BD BUSES'!$B$2:$B$8,0)+1,MATCH("TAX "&amp;D27,'BD BUSES'!$B$1:$Q$1,0)))</f>
        <v>360</v>
      </c>
      <c r="J27" s="160">
        <f t="shared" si="2"/>
        <v>360</v>
      </c>
      <c r="K27" s="161">
        <f t="shared" si="3"/>
        <v>15</v>
      </c>
      <c r="L27" s="115" t="str">
        <f t="shared" si="4"/>
        <v>🔄 OK</v>
      </c>
    </row>
    <row r="28" spans="1:12" x14ac:dyDescent="0.35">
      <c r="A28" t="str">
        <f t="shared" si="0"/>
        <v>martes</v>
      </c>
      <c r="B28" s="37">
        <f>IF(C28="","",WEEKNUM(Tabla6[[#This Row],[FECHA]],2))</f>
        <v>9</v>
      </c>
      <c r="C28" s="153">
        <v>46077</v>
      </c>
      <c r="D28" s="37" t="s">
        <v>4302</v>
      </c>
      <c r="E28" s="37" t="s">
        <v>4632</v>
      </c>
      <c r="F28" s="37">
        <f>IF(E28="","",VLOOKUP(E28,TBCAPACIDAD[],2,FALSE))</f>
        <v>50</v>
      </c>
      <c r="G28" s="157">
        <v>21</v>
      </c>
      <c r="H28" s="145">
        <f t="shared" si="1"/>
        <v>0.42</v>
      </c>
      <c r="I28" s="151" cm="1">
        <f t="array" ref="I28">IF(OR(D28="",E28=""),"",INDEX('BD BUSES'!$B$1:$Q$8,MATCH(E28,'BD BUSES'!$B$2:$B$8,0)+1,MATCH("TAX "&amp;D28,'BD BUSES'!$B$1:$Q$1,0)))</f>
        <v>360</v>
      </c>
      <c r="J28" s="151">
        <f t="shared" si="2"/>
        <v>360</v>
      </c>
      <c r="K28" s="152">
        <f t="shared" si="3"/>
        <v>17.142857142857142</v>
      </c>
      <c r="L28" t="str">
        <f t="shared" si="4"/>
        <v>🔴 Muy Bajo</v>
      </c>
    </row>
    <row r="29" spans="1:12" x14ac:dyDescent="0.35">
      <c r="A29" t="str">
        <f t="shared" si="0"/>
        <v>martes</v>
      </c>
      <c r="B29" s="37">
        <f>IF(C29="","",WEEKNUM(Tabla6[[#This Row],[FECHA]],2))</f>
        <v>9</v>
      </c>
      <c r="C29" s="153">
        <v>46077</v>
      </c>
      <c r="D29" s="37" t="s">
        <v>4308</v>
      </c>
      <c r="E29" s="37" t="s">
        <v>4687</v>
      </c>
      <c r="F29" s="37">
        <f>IF(E29="","",VLOOKUP(E29,TBCAPACIDAD[],2,FALSE))</f>
        <v>50</v>
      </c>
      <c r="G29" s="157">
        <v>27</v>
      </c>
      <c r="H29" s="145">
        <f t="shared" si="1"/>
        <v>0.54</v>
      </c>
      <c r="I29" s="151" cm="1">
        <f t="array" ref="I29">IF(OR(D29="",E29=""),"",INDEX('BD BUSES'!$B$1:$Q$8,MATCH(E29,'BD BUSES'!$B$2:$B$8,0)+1,MATCH("TAX "&amp;D29,'BD BUSES'!$B$1:$Q$1,0)))</f>
        <v>310</v>
      </c>
      <c r="J29" s="151">
        <f t="shared" si="2"/>
        <v>310</v>
      </c>
      <c r="K29" s="152">
        <f t="shared" si="3"/>
        <v>11.481481481481481</v>
      </c>
      <c r="L29" t="str">
        <f t="shared" si="4"/>
        <v>⚠️ Bajo</v>
      </c>
    </row>
    <row r="30" spans="1:12" x14ac:dyDescent="0.35">
      <c r="A30" t="str">
        <f t="shared" si="0"/>
        <v>martes</v>
      </c>
      <c r="B30" s="37">
        <f>IF(C30="","",WEEKNUM(Tabla6[[#This Row],[FECHA]],2))</f>
        <v>9</v>
      </c>
      <c r="C30" s="153">
        <v>46077</v>
      </c>
      <c r="D30" s="37" t="s">
        <v>4316</v>
      </c>
      <c r="E30" s="37" t="s">
        <v>4632</v>
      </c>
      <c r="F30" s="37">
        <f>IF(E30="","",VLOOKUP(E30,TBCAPACIDAD[],2,FALSE))</f>
        <v>50</v>
      </c>
      <c r="G30" s="157">
        <v>24</v>
      </c>
      <c r="H30" s="145">
        <f t="shared" si="1"/>
        <v>0.48</v>
      </c>
      <c r="I30" s="151" cm="1">
        <f t="array" ref="I30">IF(OR(D30="",E30=""),"",INDEX('BD BUSES'!$B$1:$Q$8,MATCH(E30,'BD BUSES'!$B$2:$B$8,0)+1,MATCH("TAX "&amp;D30,'BD BUSES'!$B$1:$Q$1,0)))</f>
        <v>380</v>
      </c>
      <c r="J30" s="151">
        <f t="shared" si="2"/>
        <v>380</v>
      </c>
      <c r="K30" s="152">
        <f t="shared" si="3"/>
        <v>15.833333333333334</v>
      </c>
      <c r="L30" t="str">
        <f t="shared" si="4"/>
        <v>🔴 Muy Bajo</v>
      </c>
    </row>
    <row r="31" spans="1:12" x14ac:dyDescent="0.35">
      <c r="A31" s="115" t="str">
        <f t="shared" si="0"/>
        <v>martes</v>
      </c>
      <c r="B31" s="155">
        <f>IF(C31="","",WEEKNUM(Tabla6[[#This Row],[FECHA]],2))</f>
        <v>9</v>
      </c>
      <c r="C31" s="153">
        <v>46077</v>
      </c>
      <c r="D31" s="155" t="s">
        <v>4336</v>
      </c>
      <c r="E31" s="155" t="s">
        <v>4631</v>
      </c>
      <c r="F31" s="155">
        <f>IF(E31="","",VLOOKUP(E31,TBCAPACIDAD[],2,FALSE))</f>
        <v>30</v>
      </c>
      <c r="G31" s="158">
        <v>24</v>
      </c>
      <c r="H31" s="159">
        <f t="shared" si="1"/>
        <v>0.8</v>
      </c>
      <c r="I31" s="160" cm="1">
        <f t="array" ref="I31">IF(OR(D31="",E31=""),"",INDEX('BD BUSES'!$B$1:$Q$8,MATCH(E31,'BD BUSES'!$B$2:$B$8,0)+1,MATCH("TAX "&amp;D31,'BD BUSES'!$B$1:$Q$1,0)))</f>
        <v>360</v>
      </c>
      <c r="J31" s="160">
        <f t="shared" si="2"/>
        <v>360</v>
      </c>
      <c r="K31" s="161">
        <f t="shared" si="3"/>
        <v>15</v>
      </c>
      <c r="L31" s="115" t="str">
        <f t="shared" si="4"/>
        <v>🔄 OK</v>
      </c>
    </row>
    <row r="32" spans="1:12" x14ac:dyDescent="0.35">
      <c r="A32" s="115" t="str">
        <f t="shared" si="0"/>
        <v>martes</v>
      </c>
      <c r="B32" s="155">
        <f>IF(C32="","",WEEKNUM(Tabla6[[#This Row],[FECHA]],2))</f>
        <v>9</v>
      </c>
      <c r="C32" s="153">
        <v>46077</v>
      </c>
      <c r="D32" s="155" t="s">
        <v>4349</v>
      </c>
      <c r="E32" s="155" t="s">
        <v>4628</v>
      </c>
      <c r="F32" s="155">
        <f>IF(E32="","",VLOOKUP(E32,TBCAPACIDAD[],2,FALSE))</f>
        <v>10</v>
      </c>
      <c r="G32" s="158">
        <v>7</v>
      </c>
      <c r="H32" s="159">
        <f t="shared" si="1"/>
        <v>0.7</v>
      </c>
      <c r="I32" s="160" cm="1">
        <f t="array" ref="I32">IF(OR(D32="",E32=""),"",INDEX('BD BUSES'!$B$1:$Q$8,MATCH(E32,'BD BUSES'!$B$2:$B$8,0)+1,MATCH("TAX "&amp;D32,'BD BUSES'!$B$1:$Q$1,0)))</f>
        <v>320</v>
      </c>
      <c r="J32" s="160">
        <f t="shared" si="2"/>
        <v>320</v>
      </c>
      <c r="K32" s="161">
        <f t="shared" si="3"/>
        <v>45.714285714285715</v>
      </c>
      <c r="L32" s="115" t="str">
        <f t="shared" si="4"/>
        <v>🔄 OK</v>
      </c>
    </row>
    <row r="33" spans="1:12" x14ac:dyDescent="0.35">
      <c r="A33" t="str">
        <f t="shared" si="0"/>
        <v>miércoles</v>
      </c>
      <c r="B33" s="37">
        <f>IF(C33="","",WEEKNUM(Tabla6[[#This Row],[FECHA]],2))</f>
        <v>9</v>
      </c>
      <c r="C33" s="153">
        <v>46078</v>
      </c>
      <c r="D33" s="37" t="s">
        <v>4237</v>
      </c>
      <c r="E33" s="37" t="s">
        <v>4687</v>
      </c>
      <c r="F33" s="37">
        <f>IF(E33="","",VLOOKUP(E33,TBCAPACIDAD[],2,FALSE))</f>
        <v>50</v>
      </c>
      <c r="G33" s="157">
        <v>31</v>
      </c>
      <c r="H33" s="145">
        <f t="shared" si="1"/>
        <v>0.62</v>
      </c>
      <c r="I33" s="151" cm="1">
        <f t="array" ref="I33">IF(OR(D33="",E33=""),"",INDEX('BD BUSES'!$B$1:$Q$8,MATCH(E33,'BD BUSES'!$B$2:$B$8,0)+1,MATCH("TAX "&amp;D33,'BD BUSES'!$B$1:$Q$1,0)))</f>
        <v>310</v>
      </c>
      <c r="J33" s="151">
        <f t="shared" si="2"/>
        <v>310</v>
      </c>
      <c r="K33" s="152">
        <f t="shared" si="3"/>
        <v>10</v>
      </c>
      <c r="L33" t="str">
        <f t="shared" si="4"/>
        <v>⚠️ Bajo</v>
      </c>
    </row>
    <row r="34" spans="1:12" x14ac:dyDescent="0.35">
      <c r="A34" t="str">
        <f t="shared" si="0"/>
        <v>miércoles</v>
      </c>
      <c r="B34" s="37">
        <f>IF(C34="","",WEEKNUM(Tabla6[[#This Row],[FECHA]],2))</f>
        <v>9</v>
      </c>
      <c r="C34" s="153">
        <v>46078</v>
      </c>
      <c r="D34" s="37" t="s">
        <v>4246</v>
      </c>
      <c r="E34" s="37" t="s">
        <v>4632</v>
      </c>
      <c r="F34" s="37">
        <f>IF(E34="","",VLOOKUP(E34,TBCAPACIDAD[],2,FALSE))</f>
        <v>50</v>
      </c>
      <c r="G34" s="157">
        <v>50</v>
      </c>
      <c r="H34" s="145">
        <f t="shared" si="1"/>
        <v>1</v>
      </c>
      <c r="I34" s="151" cm="1">
        <f t="array" ref="I34">IF(OR(D34="",E34=""),"",INDEX('BD BUSES'!$B$1:$Q$8,MATCH(E34,'BD BUSES'!$B$2:$B$8,0)+1,MATCH("TAX "&amp;D34,'BD BUSES'!$B$1:$Q$1,0)))</f>
        <v>310</v>
      </c>
      <c r="J34" s="151">
        <f t="shared" si="2"/>
        <v>310</v>
      </c>
      <c r="K34" s="152">
        <f t="shared" si="3"/>
        <v>6.2</v>
      </c>
      <c r="L34" t="str">
        <f t="shared" si="4"/>
        <v>✅ Óptimo</v>
      </c>
    </row>
    <row r="35" spans="1:12" x14ac:dyDescent="0.35">
      <c r="A35" t="str">
        <f t="shared" si="0"/>
        <v>miércoles</v>
      </c>
      <c r="B35" s="37">
        <f>IF(C35="","",WEEKNUM(Tabla6[[#This Row],[FECHA]],2))</f>
        <v>9</v>
      </c>
      <c r="C35" s="153">
        <v>46078</v>
      </c>
      <c r="D35" s="37" t="s">
        <v>4246</v>
      </c>
      <c r="E35" s="37" t="s">
        <v>4630</v>
      </c>
      <c r="F35" s="37">
        <f>IF(E35="","",VLOOKUP(E35,TBCAPACIDAD[],2,FALSE))</f>
        <v>23</v>
      </c>
      <c r="G35" s="157">
        <v>9</v>
      </c>
      <c r="H35" s="145">
        <f t="shared" si="1"/>
        <v>0.39130434782608697</v>
      </c>
      <c r="I35" s="151" cm="1">
        <f t="array" ref="I35">IF(OR(D35="",E35=""),"",INDEX('BD BUSES'!$B$1:$Q$8,MATCH(E35,'BD BUSES'!$B$2:$B$8,0)+1,MATCH("TAX "&amp;D35,'BD BUSES'!$B$1:$Q$1,0)))</f>
        <v>270</v>
      </c>
      <c r="J35" s="151">
        <f t="shared" si="2"/>
        <v>270</v>
      </c>
      <c r="K35" s="152">
        <f t="shared" si="3"/>
        <v>30</v>
      </c>
      <c r="L35" t="str">
        <f t="shared" si="4"/>
        <v>🔴 Muy Bajo</v>
      </c>
    </row>
    <row r="36" spans="1:12" x14ac:dyDescent="0.35">
      <c r="A36" t="str">
        <f t="shared" si="0"/>
        <v>miércoles</v>
      </c>
      <c r="B36" s="37">
        <f>IF(C36="","",WEEKNUM(Tabla6[[#This Row],[FECHA]],2))</f>
        <v>9</v>
      </c>
      <c r="C36" s="153">
        <v>46078</v>
      </c>
      <c r="D36" s="37" t="s">
        <v>4250</v>
      </c>
      <c r="E36" s="37" t="s">
        <v>4687</v>
      </c>
      <c r="F36" s="37">
        <f>IF(E36="","",VLOOKUP(E36,TBCAPACIDAD[],2,FALSE))</f>
        <v>50</v>
      </c>
      <c r="G36" s="157">
        <v>46</v>
      </c>
      <c r="H36" s="145">
        <f t="shared" si="1"/>
        <v>0.92</v>
      </c>
      <c r="I36" s="151" cm="1">
        <f t="array" ref="I36">IF(OR(D36="",E36=""),"",INDEX('BD BUSES'!$B$1:$Q$8,MATCH(E36,'BD BUSES'!$B$2:$B$8,0)+1,MATCH("TAX "&amp;D36,'BD BUSES'!$B$1:$Q$1,0)))</f>
        <v>340</v>
      </c>
      <c r="J36" s="151">
        <f t="shared" si="2"/>
        <v>340</v>
      </c>
      <c r="K36" s="152">
        <f t="shared" si="3"/>
        <v>7.3913043478260869</v>
      </c>
      <c r="L36" t="str">
        <f t="shared" si="4"/>
        <v>✅ Óptimo</v>
      </c>
    </row>
    <row r="37" spans="1:12" x14ac:dyDescent="0.35">
      <c r="A37" t="str">
        <f t="shared" si="0"/>
        <v>miércoles</v>
      </c>
      <c r="B37" s="37">
        <f>IF(C37="","",WEEKNUM(Tabla6[[#This Row],[FECHA]],2))</f>
        <v>9</v>
      </c>
      <c r="C37" s="153">
        <v>46078</v>
      </c>
      <c r="D37" s="37" t="s">
        <v>4250</v>
      </c>
      <c r="E37" s="37" t="s">
        <v>4629</v>
      </c>
      <c r="F37" s="37">
        <f>IF(E37="","",VLOOKUP(E37,TBCAPACIDAD[],2,FALSE))</f>
        <v>16</v>
      </c>
      <c r="G37" s="157">
        <v>5</v>
      </c>
      <c r="H37" s="145">
        <f t="shared" si="1"/>
        <v>0.3125</v>
      </c>
      <c r="I37" s="151" cm="1">
        <f t="array" ref="I37">IF(OR(D37="",E37=""),"",INDEX('BD BUSES'!$B$1:$Q$8,MATCH(E37,'BD BUSES'!$B$2:$B$8,0)+1,MATCH("TAX "&amp;D37,'BD BUSES'!$B$1:$Q$1,0)))</f>
        <v>280</v>
      </c>
      <c r="J37" s="151">
        <f t="shared" si="2"/>
        <v>280</v>
      </c>
      <c r="K37" s="152">
        <f t="shared" si="3"/>
        <v>56</v>
      </c>
      <c r="L37" t="str">
        <f t="shared" si="4"/>
        <v>🔴 Muy Bajo</v>
      </c>
    </row>
    <row r="38" spans="1:12" x14ac:dyDescent="0.35">
      <c r="A38" s="115" t="str">
        <f t="shared" ref="A38:A47" si="5">IF(C38="","",TEXT(C38,"dddd"))</f>
        <v>miércoles</v>
      </c>
      <c r="B38" s="155">
        <f>IF(C38="","",WEEKNUM(Tabla6[[#This Row],[FECHA]],2))</f>
        <v>9</v>
      </c>
      <c r="C38" s="153">
        <v>46078</v>
      </c>
      <c r="D38" s="155" t="s">
        <v>4261</v>
      </c>
      <c r="E38" s="155" t="s">
        <v>4631</v>
      </c>
      <c r="F38" s="155">
        <f>IF(E38="","",VLOOKUP(E38,TBCAPACIDAD[],2,FALSE))</f>
        <v>30</v>
      </c>
      <c r="G38" s="158">
        <v>16</v>
      </c>
      <c r="H38" s="159">
        <f t="shared" ref="H38:H47" si="6">IF(OR(G38="",F38=""),"",G38/F38)</f>
        <v>0.53333333333333333</v>
      </c>
      <c r="I38" s="160" cm="1">
        <f t="array" ref="I38">IF(OR(D38="",E38=""),"",INDEX('BD BUSES'!$B$1:$Q$8,MATCH(E38,'BD BUSES'!$B$2:$B$8,0)+1,MATCH("TAX "&amp;D38,'BD BUSES'!$B$1:$Q$1,0)))</f>
        <v>340</v>
      </c>
      <c r="J38" s="160">
        <f t="shared" ref="J38:J47" si="7">IF(I38="","",I38)</f>
        <v>340</v>
      </c>
      <c r="K38" s="161">
        <f t="shared" ref="K38:K47" si="8">IF(OR(J38="",G38="",G38=0),"",J38/G38)</f>
        <v>21.25</v>
      </c>
      <c r="L38" s="115" t="str">
        <f t="shared" ref="L38:L47" si="9">IF(H38="","",IF(H38&gt;=0.9,"✅ Óptimo",IF(H38&gt;=0.7,"🔄 OK",IF(H38&gt;=0.5,"⚠️ Bajo","🔴 Muy Bajo"))))</f>
        <v>⚠️ Bajo</v>
      </c>
    </row>
    <row r="39" spans="1:12" x14ac:dyDescent="0.35">
      <c r="A39" t="str">
        <f t="shared" si="5"/>
        <v>miércoles</v>
      </c>
      <c r="B39" s="37">
        <f>IF(C39="","",WEEKNUM(Tabla6[[#This Row],[FECHA]],2))</f>
        <v>9</v>
      </c>
      <c r="C39" s="153">
        <v>46078</v>
      </c>
      <c r="D39" s="37" t="s">
        <v>4273</v>
      </c>
      <c r="E39" s="37" t="s">
        <v>4687</v>
      </c>
      <c r="F39" s="37">
        <f>IF(E39="","",VLOOKUP(E39,TBCAPACIDAD[],2,FALSE))</f>
        <v>50</v>
      </c>
      <c r="G39" s="157">
        <v>26</v>
      </c>
      <c r="H39" s="145">
        <f t="shared" si="6"/>
        <v>0.52</v>
      </c>
      <c r="I39" s="151" cm="1">
        <f t="array" ref="I39">IF(OR(D39="",E39=""),"",INDEX('BD BUSES'!$B$1:$Q$8,MATCH(E39,'BD BUSES'!$B$2:$B$8,0)+1,MATCH("TAX "&amp;D39,'BD BUSES'!$B$1:$Q$1,0)))</f>
        <v>340</v>
      </c>
      <c r="J39" s="151">
        <f t="shared" si="7"/>
        <v>340</v>
      </c>
      <c r="K39" s="152">
        <f t="shared" si="8"/>
        <v>13.076923076923077</v>
      </c>
      <c r="L39" t="str">
        <f t="shared" si="9"/>
        <v>⚠️ Bajo</v>
      </c>
    </row>
    <row r="40" spans="1:12" x14ac:dyDescent="0.35">
      <c r="A40" t="str">
        <f t="shared" si="5"/>
        <v>miércoles</v>
      </c>
      <c r="B40" s="37">
        <f>IF(C40="","",WEEKNUM(Tabla6[[#This Row],[FECHA]],2))</f>
        <v>9</v>
      </c>
      <c r="C40" s="153">
        <v>46078</v>
      </c>
      <c r="D40" s="37" t="s">
        <v>4281</v>
      </c>
      <c r="E40" s="37" t="s">
        <v>4632</v>
      </c>
      <c r="F40" s="37">
        <f>IF(E40="","",VLOOKUP(E40,TBCAPACIDAD[],2,FALSE))</f>
        <v>50</v>
      </c>
      <c r="G40" s="157">
        <v>24</v>
      </c>
      <c r="H40" s="145">
        <f t="shared" si="6"/>
        <v>0.48</v>
      </c>
      <c r="I40" s="151" cm="1">
        <f t="array" ref="I40">IF(OR(D40="",E40=""),"",INDEX('BD BUSES'!$B$1:$Q$8,MATCH(E40,'BD BUSES'!$B$2:$B$8,0)+1,MATCH("TAX "&amp;D40,'BD BUSES'!$B$1:$Q$1,0)))</f>
        <v>370</v>
      </c>
      <c r="J40" s="151">
        <f t="shared" si="7"/>
        <v>370</v>
      </c>
      <c r="K40" s="152">
        <f t="shared" si="8"/>
        <v>15.416666666666666</v>
      </c>
      <c r="L40" t="str">
        <f t="shared" si="9"/>
        <v>🔴 Muy Bajo</v>
      </c>
    </row>
    <row r="41" spans="1:12" x14ac:dyDescent="0.35">
      <c r="A41" t="str">
        <f t="shared" si="5"/>
        <v>miércoles</v>
      </c>
      <c r="B41" s="37">
        <f>IF(C41="","",WEEKNUM(Tabla6[[#This Row],[FECHA]],2))</f>
        <v>9</v>
      </c>
      <c r="C41" s="153">
        <v>46078</v>
      </c>
      <c r="D41" s="37" t="s">
        <v>4289</v>
      </c>
      <c r="E41" s="37" t="s">
        <v>4687</v>
      </c>
      <c r="F41" s="37">
        <f>IF(E41="","",VLOOKUP(E41,TBCAPACIDAD[],2,FALSE))</f>
        <v>50</v>
      </c>
      <c r="G41" s="157">
        <v>32</v>
      </c>
      <c r="H41" s="145">
        <f t="shared" si="6"/>
        <v>0.64</v>
      </c>
      <c r="I41" s="151" cm="1">
        <f t="array" ref="I41">IF(OR(D41="",E41=""),"",INDEX('BD BUSES'!$B$1:$Q$8,MATCH(E41,'BD BUSES'!$B$2:$B$8,0)+1,MATCH("TAX "&amp;D41,'BD BUSES'!$B$1:$Q$1,0)))</f>
        <v>310</v>
      </c>
      <c r="J41" s="151">
        <f t="shared" si="7"/>
        <v>310</v>
      </c>
      <c r="K41" s="152">
        <f t="shared" si="8"/>
        <v>9.6875</v>
      </c>
      <c r="L41" t="str">
        <f t="shared" si="9"/>
        <v>⚠️ Bajo</v>
      </c>
    </row>
    <row r="42" spans="1:12" x14ac:dyDescent="0.35">
      <c r="A42" t="str">
        <f t="shared" si="5"/>
        <v>miércoles</v>
      </c>
      <c r="B42" s="37">
        <f>IF(C42="","",WEEKNUM(Tabla6[[#This Row],[FECHA]],2))</f>
        <v>9</v>
      </c>
      <c r="C42" s="153">
        <v>46078</v>
      </c>
      <c r="D42" s="37" t="s">
        <v>4296</v>
      </c>
      <c r="E42" s="37" t="s">
        <v>4687</v>
      </c>
      <c r="F42" s="37">
        <f>IF(E42="","",VLOOKUP(E42,TBCAPACIDAD[],2,FALSE))</f>
        <v>50</v>
      </c>
      <c r="G42" s="157">
        <v>42</v>
      </c>
      <c r="H42" s="145">
        <f t="shared" si="6"/>
        <v>0.84</v>
      </c>
      <c r="I42" s="151" cm="1">
        <f t="array" ref="I42">IF(OR(D42="",E42=""),"",INDEX('BD BUSES'!$B$1:$Q$8,MATCH(E42,'BD BUSES'!$B$2:$B$8,0)+1,MATCH("TAX "&amp;D42,'BD BUSES'!$B$1:$Q$1,0)))</f>
        <v>290</v>
      </c>
      <c r="J42" s="151">
        <f t="shared" si="7"/>
        <v>290</v>
      </c>
      <c r="K42" s="152">
        <f t="shared" si="8"/>
        <v>6.9047619047619051</v>
      </c>
      <c r="L42" t="str">
        <f t="shared" si="9"/>
        <v>🔄 OK</v>
      </c>
    </row>
    <row r="43" spans="1:12" x14ac:dyDescent="0.35">
      <c r="A43" t="str">
        <f t="shared" si="5"/>
        <v>miércoles</v>
      </c>
      <c r="B43" s="37">
        <f>IF(C43="","",WEEKNUM(Tabla6[[#This Row],[FECHA]],2))</f>
        <v>9</v>
      </c>
      <c r="C43" s="153">
        <v>46078</v>
      </c>
      <c r="D43" s="37" t="s">
        <v>4299</v>
      </c>
      <c r="E43" s="37" t="s">
        <v>4687</v>
      </c>
      <c r="F43" s="37">
        <f>IF(E43="","",VLOOKUP(E43,TBCAPACIDAD[],2,FALSE))</f>
        <v>50</v>
      </c>
      <c r="G43" s="157">
        <v>22</v>
      </c>
      <c r="H43" s="145">
        <f t="shared" si="6"/>
        <v>0.44</v>
      </c>
      <c r="I43" s="151" cm="1">
        <f t="array" ref="I43">IF(OR(D43="",E43=""),"",INDEX('BD BUSES'!$B$1:$Q$8,MATCH(E43,'BD BUSES'!$B$2:$B$8,0)+1,MATCH("TAX "&amp;D43,'BD BUSES'!$B$1:$Q$1,0)))</f>
        <v>370</v>
      </c>
      <c r="J43" s="151">
        <f t="shared" si="7"/>
        <v>370</v>
      </c>
      <c r="K43" s="152">
        <f t="shared" si="8"/>
        <v>16.818181818181817</v>
      </c>
      <c r="L43" t="str">
        <f t="shared" si="9"/>
        <v>🔴 Muy Bajo</v>
      </c>
    </row>
    <row r="44" spans="1:12" x14ac:dyDescent="0.35">
      <c r="A44" t="str">
        <f t="shared" si="5"/>
        <v>miércoles</v>
      </c>
      <c r="B44" s="37">
        <f>IF(C44="","",WEEKNUM(Tabla6[[#This Row],[FECHA]],2))</f>
        <v>9</v>
      </c>
      <c r="C44" s="153">
        <v>46078</v>
      </c>
      <c r="D44" s="37" t="s">
        <v>4302</v>
      </c>
      <c r="E44" s="37" t="s">
        <v>4687</v>
      </c>
      <c r="F44" s="37">
        <f>IF(E44="","",VLOOKUP(E44,TBCAPACIDAD[],2,FALSE))</f>
        <v>50</v>
      </c>
      <c r="G44" s="157">
        <v>19</v>
      </c>
      <c r="H44" s="145">
        <f t="shared" si="6"/>
        <v>0.38</v>
      </c>
      <c r="I44" s="151" cm="1">
        <f t="array" ref="I44">IF(OR(D44="",E44=""),"",INDEX('BD BUSES'!$B$1:$Q$8,MATCH(E44,'BD BUSES'!$B$2:$B$8,0)+1,MATCH("TAX "&amp;D44,'BD BUSES'!$B$1:$Q$1,0)))</f>
        <v>360</v>
      </c>
      <c r="J44" s="151">
        <f t="shared" si="7"/>
        <v>360</v>
      </c>
      <c r="K44" s="152">
        <f t="shared" si="8"/>
        <v>18.94736842105263</v>
      </c>
      <c r="L44" t="str">
        <f t="shared" si="9"/>
        <v>🔴 Muy Bajo</v>
      </c>
    </row>
    <row r="45" spans="1:12" x14ac:dyDescent="0.35">
      <c r="A45" t="str">
        <f t="shared" si="5"/>
        <v>miércoles</v>
      </c>
      <c r="B45" s="37">
        <f>IF(C45="","",WEEKNUM(Tabla6[[#This Row],[FECHA]],2))</f>
        <v>9</v>
      </c>
      <c r="C45" s="153">
        <v>46078</v>
      </c>
      <c r="D45" s="37" t="s">
        <v>4308</v>
      </c>
      <c r="E45" s="37" t="s">
        <v>4687</v>
      </c>
      <c r="F45" s="37">
        <f>IF(E45="","",VLOOKUP(E45,TBCAPACIDAD[],2,FALSE))</f>
        <v>50</v>
      </c>
      <c r="G45" s="157">
        <v>23</v>
      </c>
      <c r="H45" s="145">
        <f t="shared" si="6"/>
        <v>0.46</v>
      </c>
      <c r="I45" s="151" cm="1">
        <f t="array" ref="I45">IF(OR(D45="",E45=""),"",INDEX('BD BUSES'!$B$1:$Q$8,MATCH(E45,'BD BUSES'!$B$2:$B$8,0)+1,MATCH("TAX "&amp;D45,'BD BUSES'!$B$1:$Q$1,0)))</f>
        <v>310</v>
      </c>
      <c r="J45" s="151">
        <f t="shared" si="7"/>
        <v>310</v>
      </c>
      <c r="K45" s="152">
        <f t="shared" si="8"/>
        <v>13.478260869565217</v>
      </c>
      <c r="L45" t="str">
        <f t="shared" si="9"/>
        <v>🔴 Muy Bajo</v>
      </c>
    </row>
    <row r="46" spans="1:12" x14ac:dyDescent="0.35">
      <c r="A46" t="str">
        <f t="shared" si="5"/>
        <v>miércoles</v>
      </c>
      <c r="B46" s="37">
        <f>IF(C46="","",WEEKNUM(Tabla6[[#This Row],[FECHA]],2))</f>
        <v>9</v>
      </c>
      <c r="C46" s="153">
        <v>46078</v>
      </c>
      <c r="D46" s="37" t="s">
        <v>4316</v>
      </c>
      <c r="E46" s="37" t="s">
        <v>4632</v>
      </c>
      <c r="F46" s="37">
        <f>IF(E46="","",VLOOKUP(E46,TBCAPACIDAD[],2,FALSE))</f>
        <v>50</v>
      </c>
      <c r="G46" s="157">
        <v>27</v>
      </c>
      <c r="H46" s="145">
        <f t="shared" si="6"/>
        <v>0.54</v>
      </c>
      <c r="I46" s="151" cm="1">
        <f t="array" ref="I46">IF(OR(D46="",E46=""),"",INDEX('BD BUSES'!$B$1:$Q$8,MATCH(E46,'BD BUSES'!$B$2:$B$8,0)+1,MATCH("TAX "&amp;D46,'BD BUSES'!$B$1:$Q$1,0)))</f>
        <v>380</v>
      </c>
      <c r="J46" s="151">
        <f t="shared" si="7"/>
        <v>380</v>
      </c>
      <c r="K46" s="152">
        <f t="shared" si="8"/>
        <v>14.074074074074074</v>
      </c>
      <c r="L46" t="str">
        <f t="shared" si="9"/>
        <v>⚠️ Bajo</v>
      </c>
    </row>
    <row r="47" spans="1:12" x14ac:dyDescent="0.35">
      <c r="A47" t="str">
        <f t="shared" si="5"/>
        <v>miércoles</v>
      </c>
      <c r="B47" s="37">
        <f>IF(C47="","",WEEKNUM(Tabla6[[#This Row],[FECHA]],2))</f>
        <v>9</v>
      </c>
      <c r="C47" s="153">
        <v>46078</v>
      </c>
      <c r="D47" s="37" t="s">
        <v>4336</v>
      </c>
      <c r="E47" s="37" t="s">
        <v>4687</v>
      </c>
      <c r="F47" s="37">
        <f>IF(E47="","",VLOOKUP(E47,TBCAPACIDAD[],2,FALSE))</f>
        <v>50</v>
      </c>
      <c r="G47" s="157">
        <v>21</v>
      </c>
      <c r="H47" s="145">
        <f t="shared" si="6"/>
        <v>0.42</v>
      </c>
      <c r="I47" s="151" cm="1">
        <f t="array" ref="I47">IF(OR(D47="",E47=""),"",INDEX('BD BUSES'!$B$1:$Q$8,MATCH(E47,'BD BUSES'!$B$2:$B$8,0)+1,MATCH("TAX "&amp;D47,'BD BUSES'!$B$1:$Q$1,0)))</f>
        <v>370</v>
      </c>
      <c r="J47" s="151">
        <f t="shared" si="7"/>
        <v>370</v>
      </c>
      <c r="K47" s="152">
        <f t="shared" si="8"/>
        <v>17.61904761904762</v>
      </c>
      <c r="L47" t="str">
        <f t="shared" si="9"/>
        <v>🔴 Muy Bajo</v>
      </c>
    </row>
    <row r="48" spans="1:12" x14ac:dyDescent="0.35">
      <c r="A48" t="str">
        <f>IF(C48="","",TEXT(C48,"dddd"))</f>
        <v>miércoles</v>
      </c>
      <c r="B48" s="37">
        <f>IF(C48="","",WEEKNUM(Tabla6[[#This Row],[FECHA]],2))</f>
        <v>9</v>
      </c>
      <c r="C48" s="153">
        <v>46078</v>
      </c>
      <c r="D48" s="37" t="s">
        <v>4349</v>
      </c>
      <c r="E48" s="37" t="s">
        <v>4629</v>
      </c>
      <c r="F48" s="37">
        <f>IF(E48="","",VLOOKUP(E48,TBCAPACIDAD[],2,FALSE))</f>
        <v>16</v>
      </c>
      <c r="G48" s="157">
        <v>9</v>
      </c>
      <c r="H48" s="145">
        <f>IF(OR(G48="",F48=""),"",G48/F48)</f>
        <v>0.5625</v>
      </c>
      <c r="I48" s="151" cm="1">
        <f t="array" ref="I48">IF(OR(D48="",E48=""),"",INDEX('BD BUSES'!$B$1:$Q$8,MATCH(E48,'BD BUSES'!$B$2:$B$8,0)+1,MATCH("TAX "&amp;D48,'BD BUSES'!$B$1:$Q$1,0)))</f>
        <v>350</v>
      </c>
      <c r="J48" s="151">
        <f>IF(I48="","",I48)</f>
        <v>350</v>
      </c>
      <c r="K48" s="152">
        <f>IF(OR(J48="",G48="",G48=0),"",J48/G48)</f>
        <v>38.888888888888886</v>
      </c>
      <c r="L48" t="str">
        <f>IF(H48="","",IF(H48&gt;=0.9,"✅ Óptimo",IF(H48&gt;=0.7,"🔄 OK",IF(H48&gt;=0.5,"⚠️ Bajo","🔴 Muy Bajo"))))</f>
        <v>⚠️ Bajo</v>
      </c>
    </row>
    <row r="49" spans="1:12" x14ac:dyDescent="0.35">
      <c r="A49" t="str">
        <f t="shared" ref="A49:A63" si="10">IF(C49="","",TEXT(C49,"dddd"))</f>
        <v>jueves</v>
      </c>
      <c r="B49" s="37">
        <f>IF(C49="","",WEEKNUM(Tabla6[[#This Row],[FECHA]],2))</f>
        <v>9</v>
      </c>
      <c r="C49" s="153">
        <v>46079</v>
      </c>
      <c r="D49" s="37" t="s">
        <v>4237</v>
      </c>
      <c r="E49" s="37" t="s">
        <v>4687</v>
      </c>
      <c r="F49" s="37">
        <f>IF(E49="","",VLOOKUP(E49,TBCAPACIDAD[],2,FALSE))</f>
        <v>50</v>
      </c>
      <c r="G49" s="157">
        <v>28</v>
      </c>
      <c r="H49" s="145">
        <f t="shared" ref="H49:H63" si="11">IF(OR(G49="",F49=""),"",G49/F49)</f>
        <v>0.56000000000000005</v>
      </c>
      <c r="I49" s="151" cm="1">
        <f t="array" ref="I49">IF(OR(D49="",E49=""),"",INDEX('BD BUSES'!$B$1:$Q$8,MATCH(E49,'BD BUSES'!$B$2:$B$8,0)+1,MATCH("TAX "&amp;D49,'BD BUSES'!$B$1:$Q$1,0)))</f>
        <v>310</v>
      </c>
      <c r="J49" s="151">
        <f t="shared" ref="J49:J63" si="12">IF(I49="","",I49)</f>
        <v>310</v>
      </c>
      <c r="K49" s="152">
        <f t="shared" ref="K49:K63" si="13">IF(OR(J49="",G49="",G49=0),"",J49/G49)</f>
        <v>11.071428571428571</v>
      </c>
      <c r="L49" t="str">
        <f t="shared" ref="L49:L63" si="14">IF(H49="","",IF(H49&gt;=0.9,"✅ Óptimo",IF(H49&gt;=0.7,"🔄 OK",IF(H49&gt;=0.5,"⚠️ Bajo","🔴 Muy Bajo"))))</f>
        <v>⚠️ Bajo</v>
      </c>
    </row>
    <row r="50" spans="1:12" x14ac:dyDescent="0.35">
      <c r="A50" t="str">
        <f t="shared" si="10"/>
        <v>jueves</v>
      </c>
      <c r="B50" s="37">
        <f>IF(C50="","",WEEKNUM(Tabla6[[#This Row],[FECHA]],2))</f>
        <v>9</v>
      </c>
      <c r="C50" s="153">
        <v>46079</v>
      </c>
      <c r="D50" s="37" t="s">
        <v>4246</v>
      </c>
      <c r="E50" s="37" t="s">
        <v>4632</v>
      </c>
      <c r="F50" s="37">
        <f>IF(E50="","",VLOOKUP(E50,TBCAPACIDAD[],2,FALSE))</f>
        <v>50</v>
      </c>
      <c r="G50" s="157">
        <v>50</v>
      </c>
      <c r="H50" s="145">
        <f t="shared" si="11"/>
        <v>1</v>
      </c>
      <c r="I50" s="151" cm="1">
        <f t="array" ref="I50">IF(OR(D50="",E50=""),"",INDEX('BD BUSES'!$B$1:$Q$8,MATCH(E50,'BD BUSES'!$B$2:$B$8,0)+1,MATCH("TAX "&amp;D50,'BD BUSES'!$B$1:$Q$1,0)))</f>
        <v>310</v>
      </c>
      <c r="J50" s="151">
        <f t="shared" si="12"/>
        <v>310</v>
      </c>
      <c r="K50" s="152">
        <f t="shared" si="13"/>
        <v>6.2</v>
      </c>
      <c r="L50" t="str">
        <f t="shared" si="14"/>
        <v>✅ Óptimo</v>
      </c>
    </row>
    <row r="51" spans="1:12" x14ac:dyDescent="0.35">
      <c r="A51" t="str">
        <f t="shared" si="10"/>
        <v>jueves</v>
      </c>
      <c r="B51" s="37">
        <f>IF(C51="","",WEEKNUM(Tabla6[[#This Row],[FECHA]],2))</f>
        <v>9</v>
      </c>
      <c r="C51" s="153">
        <v>46079</v>
      </c>
      <c r="D51" s="37" t="s">
        <v>4246</v>
      </c>
      <c r="E51" s="37" t="s">
        <v>4630</v>
      </c>
      <c r="F51" s="37">
        <f>IF(E51="","",VLOOKUP(E51,TBCAPACIDAD[],2,FALSE))</f>
        <v>23</v>
      </c>
      <c r="G51" s="157">
        <v>3</v>
      </c>
      <c r="H51" s="145">
        <f t="shared" si="11"/>
        <v>0.13043478260869565</v>
      </c>
      <c r="I51" s="151" cm="1">
        <f t="array" ref="I51">IF(OR(D51="",E51=""),"",INDEX('BD BUSES'!$B$1:$Q$8,MATCH(E51,'BD BUSES'!$B$2:$B$8,0)+1,MATCH("TAX "&amp;D51,'BD BUSES'!$B$1:$Q$1,0)))</f>
        <v>270</v>
      </c>
      <c r="J51" s="151">
        <f t="shared" si="12"/>
        <v>270</v>
      </c>
      <c r="K51" s="152">
        <f t="shared" si="13"/>
        <v>90</v>
      </c>
      <c r="L51" t="str">
        <f t="shared" si="14"/>
        <v>🔴 Muy Bajo</v>
      </c>
    </row>
    <row r="52" spans="1:12" x14ac:dyDescent="0.35">
      <c r="A52" t="str">
        <f t="shared" si="10"/>
        <v>jueves</v>
      </c>
      <c r="B52" s="37">
        <f>IF(C52="","",WEEKNUM(Tabla6[[#This Row],[FECHA]],2))</f>
        <v>9</v>
      </c>
      <c r="C52" s="153">
        <v>46079</v>
      </c>
      <c r="D52" s="37" t="s">
        <v>4250</v>
      </c>
      <c r="E52" s="37" t="s">
        <v>4632</v>
      </c>
      <c r="F52" s="37">
        <f>IF(E52="","",VLOOKUP(E52,TBCAPACIDAD[],2,FALSE))</f>
        <v>50</v>
      </c>
      <c r="G52" s="157">
        <v>42</v>
      </c>
      <c r="H52" s="145">
        <f t="shared" si="11"/>
        <v>0.84</v>
      </c>
      <c r="I52" s="151" cm="1">
        <f t="array" ref="I52">IF(OR(D52="",E52=""),"",INDEX('BD BUSES'!$B$1:$Q$8,MATCH(E52,'BD BUSES'!$B$2:$B$8,0)+1,MATCH("TAX "&amp;D52,'BD BUSES'!$B$1:$Q$1,0)))</f>
        <v>340</v>
      </c>
      <c r="J52" s="151">
        <f t="shared" si="12"/>
        <v>340</v>
      </c>
      <c r="K52" s="152">
        <f t="shared" si="13"/>
        <v>8.0952380952380949</v>
      </c>
      <c r="L52" t="str">
        <f t="shared" si="14"/>
        <v>🔄 OK</v>
      </c>
    </row>
    <row r="53" spans="1:12" x14ac:dyDescent="0.35">
      <c r="A53" t="str">
        <f t="shared" si="10"/>
        <v>jueves</v>
      </c>
      <c r="B53" s="37">
        <f>IF(C53="","",WEEKNUM(Tabla6[[#This Row],[FECHA]],2))</f>
        <v>9</v>
      </c>
      <c r="C53" s="153">
        <v>46079</v>
      </c>
      <c r="D53" s="37" t="s">
        <v>4261</v>
      </c>
      <c r="E53" s="37" t="s">
        <v>4687</v>
      </c>
      <c r="F53" s="37">
        <f>IF(E53="","",VLOOKUP(E53,TBCAPACIDAD[],2,FALSE))</f>
        <v>50</v>
      </c>
      <c r="G53" s="157">
        <v>20</v>
      </c>
      <c r="H53" s="145">
        <f t="shared" si="11"/>
        <v>0.4</v>
      </c>
      <c r="I53" s="151" cm="1">
        <f t="array" ref="I53">IF(OR(D53="",E53=""),"",INDEX('BD BUSES'!$B$1:$Q$8,MATCH(E53,'BD BUSES'!$B$2:$B$8,0)+1,MATCH("TAX "&amp;D53,'BD BUSES'!$B$1:$Q$1,0)))</f>
        <v>350</v>
      </c>
      <c r="J53" s="151">
        <f t="shared" si="12"/>
        <v>350</v>
      </c>
      <c r="K53" s="152">
        <f t="shared" si="13"/>
        <v>17.5</v>
      </c>
      <c r="L53" t="str">
        <f t="shared" si="14"/>
        <v>🔴 Muy Bajo</v>
      </c>
    </row>
    <row r="54" spans="1:12" x14ac:dyDescent="0.35">
      <c r="A54" t="str">
        <f t="shared" si="10"/>
        <v>jueves</v>
      </c>
      <c r="B54" s="37">
        <f>IF(C54="","",WEEKNUM(Tabla6[[#This Row],[FECHA]],2))</f>
        <v>9</v>
      </c>
      <c r="C54" s="153">
        <v>46079</v>
      </c>
      <c r="D54" s="37" t="s">
        <v>4273</v>
      </c>
      <c r="E54" s="37" t="s">
        <v>4687</v>
      </c>
      <c r="F54" s="37">
        <f>IF(E54="","",VLOOKUP(E54,TBCAPACIDAD[],2,FALSE))</f>
        <v>50</v>
      </c>
      <c r="G54" s="157">
        <v>21</v>
      </c>
      <c r="H54" s="145">
        <f t="shared" si="11"/>
        <v>0.42</v>
      </c>
      <c r="I54" s="151" cm="1">
        <f t="array" ref="I54">IF(OR(D54="",E54=""),"",INDEX('BD BUSES'!$B$1:$Q$8,MATCH(E54,'BD BUSES'!$B$2:$B$8,0)+1,MATCH("TAX "&amp;D54,'BD BUSES'!$B$1:$Q$1,0)))</f>
        <v>340</v>
      </c>
      <c r="J54" s="151">
        <f t="shared" si="12"/>
        <v>340</v>
      </c>
      <c r="K54" s="152">
        <f t="shared" si="13"/>
        <v>16.19047619047619</v>
      </c>
      <c r="L54" t="str">
        <f t="shared" si="14"/>
        <v>🔴 Muy Bajo</v>
      </c>
    </row>
    <row r="55" spans="1:12" x14ac:dyDescent="0.35">
      <c r="A55" t="str">
        <f t="shared" si="10"/>
        <v>jueves</v>
      </c>
      <c r="B55" s="37">
        <f>IF(C55="","",WEEKNUM(Tabla6[[#This Row],[FECHA]],2))</f>
        <v>9</v>
      </c>
      <c r="C55" s="153">
        <v>46079</v>
      </c>
      <c r="D55" s="37" t="s">
        <v>4281</v>
      </c>
      <c r="E55" s="37" t="s">
        <v>4632</v>
      </c>
      <c r="F55" s="37">
        <f>IF(E55="","",VLOOKUP(E55,TBCAPACIDAD[],2,FALSE))</f>
        <v>50</v>
      </c>
      <c r="G55" s="157">
        <v>27</v>
      </c>
      <c r="H55" s="145">
        <f t="shared" si="11"/>
        <v>0.54</v>
      </c>
      <c r="I55" s="151" cm="1">
        <f t="array" ref="I55">IF(OR(D55="",E55=""),"",INDEX('BD BUSES'!$B$1:$Q$8,MATCH(E55,'BD BUSES'!$B$2:$B$8,0)+1,MATCH("TAX "&amp;D55,'BD BUSES'!$B$1:$Q$1,0)))</f>
        <v>370</v>
      </c>
      <c r="J55" s="151">
        <f t="shared" si="12"/>
        <v>370</v>
      </c>
      <c r="K55" s="152">
        <f t="shared" si="13"/>
        <v>13.703703703703704</v>
      </c>
      <c r="L55" t="str">
        <f t="shared" si="14"/>
        <v>⚠️ Bajo</v>
      </c>
    </row>
    <row r="56" spans="1:12" x14ac:dyDescent="0.35">
      <c r="A56" t="str">
        <f t="shared" si="10"/>
        <v>jueves</v>
      </c>
      <c r="B56" s="37">
        <f>IF(C56="","",WEEKNUM(Tabla6[[#This Row],[FECHA]],2))</f>
        <v>9</v>
      </c>
      <c r="C56" s="153">
        <v>46079</v>
      </c>
      <c r="D56" s="37" t="s">
        <v>4289</v>
      </c>
      <c r="E56" s="37" t="s">
        <v>4632</v>
      </c>
      <c r="F56" s="37">
        <f>IF(E56="","",VLOOKUP(E56,TBCAPACIDAD[],2,FALSE))</f>
        <v>50</v>
      </c>
      <c r="G56" s="157">
        <v>31</v>
      </c>
      <c r="H56" s="145">
        <f t="shared" si="11"/>
        <v>0.62</v>
      </c>
      <c r="I56" s="151" cm="1">
        <f t="array" ref="I56">IF(OR(D56="",E56=""),"",INDEX('BD BUSES'!$B$1:$Q$8,MATCH(E56,'BD BUSES'!$B$2:$B$8,0)+1,MATCH("TAX "&amp;D56,'BD BUSES'!$B$1:$Q$1,0)))</f>
        <v>310</v>
      </c>
      <c r="J56" s="151">
        <f t="shared" si="12"/>
        <v>310</v>
      </c>
      <c r="K56" s="152">
        <f t="shared" si="13"/>
        <v>10</v>
      </c>
      <c r="L56" t="str">
        <f t="shared" si="14"/>
        <v>⚠️ Bajo</v>
      </c>
    </row>
    <row r="57" spans="1:12" x14ac:dyDescent="0.35">
      <c r="A57" t="str">
        <f t="shared" si="10"/>
        <v>jueves</v>
      </c>
      <c r="B57" s="37">
        <f>IF(C57="","",WEEKNUM(Tabla6[[#This Row],[FECHA]],2))</f>
        <v>9</v>
      </c>
      <c r="C57" s="153">
        <v>46079</v>
      </c>
      <c r="D57" s="37" t="s">
        <v>4296</v>
      </c>
      <c r="E57" s="37" t="s">
        <v>4687</v>
      </c>
      <c r="F57" s="37">
        <f>IF(E57="","",VLOOKUP(E57,TBCAPACIDAD[],2,FALSE))</f>
        <v>50</v>
      </c>
      <c r="G57" s="157">
        <v>43</v>
      </c>
      <c r="H57" s="145">
        <f t="shared" si="11"/>
        <v>0.86</v>
      </c>
      <c r="I57" s="151" cm="1">
        <f t="array" ref="I57">IF(OR(D57="",E57=""),"",INDEX('BD BUSES'!$B$1:$Q$8,MATCH(E57,'BD BUSES'!$B$2:$B$8,0)+1,MATCH("TAX "&amp;D57,'BD BUSES'!$B$1:$Q$1,0)))</f>
        <v>290</v>
      </c>
      <c r="J57" s="151">
        <f t="shared" si="12"/>
        <v>290</v>
      </c>
      <c r="K57" s="152">
        <f t="shared" si="13"/>
        <v>6.7441860465116283</v>
      </c>
      <c r="L57" t="str">
        <f t="shared" si="14"/>
        <v>🔄 OK</v>
      </c>
    </row>
    <row r="58" spans="1:12" x14ac:dyDescent="0.35">
      <c r="A58" t="str">
        <f t="shared" si="10"/>
        <v>jueves</v>
      </c>
      <c r="B58" s="37">
        <f>IF(C58="","",WEEKNUM(Tabla6[[#This Row],[FECHA]],2))</f>
        <v>9</v>
      </c>
      <c r="C58" s="153">
        <v>46079</v>
      </c>
      <c r="D58" s="37" t="s">
        <v>4299</v>
      </c>
      <c r="E58" s="37" t="s">
        <v>4631</v>
      </c>
      <c r="F58" s="37">
        <f>IF(E58="","",VLOOKUP(E58,TBCAPACIDAD[],2,FALSE))</f>
        <v>30</v>
      </c>
      <c r="G58" s="157">
        <v>20</v>
      </c>
      <c r="H58" s="145">
        <f t="shared" si="11"/>
        <v>0.66666666666666663</v>
      </c>
      <c r="I58" s="151" cm="1">
        <f t="array" ref="I58">IF(OR(D58="",E58=""),"",INDEX('BD BUSES'!$B$1:$Q$8,MATCH(E58,'BD BUSES'!$B$2:$B$8,0)+1,MATCH("TAX "&amp;D58,'BD BUSES'!$B$1:$Q$1,0)))</f>
        <v>360</v>
      </c>
      <c r="J58" s="151">
        <f t="shared" si="12"/>
        <v>360</v>
      </c>
      <c r="K58" s="152">
        <f t="shared" si="13"/>
        <v>18</v>
      </c>
      <c r="L58" t="str">
        <f t="shared" si="14"/>
        <v>⚠️ Bajo</v>
      </c>
    </row>
    <row r="59" spans="1:12" x14ac:dyDescent="0.35">
      <c r="A59" t="str">
        <f t="shared" si="10"/>
        <v>jueves</v>
      </c>
      <c r="B59" s="37">
        <f>IF(C59="","",WEEKNUM(Tabla6[[#This Row],[FECHA]],2))</f>
        <v>9</v>
      </c>
      <c r="C59" s="153">
        <v>46079</v>
      </c>
      <c r="D59" s="37" t="s">
        <v>4302</v>
      </c>
      <c r="E59" s="37" t="s">
        <v>4687</v>
      </c>
      <c r="F59" s="37">
        <f>IF(E59="","",VLOOKUP(E59,TBCAPACIDAD[],2,FALSE))</f>
        <v>50</v>
      </c>
      <c r="G59" s="157">
        <v>15</v>
      </c>
      <c r="H59" s="145">
        <f t="shared" si="11"/>
        <v>0.3</v>
      </c>
      <c r="I59" s="151" cm="1">
        <f t="array" ref="I59">IF(OR(D59="",E59=""),"",INDEX('BD BUSES'!$B$1:$Q$8,MATCH(E59,'BD BUSES'!$B$2:$B$8,0)+1,MATCH("TAX "&amp;D59,'BD BUSES'!$B$1:$Q$1,0)))</f>
        <v>360</v>
      </c>
      <c r="J59" s="151">
        <f t="shared" si="12"/>
        <v>360</v>
      </c>
      <c r="K59" s="152">
        <f t="shared" si="13"/>
        <v>24</v>
      </c>
      <c r="L59" t="str">
        <f t="shared" si="14"/>
        <v>🔴 Muy Bajo</v>
      </c>
    </row>
    <row r="60" spans="1:12" x14ac:dyDescent="0.35">
      <c r="A60" t="str">
        <f t="shared" si="10"/>
        <v>jueves</v>
      </c>
      <c r="B60" s="37">
        <f>IF(C60="","",WEEKNUM(Tabla6[[#This Row],[FECHA]],2))</f>
        <v>9</v>
      </c>
      <c r="C60" s="153">
        <v>46079</v>
      </c>
      <c r="D60" s="37" t="s">
        <v>4308</v>
      </c>
      <c r="E60" s="37" t="s">
        <v>4687</v>
      </c>
      <c r="F60" s="37">
        <f>IF(E60="","",VLOOKUP(E60,TBCAPACIDAD[],2,FALSE))</f>
        <v>50</v>
      </c>
      <c r="G60" s="157">
        <v>19</v>
      </c>
      <c r="H60" s="145">
        <f t="shared" si="11"/>
        <v>0.38</v>
      </c>
      <c r="I60" s="151" cm="1">
        <f t="array" ref="I60">IF(OR(D60="",E60=""),"",INDEX('BD BUSES'!$B$1:$Q$8,MATCH(E60,'BD BUSES'!$B$2:$B$8,0)+1,MATCH("TAX "&amp;D60,'BD BUSES'!$B$1:$Q$1,0)))</f>
        <v>310</v>
      </c>
      <c r="J60" s="151">
        <f t="shared" si="12"/>
        <v>310</v>
      </c>
      <c r="K60" s="152">
        <f t="shared" si="13"/>
        <v>16.315789473684209</v>
      </c>
      <c r="L60" t="str">
        <f t="shared" si="14"/>
        <v>🔴 Muy Bajo</v>
      </c>
    </row>
    <row r="61" spans="1:12" x14ac:dyDescent="0.35">
      <c r="A61" t="str">
        <f t="shared" si="10"/>
        <v>jueves</v>
      </c>
      <c r="B61" s="37">
        <f>IF(C61="","",WEEKNUM(Tabla6[[#This Row],[FECHA]],2))</f>
        <v>9</v>
      </c>
      <c r="C61" s="153">
        <v>46079</v>
      </c>
      <c r="D61" s="37" t="s">
        <v>4316</v>
      </c>
      <c r="E61" s="37" t="s">
        <v>4632</v>
      </c>
      <c r="F61" s="37">
        <f>IF(E61="","",VLOOKUP(E61,TBCAPACIDAD[],2,FALSE))</f>
        <v>50</v>
      </c>
      <c r="G61" s="157">
        <v>25</v>
      </c>
      <c r="H61" s="145">
        <f t="shared" si="11"/>
        <v>0.5</v>
      </c>
      <c r="I61" s="151" cm="1">
        <f t="array" ref="I61">IF(OR(D61="",E61=""),"",INDEX('BD BUSES'!$B$1:$Q$8,MATCH(E61,'BD BUSES'!$B$2:$B$8,0)+1,MATCH("TAX "&amp;D61,'BD BUSES'!$B$1:$Q$1,0)))</f>
        <v>380</v>
      </c>
      <c r="J61" s="151">
        <f t="shared" si="12"/>
        <v>380</v>
      </c>
      <c r="K61" s="152">
        <f t="shared" si="13"/>
        <v>15.2</v>
      </c>
      <c r="L61" t="str">
        <f t="shared" si="14"/>
        <v>⚠️ Bajo</v>
      </c>
    </row>
    <row r="62" spans="1:12" x14ac:dyDescent="0.35">
      <c r="A62" s="115" t="str">
        <f t="shared" si="10"/>
        <v>jueves</v>
      </c>
      <c r="B62" s="155">
        <f>IF(C62="","",WEEKNUM(Tabla6[[#This Row],[FECHA]],2))</f>
        <v>9</v>
      </c>
      <c r="C62" s="153">
        <v>46079</v>
      </c>
      <c r="D62" s="155" t="s">
        <v>4336</v>
      </c>
      <c r="E62" s="155" t="s">
        <v>4631</v>
      </c>
      <c r="F62" s="155">
        <f>IF(E62="","",VLOOKUP(E62,TBCAPACIDAD[],2,FALSE))</f>
        <v>30</v>
      </c>
      <c r="G62" s="158">
        <v>24</v>
      </c>
      <c r="H62" s="159">
        <f t="shared" si="11"/>
        <v>0.8</v>
      </c>
      <c r="I62" s="160" cm="1">
        <f t="array" ref="I62">IF(OR(D62="",E62=""),"",INDEX('BD BUSES'!$B$1:$Q$8,MATCH(E62,'BD BUSES'!$B$2:$B$8,0)+1,MATCH("TAX "&amp;D62,'BD BUSES'!$B$1:$Q$1,0)))</f>
        <v>360</v>
      </c>
      <c r="J62" s="160">
        <f t="shared" si="12"/>
        <v>360</v>
      </c>
      <c r="K62" s="161">
        <f t="shared" si="13"/>
        <v>15</v>
      </c>
      <c r="L62" s="115" t="str">
        <f t="shared" si="14"/>
        <v>🔄 OK</v>
      </c>
    </row>
    <row r="63" spans="1:12" x14ac:dyDescent="0.35">
      <c r="A63" s="115" t="str">
        <f t="shared" si="10"/>
        <v>jueves</v>
      </c>
      <c r="B63" s="155">
        <f>IF(C63="","",WEEKNUM(Tabla6[[#This Row],[FECHA]],2))</f>
        <v>9</v>
      </c>
      <c r="C63" s="153">
        <v>46079</v>
      </c>
      <c r="D63" s="155" t="s">
        <v>4349</v>
      </c>
      <c r="E63" s="155" t="s">
        <v>4628</v>
      </c>
      <c r="F63" s="155">
        <f>IF(E63="","",VLOOKUP(E63,TBCAPACIDAD[],2,FALSE))</f>
        <v>10</v>
      </c>
      <c r="G63" s="158">
        <v>9</v>
      </c>
      <c r="H63" s="159">
        <f t="shared" si="11"/>
        <v>0.9</v>
      </c>
      <c r="I63" s="160" cm="1">
        <f t="array" ref="I63">IF(OR(D63="",E63=""),"",INDEX('BD BUSES'!$B$1:$Q$8,MATCH(E63,'BD BUSES'!$B$2:$B$8,0)+1,MATCH("TAX "&amp;D63,'BD BUSES'!$B$1:$Q$1,0)))</f>
        <v>320</v>
      </c>
      <c r="J63" s="160">
        <f t="shared" si="12"/>
        <v>320</v>
      </c>
      <c r="K63" s="161">
        <f t="shared" si="13"/>
        <v>35.555555555555557</v>
      </c>
      <c r="L63" s="115" t="str">
        <f t="shared" si="14"/>
        <v>✅ Óptimo</v>
      </c>
    </row>
    <row r="64" spans="1:12" x14ac:dyDescent="0.35">
      <c r="A64" t="str">
        <f t="shared" ref="A64:A77" si="15">IF(C64="","",TEXT(C64,"dddd"))</f>
        <v>viernes</v>
      </c>
      <c r="B64" s="37">
        <f>IF(C64="","",WEEKNUM(Tabla6[[#This Row],[FECHA]],2))</f>
        <v>9</v>
      </c>
      <c r="C64" s="153">
        <v>46080</v>
      </c>
      <c r="D64" s="37" t="s">
        <v>4237</v>
      </c>
      <c r="E64" s="37" t="s">
        <v>4687</v>
      </c>
      <c r="F64" s="37">
        <f>IF(E64="","",VLOOKUP(E64,TBCAPACIDAD[],2,FALSE))</f>
        <v>50</v>
      </c>
      <c r="G64" s="157">
        <v>21</v>
      </c>
      <c r="H64" s="145">
        <f t="shared" ref="H64:H77" si="16">IF(OR(G64="",F64=""),"",G64/F64)</f>
        <v>0.42</v>
      </c>
      <c r="I64" s="151" cm="1">
        <f t="array" ref="I64">IF(OR(D64="",E64=""),"",INDEX('BD BUSES'!$B$1:$Q$8,MATCH(E64,'BD BUSES'!$B$2:$B$8,0)+1,MATCH("TAX "&amp;D64,'BD BUSES'!$B$1:$Q$1,0)))</f>
        <v>310</v>
      </c>
      <c r="J64" s="151">
        <f t="shared" ref="J64:J77" si="17">IF(I64="","",I64)</f>
        <v>310</v>
      </c>
      <c r="K64" s="152">
        <f t="shared" ref="K64:K77" si="18">IF(OR(J64="",G64="",G64=0),"",J64/G64)</f>
        <v>14.761904761904763</v>
      </c>
      <c r="L64" t="str">
        <f t="shared" ref="L64:L77" si="19">IF(H64="","",IF(H64&gt;=0.9,"✅ Óptimo",IF(H64&gt;=0.7,"🔄 OK",IF(H64&gt;=0.5,"⚠️ Bajo","🔴 Muy Bajo"))))</f>
        <v>🔴 Muy Bajo</v>
      </c>
    </row>
    <row r="65" spans="1:12" x14ac:dyDescent="0.35">
      <c r="A65" t="str">
        <f t="shared" si="15"/>
        <v>viernes</v>
      </c>
      <c r="B65" s="37">
        <f>IF(C65="","",WEEKNUM(Tabla6[[#This Row],[FECHA]],2))</f>
        <v>9</v>
      </c>
      <c r="C65" s="153">
        <v>46080</v>
      </c>
      <c r="D65" s="37" t="s">
        <v>4246</v>
      </c>
      <c r="E65" s="37" t="s">
        <v>4632</v>
      </c>
      <c r="F65" s="37">
        <f>IF(E65="","",VLOOKUP(E65,TBCAPACIDAD[],2,FALSE))</f>
        <v>50</v>
      </c>
      <c r="G65" s="157">
        <v>50</v>
      </c>
      <c r="H65" s="145">
        <f t="shared" si="16"/>
        <v>1</v>
      </c>
      <c r="I65" s="151" cm="1">
        <f t="array" ref="I65">IF(OR(D65="",E65=""),"",INDEX('BD BUSES'!$B$1:$Q$8,MATCH(E65,'BD BUSES'!$B$2:$B$8,0)+1,MATCH("TAX "&amp;D65,'BD BUSES'!$B$1:$Q$1,0)))</f>
        <v>310</v>
      </c>
      <c r="J65" s="151">
        <f t="shared" si="17"/>
        <v>310</v>
      </c>
      <c r="K65" s="152">
        <f t="shared" si="18"/>
        <v>6.2</v>
      </c>
      <c r="L65" t="str">
        <f t="shared" si="19"/>
        <v>✅ Óptimo</v>
      </c>
    </row>
    <row r="66" spans="1:12" x14ac:dyDescent="0.35">
      <c r="A66" t="str">
        <f t="shared" si="15"/>
        <v>viernes</v>
      </c>
      <c r="B66" s="37">
        <f>IF(C66="","",WEEKNUM(Tabla6[[#This Row],[FECHA]],2))</f>
        <v>9</v>
      </c>
      <c r="C66" s="153">
        <v>46080</v>
      </c>
      <c r="D66" s="37" t="s">
        <v>4250</v>
      </c>
      <c r="E66" s="37" t="s">
        <v>4632</v>
      </c>
      <c r="F66" s="37">
        <f>IF(E66="","",VLOOKUP(E66,TBCAPACIDAD[],2,FALSE))</f>
        <v>50</v>
      </c>
      <c r="G66" s="157">
        <v>33</v>
      </c>
      <c r="H66" s="145">
        <f t="shared" si="16"/>
        <v>0.66</v>
      </c>
      <c r="I66" s="151" cm="1">
        <f t="array" ref="I66">IF(OR(D66="",E66=""),"",INDEX('BD BUSES'!$B$1:$Q$8,MATCH(E66,'BD BUSES'!$B$2:$B$8,0)+1,MATCH("TAX "&amp;D66,'BD BUSES'!$B$1:$Q$1,0)))</f>
        <v>340</v>
      </c>
      <c r="J66" s="151">
        <f t="shared" si="17"/>
        <v>340</v>
      </c>
      <c r="K66" s="152">
        <f t="shared" si="18"/>
        <v>10.303030303030303</v>
      </c>
      <c r="L66" t="str">
        <f t="shared" si="19"/>
        <v>⚠️ Bajo</v>
      </c>
    </row>
    <row r="67" spans="1:12" x14ac:dyDescent="0.35">
      <c r="A67" t="str">
        <f t="shared" si="15"/>
        <v>viernes</v>
      </c>
      <c r="B67" s="37">
        <f>IF(C67="","",WEEKNUM(Tabla6[[#This Row],[FECHA]],2))</f>
        <v>9</v>
      </c>
      <c r="C67" s="153">
        <v>46080</v>
      </c>
      <c r="D67" s="37" t="s">
        <v>4261</v>
      </c>
      <c r="E67" s="37" t="s">
        <v>4687</v>
      </c>
      <c r="F67" s="37">
        <f>IF(E67="","",VLOOKUP(E67,TBCAPACIDAD[],2,FALSE))</f>
        <v>50</v>
      </c>
      <c r="G67" s="157">
        <v>10</v>
      </c>
      <c r="H67" s="145">
        <f t="shared" si="16"/>
        <v>0.2</v>
      </c>
      <c r="I67" s="151" cm="1">
        <f t="array" ref="I67">IF(OR(D67="",E67=""),"",INDEX('BD BUSES'!$B$1:$Q$8,MATCH(E67,'BD BUSES'!$B$2:$B$8,0)+1,MATCH("TAX "&amp;D67,'BD BUSES'!$B$1:$Q$1,0)))</f>
        <v>350</v>
      </c>
      <c r="J67" s="151">
        <f t="shared" si="17"/>
        <v>350</v>
      </c>
      <c r="K67" s="152">
        <f t="shared" si="18"/>
        <v>35</v>
      </c>
      <c r="L67" t="str">
        <f t="shared" si="19"/>
        <v>🔴 Muy Bajo</v>
      </c>
    </row>
    <row r="68" spans="1:12" x14ac:dyDescent="0.35">
      <c r="A68" t="str">
        <f t="shared" si="15"/>
        <v>viernes</v>
      </c>
      <c r="B68" s="37">
        <f>IF(C68="","",WEEKNUM(Tabla6[[#This Row],[FECHA]],2))</f>
        <v>9</v>
      </c>
      <c r="C68" s="153">
        <v>46080</v>
      </c>
      <c r="D68" s="37" t="s">
        <v>4273</v>
      </c>
      <c r="E68" s="37" t="s">
        <v>4687</v>
      </c>
      <c r="F68" s="37">
        <f>IF(E68="","",VLOOKUP(E68,TBCAPACIDAD[],2,FALSE))</f>
        <v>50</v>
      </c>
      <c r="G68" s="157">
        <v>28</v>
      </c>
      <c r="H68" s="145">
        <f t="shared" si="16"/>
        <v>0.56000000000000005</v>
      </c>
      <c r="I68" s="151" cm="1">
        <f t="array" ref="I68">IF(OR(D68="",E68=""),"",INDEX('BD BUSES'!$B$1:$Q$8,MATCH(E68,'BD BUSES'!$B$2:$B$8,0)+1,MATCH("TAX "&amp;D68,'BD BUSES'!$B$1:$Q$1,0)))</f>
        <v>340</v>
      </c>
      <c r="J68" s="151">
        <f t="shared" si="17"/>
        <v>340</v>
      </c>
      <c r="K68" s="152">
        <f t="shared" si="18"/>
        <v>12.142857142857142</v>
      </c>
      <c r="L68" t="str">
        <f t="shared" si="19"/>
        <v>⚠️ Bajo</v>
      </c>
    </row>
    <row r="69" spans="1:12" x14ac:dyDescent="0.35">
      <c r="A69" t="str">
        <f t="shared" si="15"/>
        <v>viernes</v>
      </c>
      <c r="B69" s="37">
        <f>IF(C69="","",WEEKNUM(Tabla6[[#This Row],[FECHA]],2))</f>
        <v>9</v>
      </c>
      <c r="C69" s="153">
        <v>46080</v>
      </c>
      <c r="D69" s="37" t="s">
        <v>4281</v>
      </c>
      <c r="E69" s="37" t="s">
        <v>4687</v>
      </c>
      <c r="F69" s="37">
        <f>IF(E69="","",VLOOKUP(E69,TBCAPACIDAD[],2,FALSE))</f>
        <v>50</v>
      </c>
      <c r="G69" s="157">
        <v>27</v>
      </c>
      <c r="H69" s="145">
        <f t="shared" si="16"/>
        <v>0.54</v>
      </c>
      <c r="I69" s="151" cm="1">
        <f t="array" ref="I69">IF(OR(D69="",E69=""),"",INDEX('BD BUSES'!$B$1:$Q$8,MATCH(E69,'BD BUSES'!$B$2:$B$8,0)+1,MATCH("TAX "&amp;D69,'BD BUSES'!$B$1:$Q$1,0)))</f>
        <v>370</v>
      </c>
      <c r="J69" s="151">
        <f t="shared" si="17"/>
        <v>370</v>
      </c>
      <c r="K69" s="152">
        <f t="shared" si="18"/>
        <v>13.703703703703704</v>
      </c>
      <c r="L69" t="str">
        <f t="shared" si="19"/>
        <v>⚠️ Bajo</v>
      </c>
    </row>
    <row r="70" spans="1:12" x14ac:dyDescent="0.35">
      <c r="A70" t="str">
        <f t="shared" si="15"/>
        <v>viernes</v>
      </c>
      <c r="B70" s="37">
        <f>IF(C70="","",WEEKNUM(Tabla6[[#This Row],[FECHA]],2))</f>
        <v>9</v>
      </c>
      <c r="C70" s="153">
        <v>46080</v>
      </c>
      <c r="D70" s="37" t="s">
        <v>4289</v>
      </c>
      <c r="E70" s="37" t="s">
        <v>4632</v>
      </c>
      <c r="F70" s="37">
        <f>IF(E70="","",VLOOKUP(E70,TBCAPACIDAD[],2,FALSE))</f>
        <v>50</v>
      </c>
      <c r="G70" s="157">
        <v>19</v>
      </c>
      <c r="H70" s="145">
        <f t="shared" si="16"/>
        <v>0.38</v>
      </c>
      <c r="I70" s="151" cm="1">
        <f t="array" ref="I70">IF(OR(D70="",E70=""),"",INDEX('BD BUSES'!$B$1:$Q$8,MATCH(E70,'BD BUSES'!$B$2:$B$8,0)+1,MATCH("TAX "&amp;D70,'BD BUSES'!$B$1:$Q$1,0)))</f>
        <v>310</v>
      </c>
      <c r="J70" s="151">
        <f t="shared" si="17"/>
        <v>310</v>
      </c>
      <c r="K70" s="152">
        <f t="shared" si="18"/>
        <v>16.315789473684209</v>
      </c>
      <c r="L70" t="str">
        <f t="shared" si="19"/>
        <v>🔴 Muy Bajo</v>
      </c>
    </row>
    <row r="71" spans="1:12" x14ac:dyDescent="0.35">
      <c r="A71" t="str">
        <f t="shared" si="15"/>
        <v>viernes</v>
      </c>
      <c r="B71" s="37">
        <f>IF(C71="","",WEEKNUM(Tabla6[[#This Row],[FECHA]],2))</f>
        <v>9</v>
      </c>
      <c r="C71" s="153">
        <v>46080</v>
      </c>
      <c r="D71" s="37" t="s">
        <v>4296</v>
      </c>
      <c r="E71" s="37" t="s">
        <v>4687</v>
      </c>
      <c r="F71" s="37">
        <f>IF(E71="","",VLOOKUP(E71,TBCAPACIDAD[],2,FALSE))</f>
        <v>50</v>
      </c>
      <c r="G71" s="157">
        <v>46</v>
      </c>
      <c r="H71" s="145">
        <f t="shared" si="16"/>
        <v>0.92</v>
      </c>
      <c r="I71" s="151" cm="1">
        <f t="array" ref="I71">IF(OR(D71="",E71=""),"",INDEX('BD BUSES'!$B$1:$Q$8,MATCH(E71,'BD BUSES'!$B$2:$B$8,0)+1,MATCH("TAX "&amp;D71,'BD BUSES'!$B$1:$Q$1,0)))</f>
        <v>290</v>
      </c>
      <c r="J71" s="151">
        <f t="shared" si="17"/>
        <v>290</v>
      </c>
      <c r="K71" s="152">
        <f t="shared" si="18"/>
        <v>6.3043478260869561</v>
      </c>
      <c r="L71" t="str">
        <f t="shared" si="19"/>
        <v>✅ Óptimo</v>
      </c>
    </row>
    <row r="72" spans="1:12" x14ac:dyDescent="0.35">
      <c r="A72" t="str">
        <f t="shared" si="15"/>
        <v>viernes</v>
      </c>
      <c r="B72" s="37">
        <f>IF(C72="","",WEEKNUM(Tabla6[[#This Row],[FECHA]],2))</f>
        <v>9</v>
      </c>
      <c r="C72" s="153">
        <v>46080</v>
      </c>
      <c r="D72" s="37" t="s">
        <v>4299</v>
      </c>
      <c r="E72" s="37" t="s">
        <v>4687</v>
      </c>
      <c r="F72" s="37">
        <f>IF(E72="","",VLOOKUP(E72,TBCAPACIDAD[],2,FALSE))</f>
        <v>50</v>
      </c>
      <c r="G72" s="157">
        <v>17</v>
      </c>
      <c r="H72" s="145">
        <f t="shared" si="16"/>
        <v>0.34</v>
      </c>
      <c r="I72" s="151" cm="1">
        <f t="array" ref="I72">IF(OR(D72="",E72=""),"",INDEX('BD BUSES'!$B$1:$Q$8,MATCH(E72,'BD BUSES'!$B$2:$B$8,0)+1,MATCH("TAX "&amp;D72,'BD BUSES'!$B$1:$Q$1,0)))</f>
        <v>370</v>
      </c>
      <c r="J72" s="151">
        <f t="shared" si="17"/>
        <v>370</v>
      </c>
      <c r="K72" s="152">
        <f t="shared" si="18"/>
        <v>21.764705882352942</v>
      </c>
      <c r="L72" t="str">
        <f t="shared" si="19"/>
        <v>🔴 Muy Bajo</v>
      </c>
    </row>
    <row r="73" spans="1:12" x14ac:dyDescent="0.35">
      <c r="A73" t="str">
        <f t="shared" si="15"/>
        <v>viernes</v>
      </c>
      <c r="B73" s="37">
        <f>IF(C73="","",WEEKNUM(Tabla6[[#This Row],[FECHA]],2))</f>
        <v>9</v>
      </c>
      <c r="C73" s="153">
        <v>46080</v>
      </c>
      <c r="D73" s="37" t="s">
        <v>4302</v>
      </c>
      <c r="E73" s="37" t="s">
        <v>4632</v>
      </c>
      <c r="F73" s="37">
        <f>IF(E73="","",VLOOKUP(E73,TBCAPACIDAD[],2,FALSE))</f>
        <v>50</v>
      </c>
      <c r="G73" s="157">
        <v>17</v>
      </c>
      <c r="H73" s="145">
        <f t="shared" si="16"/>
        <v>0.34</v>
      </c>
      <c r="I73" s="151" cm="1">
        <f t="array" ref="I73">IF(OR(D73="",E73=""),"",INDEX('BD BUSES'!$B$1:$Q$8,MATCH(E73,'BD BUSES'!$B$2:$B$8,0)+1,MATCH("TAX "&amp;D73,'BD BUSES'!$B$1:$Q$1,0)))</f>
        <v>360</v>
      </c>
      <c r="J73" s="151">
        <f t="shared" si="17"/>
        <v>360</v>
      </c>
      <c r="K73" s="152">
        <f t="shared" si="18"/>
        <v>21.176470588235293</v>
      </c>
      <c r="L73" t="str">
        <f t="shared" si="19"/>
        <v>🔴 Muy Bajo</v>
      </c>
    </row>
    <row r="74" spans="1:12" x14ac:dyDescent="0.35">
      <c r="A74" t="str">
        <f t="shared" si="15"/>
        <v>viernes</v>
      </c>
      <c r="B74" s="37">
        <f>IF(C74="","",WEEKNUM(Tabla6[[#This Row],[FECHA]],2))</f>
        <v>9</v>
      </c>
      <c r="C74" s="153">
        <v>46080</v>
      </c>
      <c r="D74" s="37" t="s">
        <v>4308</v>
      </c>
      <c r="E74" s="37" t="s">
        <v>4687</v>
      </c>
      <c r="F74" s="37">
        <f>IF(E74="","",VLOOKUP(E74,TBCAPACIDAD[],2,FALSE))</f>
        <v>50</v>
      </c>
      <c r="G74" s="157">
        <v>17</v>
      </c>
      <c r="H74" s="145">
        <f t="shared" si="16"/>
        <v>0.34</v>
      </c>
      <c r="I74" s="151" cm="1">
        <f t="array" ref="I74">IF(OR(D74="",E74=""),"",INDEX('BD BUSES'!$B$1:$Q$8,MATCH(E74,'BD BUSES'!$B$2:$B$8,0)+1,MATCH("TAX "&amp;D74,'BD BUSES'!$B$1:$Q$1,0)))</f>
        <v>310</v>
      </c>
      <c r="J74" s="151">
        <f t="shared" si="17"/>
        <v>310</v>
      </c>
      <c r="K74" s="152">
        <f t="shared" si="18"/>
        <v>18.235294117647058</v>
      </c>
      <c r="L74" t="str">
        <f t="shared" si="19"/>
        <v>🔴 Muy Bajo</v>
      </c>
    </row>
    <row r="75" spans="1:12" x14ac:dyDescent="0.35">
      <c r="A75" t="str">
        <f t="shared" si="15"/>
        <v>viernes</v>
      </c>
      <c r="B75" s="37">
        <f>IF(C75="","",WEEKNUM(Tabla6[[#This Row],[FECHA]],2))</f>
        <v>9</v>
      </c>
      <c r="C75" s="153">
        <v>46080</v>
      </c>
      <c r="D75" s="37" t="s">
        <v>4316</v>
      </c>
      <c r="E75" s="37" t="s">
        <v>4632</v>
      </c>
      <c r="F75" s="37">
        <f>IF(E75="","",VLOOKUP(E75,TBCAPACIDAD[],2,FALSE))</f>
        <v>50</v>
      </c>
      <c r="G75" s="157">
        <v>25</v>
      </c>
      <c r="H75" s="145">
        <f t="shared" si="16"/>
        <v>0.5</v>
      </c>
      <c r="I75" s="151" cm="1">
        <f t="array" ref="I75">IF(OR(D75="",E75=""),"",INDEX('BD BUSES'!$B$1:$Q$8,MATCH(E75,'BD BUSES'!$B$2:$B$8,0)+1,MATCH("TAX "&amp;D75,'BD BUSES'!$B$1:$Q$1,0)))</f>
        <v>380</v>
      </c>
      <c r="J75" s="151">
        <f t="shared" si="17"/>
        <v>380</v>
      </c>
      <c r="K75" s="152">
        <f t="shared" si="18"/>
        <v>15.2</v>
      </c>
      <c r="L75" t="str">
        <f t="shared" si="19"/>
        <v>⚠️ Bajo</v>
      </c>
    </row>
    <row r="76" spans="1:12" x14ac:dyDescent="0.35">
      <c r="A76" t="str">
        <f t="shared" si="15"/>
        <v>viernes</v>
      </c>
      <c r="B76" s="37">
        <f>IF(C76="","",WEEKNUM(Tabla6[[#This Row],[FECHA]],2))</f>
        <v>9</v>
      </c>
      <c r="C76" s="153">
        <v>46080</v>
      </c>
      <c r="D76" s="37" t="s">
        <v>4336</v>
      </c>
      <c r="E76" s="37" t="s">
        <v>4687</v>
      </c>
      <c r="F76" s="37">
        <f>IF(E76="","",VLOOKUP(E76,TBCAPACIDAD[],2,FALSE))</f>
        <v>50</v>
      </c>
      <c r="G76" s="157">
        <v>15</v>
      </c>
      <c r="H76" s="145">
        <f t="shared" si="16"/>
        <v>0.3</v>
      </c>
      <c r="I76" s="151" cm="1">
        <f t="array" ref="I76">IF(OR(D76="",E76=""),"",INDEX('BD BUSES'!$B$1:$Q$8,MATCH(E76,'BD BUSES'!$B$2:$B$8,0)+1,MATCH("TAX "&amp;D76,'BD BUSES'!$B$1:$Q$1,0)))</f>
        <v>370</v>
      </c>
      <c r="J76" s="151">
        <f t="shared" si="17"/>
        <v>370</v>
      </c>
      <c r="K76" s="152">
        <f t="shared" si="18"/>
        <v>24.666666666666668</v>
      </c>
      <c r="L76" t="str">
        <f t="shared" si="19"/>
        <v>🔴 Muy Bajo</v>
      </c>
    </row>
    <row r="77" spans="1:12" x14ac:dyDescent="0.35">
      <c r="A77" t="str">
        <f t="shared" si="15"/>
        <v>viernes</v>
      </c>
      <c r="B77" s="37">
        <f>IF(C77="","",WEEKNUM(Tabla6[[#This Row],[FECHA]],2))</f>
        <v>9</v>
      </c>
      <c r="C77" s="153">
        <v>46080</v>
      </c>
      <c r="D77" s="37" t="s">
        <v>4349</v>
      </c>
      <c r="E77" s="37" t="s">
        <v>4629</v>
      </c>
      <c r="F77" s="37">
        <f>IF(E77="","",VLOOKUP(E77,TBCAPACIDAD[],2,FALSE))</f>
        <v>16</v>
      </c>
      <c r="G77" s="157">
        <v>6</v>
      </c>
      <c r="H77" s="145">
        <f t="shared" si="16"/>
        <v>0.375</v>
      </c>
      <c r="I77" s="151" cm="1">
        <f t="array" ref="I77">IF(OR(D77="",E77=""),"",INDEX('BD BUSES'!$B$1:$Q$8,MATCH(E77,'BD BUSES'!$B$2:$B$8,0)+1,MATCH("TAX "&amp;D77,'BD BUSES'!$B$1:$Q$1,0)))</f>
        <v>350</v>
      </c>
      <c r="J77" s="151">
        <f t="shared" si="17"/>
        <v>350</v>
      </c>
      <c r="K77" s="152">
        <f t="shared" si="18"/>
        <v>58.333333333333336</v>
      </c>
      <c r="L77" t="str">
        <f t="shared" si="19"/>
        <v>🔴 Muy Bajo</v>
      </c>
    </row>
    <row r="78" spans="1:12" x14ac:dyDescent="0.35">
      <c r="A78" t="str">
        <f t="shared" ref="A78:A91" si="20">IF(C78="","",TEXT(C78,"dddd"))</f>
        <v>sábado</v>
      </c>
      <c r="B78" s="37">
        <f>IF(C78="","",WEEKNUM(Tabla6[[#This Row],[FECHA]],2))</f>
        <v>9</v>
      </c>
      <c r="C78" s="153">
        <v>46081</v>
      </c>
      <c r="D78" s="37" t="s">
        <v>4237</v>
      </c>
      <c r="E78" s="37" t="s">
        <v>4687</v>
      </c>
      <c r="F78" s="37">
        <f>IF(E78="","",VLOOKUP(E78,TBCAPACIDAD[],2,FALSE))</f>
        <v>50</v>
      </c>
      <c r="G78" s="157">
        <v>27</v>
      </c>
      <c r="H78" s="145">
        <f t="shared" ref="H78:H91" si="21">IF(OR(G78="",F78=""),"",G78/F78)</f>
        <v>0.54</v>
      </c>
      <c r="I78" s="151" cm="1">
        <f t="array" ref="I78">IF(OR(D78="",E78=""),"",INDEX('BD BUSES'!$B$1:$Q$8,MATCH(E78,'BD BUSES'!$B$2:$B$8,0)+1,MATCH("TAX "&amp;D78,'BD BUSES'!$B$1:$Q$1,0)))</f>
        <v>310</v>
      </c>
      <c r="J78" s="151">
        <f t="shared" ref="J78:J91" si="22">IF(I78="","",I78)</f>
        <v>310</v>
      </c>
      <c r="K78" s="152">
        <f t="shared" ref="K78:K91" si="23">IF(OR(J78="",G78="",G78=0),"",J78/G78)</f>
        <v>11.481481481481481</v>
      </c>
      <c r="L78" t="str">
        <f t="shared" ref="L78:L91" si="24">IF(H78="","",IF(H78&gt;=0.9,"✅ Óptimo",IF(H78&gt;=0.7,"🔄 OK",IF(H78&gt;=0.5,"⚠️ Bajo","🔴 Muy Bajo"))))</f>
        <v>⚠️ Bajo</v>
      </c>
    </row>
    <row r="79" spans="1:12" x14ac:dyDescent="0.35">
      <c r="A79" t="str">
        <f t="shared" si="20"/>
        <v>sábado</v>
      </c>
      <c r="B79" s="37">
        <f>IF(C79="","",WEEKNUM(Tabla6[[#This Row],[FECHA]],2))</f>
        <v>9</v>
      </c>
      <c r="C79" s="153">
        <v>46081</v>
      </c>
      <c r="D79" s="37" t="s">
        <v>4246</v>
      </c>
      <c r="E79" s="37" t="s">
        <v>4632</v>
      </c>
      <c r="F79" s="37">
        <f>IF(E79="","",VLOOKUP(E79,TBCAPACIDAD[],2,FALSE))</f>
        <v>50</v>
      </c>
      <c r="G79" s="157">
        <v>46</v>
      </c>
      <c r="H79" s="145">
        <f t="shared" si="21"/>
        <v>0.92</v>
      </c>
      <c r="I79" s="151" cm="1">
        <f t="array" ref="I79">IF(OR(D79="",E79=""),"",INDEX('BD BUSES'!$B$1:$Q$8,MATCH(E79,'BD BUSES'!$B$2:$B$8,0)+1,MATCH("TAX "&amp;D79,'BD BUSES'!$B$1:$Q$1,0)))</f>
        <v>310</v>
      </c>
      <c r="J79" s="151">
        <f t="shared" si="22"/>
        <v>310</v>
      </c>
      <c r="K79" s="152">
        <f t="shared" si="23"/>
        <v>6.7391304347826084</v>
      </c>
      <c r="L79" t="str">
        <f t="shared" si="24"/>
        <v>✅ Óptimo</v>
      </c>
    </row>
    <row r="80" spans="1:12" x14ac:dyDescent="0.35">
      <c r="A80" t="str">
        <f t="shared" si="20"/>
        <v>sábado</v>
      </c>
      <c r="B80" s="37">
        <f>IF(C80="","",WEEKNUM(Tabla6[[#This Row],[FECHA]],2))</f>
        <v>9</v>
      </c>
      <c r="C80" s="153">
        <v>46081</v>
      </c>
      <c r="D80" s="37" t="s">
        <v>4250</v>
      </c>
      <c r="E80" s="37" t="s">
        <v>4632</v>
      </c>
      <c r="F80" s="37">
        <f>IF(E80="","",VLOOKUP(E80,TBCAPACIDAD[],2,FALSE))</f>
        <v>50</v>
      </c>
      <c r="G80" s="157">
        <v>32</v>
      </c>
      <c r="H80" s="145">
        <f t="shared" si="21"/>
        <v>0.64</v>
      </c>
      <c r="I80" s="151" cm="1">
        <f t="array" ref="I80">IF(OR(D80="",E80=""),"",INDEX('BD BUSES'!$B$1:$Q$8,MATCH(E80,'BD BUSES'!$B$2:$B$8,0)+1,MATCH("TAX "&amp;D80,'BD BUSES'!$B$1:$Q$1,0)))</f>
        <v>340</v>
      </c>
      <c r="J80" s="151">
        <f t="shared" si="22"/>
        <v>340</v>
      </c>
      <c r="K80" s="152">
        <f t="shared" si="23"/>
        <v>10.625</v>
      </c>
      <c r="L80" t="str">
        <f t="shared" si="24"/>
        <v>⚠️ Bajo</v>
      </c>
    </row>
    <row r="81" spans="1:12" x14ac:dyDescent="0.35">
      <c r="A81" t="str">
        <f t="shared" si="20"/>
        <v>sábado</v>
      </c>
      <c r="B81" s="37">
        <f>IF(C81="","",WEEKNUM(Tabla6[[#This Row],[FECHA]],2))</f>
        <v>9</v>
      </c>
      <c r="C81" s="153">
        <v>46081</v>
      </c>
      <c r="D81" s="37" t="s">
        <v>4261</v>
      </c>
      <c r="E81" s="37" t="s">
        <v>4687</v>
      </c>
      <c r="F81" s="37">
        <f>IF(E81="","",VLOOKUP(E81,TBCAPACIDAD[],2,FALSE))</f>
        <v>50</v>
      </c>
      <c r="G81" s="157">
        <v>24</v>
      </c>
      <c r="H81" s="145">
        <f t="shared" si="21"/>
        <v>0.48</v>
      </c>
      <c r="I81" s="151" cm="1">
        <f t="array" ref="I81">IF(OR(D81="",E81=""),"",INDEX('BD BUSES'!$B$1:$Q$8,MATCH(E81,'BD BUSES'!$B$2:$B$8,0)+1,MATCH("TAX "&amp;D81,'BD BUSES'!$B$1:$Q$1,0)))</f>
        <v>350</v>
      </c>
      <c r="J81" s="151">
        <f t="shared" si="22"/>
        <v>350</v>
      </c>
      <c r="K81" s="152">
        <f t="shared" si="23"/>
        <v>14.583333333333334</v>
      </c>
      <c r="L81" t="str">
        <f t="shared" si="24"/>
        <v>🔴 Muy Bajo</v>
      </c>
    </row>
    <row r="82" spans="1:12" x14ac:dyDescent="0.35">
      <c r="A82" t="str">
        <f t="shared" si="20"/>
        <v>sábado</v>
      </c>
      <c r="B82" s="37">
        <f>IF(C82="","",WEEKNUM(Tabla6[[#This Row],[FECHA]],2))</f>
        <v>9</v>
      </c>
      <c r="C82" s="153">
        <v>46081</v>
      </c>
      <c r="D82" s="37" t="s">
        <v>4273</v>
      </c>
      <c r="E82" s="37" t="s">
        <v>4687</v>
      </c>
      <c r="F82" s="37">
        <f>IF(E82="","",VLOOKUP(E82,TBCAPACIDAD[],2,FALSE))</f>
        <v>50</v>
      </c>
      <c r="G82" s="157">
        <v>24</v>
      </c>
      <c r="H82" s="145">
        <f t="shared" si="21"/>
        <v>0.48</v>
      </c>
      <c r="I82" s="151" cm="1">
        <f t="array" ref="I82">IF(OR(D82="",E82=""),"",INDEX('BD BUSES'!$B$1:$Q$8,MATCH(E82,'BD BUSES'!$B$2:$B$8,0)+1,MATCH("TAX "&amp;D82,'BD BUSES'!$B$1:$Q$1,0)))</f>
        <v>340</v>
      </c>
      <c r="J82" s="151">
        <f t="shared" si="22"/>
        <v>340</v>
      </c>
      <c r="K82" s="152">
        <f t="shared" si="23"/>
        <v>14.166666666666666</v>
      </c>
      <c r="L82" t="str">
        <f t="shared" si="24"/>
        <v>🔴 Muy Bajo</v>
      </c>
    </row>
    <row r="83" spans="1:12" x14ac:dyDescent="0.35">
      <c r="A83" t="str">
        <f t="shared" si="20"/>
        <v>sábado</v>
      </c>
      <c r="B83" s="37">
        <f>IF(C83="","",WEEKNUM(Tabla6[[#This Row],[FECHA]],2))</f>
        <v>9</v>
      </c>
      <c r="C83" s="153">
        <v>46081</v>
      </c>
      <c r="D83" s="37" t="s">
        <v>4281</v>
      </c>
      <c r="E83" s="37" t="s">
        <v>4632</v>
      </c>
      <c r="F83" s="37">
        <f>IF(E83="","",VLOOKUP(E83,TBCAPACIDAD[],2,FALSE))</f>
        <v>50</v>
      </c>
      <c r="G83" s="157">
        <v>25</v>
      </c>
      <c r="H83" s="145">
        <f t="shared" si="21"/>
        <v>0.5</v>
      </c>
      <c r="I83" s="151" cm="1">
        <f t="array" ref="I83">IF(OR(D83="",E83=""),"",INDEX('BD BUSES'!$B$1:$Q$8,MATCH(E83,'BD BUSES'!$B$2:$B$8,0)+1,MATCH("TAX "&amp;D83,'BD BUSES'!$B$1:$Q$1,0)))</f>
        <v>370</v>
      </c>
      <c r="J83" s="151">
        <f t="shared" si="22"/>
        <v>370</v>
      </c>
      <c r="K83" s="152">
        <f t="shared" si="23"/>
        <v>14.8</v>
      </c>
      <c r="L83" t="str">
        <f t="shared" si="24"/>
        <v>⚠️ Bajo</v>
      </c>
    </row>
    <row r="84" spans="1:12" x14ac:dyDescent="0.35">
      <c r="A84" t="str">
        <f t="shared" si="20"/>
        <v>sábado</v>
      </c>
      <c r="B84" s="37">
        <f>IF(C84="","",WEEKNUM(Tabla6[[#This Row],[FECHA]],2))</f>
        <v>9</v>
      </c>
      <c r="C84" s="153">
        <v>46081</v>
      </c>
      <c r="D84" s="37" t="s">
        <v>4289</v>
      </c>
      <c r="E84" s="37" t="s">
        <v>4632</v>
      </c>
      <c r="F84" s="37">
        <f>IF(E84="","",VLOOKUP(E84,TBCAPACIDAD[],2,FALSE))</f>
        <v>50</v>
      </c>
      <c r="G84" s="157">
        <v>21</v>
      </c>
      <c r="H84" s="145">
        <f t="shared" si="21"/>
        <v>0.42</v>
      </c>
      <c r="I84" s="151" cm="1">
        <f t="array" ref="I84">IF(OR(D84="",E84=""),"",INDEX('BD BUSES'!$B$1:$Q$8,MATCH(E84,'BD BUSES'!$B$2:$B$8,0)+1,MATCH("TAX "&amp;D84,'BD BUSES'!$B$1:$Q$1,0)))</f>
        <v>310</v>
      </c>
      <c r="J84" s="151">
        <f t="shared" si="22"/>
        <v>310</v>
      </c>
      <c r="K84" s="152">
        <f t="shared" si="23"/>
        <v>14.761904761904763</v>
      </c>
      <c r="L84" t="str">
        <f t="shared" si="24"/>
        <v>🔴 Muy Bajo</v>
      </c>
    </row>
    <row r="85" spans="1:12" x14ac:dyDescent="0.35">
      <c r="A85" t="str">
        <f t="shared" si="20"/>
        <v>sábado</v>
      </c>
      <c r="B85" s="37">
        <f>IF(C85="","",WEEKNUM(Tabla6[[#This Row],[FECHA]],2))</f>
        <v>9</v>
      </c>
      <c r="C85" s="153">
        <v>46081</v>
      </c>
      <c r="D85" s="37" t="s">
        <v>4296</v>
      </c>
      <c r="E85" s="37" t="s">
        <v>4687</v>
      </c>
      <c r="F85" s="37">
        <f>IF(E85="","",VLOOKUP(E85,TBCAPACIDAD[],2,FALSE))</f>
        <v>50</v>
      </c>
      <c r="G85" s="157">
        <v>38</v>
      </c>
      <c r="H85" s="145">
        <f t="shared" si="21"/>
        <v>0.76</v>
      </c>
      <c r="I85" s="151" cm="1">
        <f t="array" ref="I85">IF(OR(D85="",E85=""),"",INDEX('BD BUSES'!$B$1:$Q$8,MATCH(E85,'BD BUSES'!$B$2:$B$8,0)+1,MATCH("TAX "&amp;D85,'BD BUSES'!$B$1:$Q$1,0)))</f>
        <v>290</v>
      </c>
      <c r="J85" s="151">
        <f t="shared" si="22"/>
        <v>290</v>
      </c>
      <c r="K85" s="152">
        <f t="shared" si="23"/>
        <v>7.6315789473684212</v>
      </c>
      <c r="L85" t="str">
        <f t="shared" si="24"/>
        <v>🔄 OK</v>
      </c>
    </row>
    <row r="86" spans="1:12" x14ac:dyDescent="0.35">
      <c r="A86" t="str">
        <f t="shared" si="20"/>
        <v>sábado</v>
      </c>
      <c r="B86" s="37">
        <f>IF(C86="","",WEEKNUM(Tabla6[[#This Row],[FECHA]],2))</f>
        <v>9</v>
      </c>
      <c r="C86" s="153">
        <v>46081</v>
      </c>
      <c r="D86" s="37" t="s">
        <v>4299</v>
      </c>
      <c r="E86" s="37" t="s">
        <v>4687</v>
      </c>
      <c r="F86" s="37">
        <f>IF(E86="","",VLOOKUP(E86,TBCAPACIDAD[],2,FALSE))</f>
        <v>50</v>
      </c>
      <c r="G86" s="157">
        <v>18</v>
      </c>
      <c r="H86" s="145">
        <f t="shared" si="21"/>
        <v>0.36</v>
      </c>
      <c r="I86" s="151" cm="1">
        <f t="array" ref="I86">IF(OR(D86="",E86=""),"",INDEX('BD BUSES'!$B$1:$Q$8,MATCH(E86,'BD BUSES'!$B$2:$B$8,0)+1,MATCH("TAX "&amp;D86,'BD BUSES'!$B$1:$Q$1,0)))</f>
        <v>370</v>
      </c>
      <c r="J86" s="151">
        <f t="shared" si="22"/>
        <v>370</v>
      </c>
      <c r="K86" s="152">
        <f t="shared" si="23"/>
        <v>20.555555555555557</v>
      </c>
      <c r="L86" t="str">
        <f t="shared" si="24"/>
        <v>🔴 Muy Bajo</v>
      </c>
    </row>
    <row r="87" spans="1:12" x14ac:dyDescent="0.35">
      <c r="A87" t="str">
        <f t="shared" si="20"/>
        <v>sábado</v>
      </c>
      <c r="B87" s="37">
        <f>IF(C87="","",WEEKNUM(Tabla6[[#This Row],[FECHA]],2))</f>
        <v>9</v>
      </c>
      <c r="C87" s="153">
        <v>46081</v>
      </c>
      <c r="D87" s="37" t="s">
        <v>4302</v>
      </c>
      <c r="E87" s="37" t="s">
        <v>4687</v>
      </c>
      <c r="F87" s="37">
        <f>IF(E87="","",VLOOKUP(E87,TBCAPACIDAD[],2,FALSE))</f>
        <v>50</v>
      </c>
      <c r="G87" s="157">
        <v>10</v>
      </c>
      <c r="H87" s="145">
        <f t="shared" si="21"/>
        <v>0.2</v>
      </c>
      <c r="I87" s="151" cm="1">
        <f t="array" ref="I87">IF(OR(D87="",E87=""),"",INDEX('BD BUSES'!$B$1:$Q$8,MATCH(E87,'BD BUSES'!$B$2:$B$8,0)+1,MATCH("TAX "&amp;D87,'BD BUSES'!$B$1:$Q$1,0)))</f>
        <v>360</v>
      </c>
      <c r="J87" s="151">
        <f t="shared" si="22"/>
        <v>360</v>
      </c>
      <c r="K87" s="152">
        <f t="shared" si="23"/>
        <v>36</v>
      </c>
      <c r="L87" t="str">
        <f t="shared" si="24"/>
        <v>🔴 Muy Bajo</v>
      </c>
    </row>
    <row r="88" spans="1:12" x14ac:dyDescent="0.35">
      <c r="A88" t="str">
        <f t="shared" si="20"/>
        <v>sábado</v>
      </c>
      <c r="B88" s="37">
        <f>IF(C88="","",WEEKNUM(Tabla6[[#This Row],[FECHA]],2))</f>
        <v>9</v>
      </c>
      <c r="C88" s="153">
        <v>46081</v>
      </c>
      <c r="D88" s="37" t="s">
        <v>4308</v>
      </c>
      <c r="E88" s="37" t="s">
        <v>4687</v>
      </c>
      <c r="F88" s="37">
        <f>IF(E88="","",VLOOKUP(E88,TBCAPACIDAD[],2,FALSE))</f>
        <v>50</v>
      </c>
      <c r="G88" s="157">
        <v>20</v>
      </c>
      <c r="H88" s="145">
        <f t="shared" si="21"/>
        <v>0.4</v>
      </c>
      <c r="I88" s="151" cm="1">
        <f t="array" ref="I88">IF(OR(D88="",E88=""),"",INDEX('BD BUSES'!$B$1:$Q$8,MATCH(E88,'BD BUSES'!$B$2:$B$8,0)+1,MATCH("TAX "&amp;D88,'BD BUSES'!$B$1:$Q$1,0)))</f>
        <v>310</v>
      </c>
      <c r="J88" s="151">
        <f t="shared" si="22"/>
        <v>310</v>
      </c>
      <c r="K88" s="152">
        <f t="shared" si="23"/>
        <v>15.5</v>
      </c>
      <c r="L88" t="str">
        <f t="shared" si="24"/>
        <v>🔴 Muy Bajo</v>
      </c>
    </row>
    <row r="89" spans="1:12" x14ac:dyDescent="0.35">
      <c r="A89" t="str">
        <f t="shared" si="20"/>
        <v>sábado</v>
      </c>
      <c r="B89" s="37">
        <f>IF(C89="","",WEEKNUM(Tabla6[[#This Row],[FECHA]],2))</f>
        <v>9</v>
      </c>
      <c r="C89" s="153">
        <v>46081</v>
      </c>
      <c r="D89" s="37" t="s">
        <v>4316</v>
      </c>
      <c r="E89" s="37" t="s">
        <v>4632</v>
      </c>
      <c r="F89" s="37">
        <f>IF(E89="","",VLOOKUP(E89,TBCAPACIDAD[],2,FALSE))</f>
        <v>50</v>
      </c>
      <c r="G89" s="157">
        <v>12</v>
      </c>
      <c r="H89" s="145">
        <f t="shared" si="21"/>
        <v>0.24</v>
      </c>
      <c r="I89" s="151" cm="1">
        <f t="array" ref="I89">IF(OR(D89="",E89=""),"",INDEX('BD BUSES'!$B$1:$Q$8,MATCH(E89,'BD BUSES'!$B$2:$B$8,0)+1,MATCH("TAX "&amp;D89,'BD BUSES'!$B$1:$Q$1,0)))</f>
        <v>380</v>
      </c>
      <c r="J89" s="151">
        <f t="shared" si="22"/>
        <v>380</v>
      </c>
      <c r="K89" s="152">
        <f t="shared" si="23"/>
        <v>31.666666666666668</v>
      </c>
      <c r="L89" t="str">
        <f t="shared" si="24"/>
        <v>🔴 Muy Bajo</v>
      </c>
    </row>
    <row r="90" spans="1:12" x14ac:dyDescent="0.35">
      <c r="A90" t="str">
        <f t="shared" si="20"/>
        <v>sábado</v>
      </c>
      <c r="B90" s="37">
        <f>IF(C90="","",WEEKNUM(Tabla6[[#This Row],[FECHA]],2))</f>
        <v>9</v>
      </c>
      <c r="C90" s="153">
        <v>46081</v>
      </c>
      <c r="D90" s="37" t="s">
        <v>4336</v>
      </c>
      <c r="E90" s="37" t="s">
        <v>4631</v>
      </c>
      <c r="F90" s="37">
        <f>IF(E90="","",VLOOKUP(E90,TBCAPACIDAD[],2,FALSE))</f>
        <v>30</v>
      </c>
      <c r="G90" s="157">
        <v>15</v>
      </c>
      <c r="H90" s="145">
        <f t="shared" si="21"/>
        <v>0.5</v>
      </c>
      <c r="I90" s="151" cm="1">
        <f t="array" ref="I90">IF(OR(D90="",E90=""),"",INDEX('BD BUSES'!$B$1:$Q$8,MATCH(E90,'BD BUSES'!$B$2:$B$8,0)+1,MATCH("TAX "&amp;D90,'BD BUSES'!$B$1:$Q$1,0)))</f>
        <v>360</v>
      </c>
      <c r="J90" s="151">
        <f t="shared" si="22"/>
        <v>360</v>
      </c>
      <c r="K90" s="152">
        <f t="shared" si="23"/>
        <v>24</v>
      </c>
      <c r="L90" t="str">
        <f t="shared" si="24"/>
        <v>⚠️ Bajo</v>
      </c>
    </row>
    <row r="91" spans="1:12" x14ac:dyDescent="0.35">
      <c r="A91" t="str">
        <f t="shared" si="20"/>
        <v>sábado</v>
      </c>
      <c r="B91" s="37">
        <f>IF(C91="","",WEEKNUM(Tabla6[[#This Row],[FECHA]],2))</f>
        <v>9</v>
      </c>
      <c r="C91" s="153">
        <v>46081</v>
      </c>
      <c r="D91" s="37" t="s">
        <v>4349</v>
      </c>
      <c r="E91" s="37" t="s">
        <v>4629</v>
      </c>
      <c r="F91" s="37">
        <f>IF(E91="","",VLOOKUP(E91,TBCAPACIDAD[],2,FALSE))</f>
        <v>16</v>
      </c>
      <c r="G91" s="157">
        <v>4</v>
      </c>
      <c r="H91" s="145">
        <f t="shared" si="21"/>
        <v>0.25</v>
      </c>
      <c r="I91" s="151" cm="1">
        <f t="array" ref="I91">IF(OR(D91="",E91=""),"",INDEX('BD BUSES'!$B$1:$Q$8,MATCH(E91,'BD BUSES'!$B$2:$B$8,0)+1,MATCH("TAX "&amp;D91,'BD BUSES'!$B$1:$Q$1,0)))</f>
        <v>350</v>
      </c>
      <c r="J91" s="151">
        <f t="shared" si="22"/>
        <v>350</v>
      </c>
      <c r="K91" s="152">
        <f t="shared" si="23"/>
        <v>87.5</v>
      </c>
      <c r="L91" t="str">
        <f t="shared" si="24"/>
        <v>🔴 Muy Bajo</v>
      </c>
    </row>
  </sheetData>
  <dataValidations count="1">
    <dataValidation type="list" allowBlank="1" showInputMessage="1" showErrorMessage="1" promptTitle="Seleccionar Ruta" prompt="Seleccione la ruta del bus" sqref="D3:D91" xr:uid="{A79BC07B-751E-4801-AB32-D5D5BF80E2ED}">
      <formula1>"RUTA 1,RUTA 2,RUTA 3,RUTA 4A,RUTA 4B,RUTA 5A,RUTA 5B,RUTA 5C,RUTA 6A,RUTA 6B,RUTA 6C,RUTA 7,RUTA 8,RUTA 9"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A2D3167-4629-4A26-B6DD-038FA71C55B5}">
          <x14:formula1>
            <xm:f>'BD BUSES'!$B$2:$B$8</xm:f>
          </x14:formula1>
          <xm:sqref>E3:E91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92294-DA90-4104-90E0-D48AAD401860}">
  <dimension ref="A1:J44"/>
  <sheetViews>
    <sheetView topLeftCell="A3" zoomScale="85" workbookViewId="0">
      <selection activeCell="G8" sqref="G8"/>
    </sheetView>
  </sheetViews>
  <sheetFormatPr baseColWidth="10" defaultRowHeight="14.5" x14ac:dyDescent="0.35"/>
  <cols>
    <col min="1" max="1" width="32.7265625" customWidth="1"/>
    <col min="2" max="2" width="27.453125" bestFit="1" customWidth="1"/>
    <col min="3" max="3" width="19.6328125" customWidth="1"/>
    <col min="4" max="4" width="50.6328125" bestFit="1" customWidth="1"/>
    <col min="5" max="5" width="12.1796875" bestFit="1" customWidth="1"/>
    <col min="6" max="6" width="26.36328125" bestFit="1" customWidth="1"/>
    <col min="7" max="10" width="14.54296875" customWidth="1"/>
  </cols>
  <sheetData>
    <row r="1" spans="1:10" ht="21" x14ac:dyDescent="0.5">
      <c r="A1" s="220" t="s">
        <v>4703</v>
      </c>
      <c r="B1" s="220"/>
      <c r="C1" s="220"/>
      <c r="D1" s="220"/>
      <c r="E1" s="220"/>
      <c r="F1" s="220"/>
      <c r="G1" s="220"/>
      <c r="H1" s="220"/>
      <c r="I1" s="220"/>
      <c r="J1" s="220"/>
    </row>
    <row r="2" spans="1:10" x14ac:dyDescent="0.35">
      <c r="A2" s="221" t="s">
        <v>4704</v>
      </c>
      <c r="B2" s="221"/>
      <c r="C2" s="221"/>
      <c r="D2" s="221"/>
      <c r="E2" s="221"/>
      <c r="F2" s="221"/>
      <c r="G2" s="221"/>
      <c r="H2" s="221"/>
      <c r="I2" s="221"/>
      <c r="J2" s="221"/>
    </row>
    <row r="4" spans="1:10" x14ac:dyDescent="0.35">
      <c r="A4" s="16" t="s">
        <v>4705</v>
      </c>
      <c r="B4" s="175">
        <v>9</v>
      </c>
      <c r="C4" s="53" t="s">
        <v>4706</v>
      </c>
    </row>
    <row r="5" spans="1:10" x14ac:dyDescent="0.35">
      <c r="C5" t="s">
        <v>4752</v>
      </c>
    </row>
    <row r="6" spans="1:10" ht="16" x14ac:dyDescent="0.4">
      <c r="A6" s="202" t="s">
        <v>4707</v>
      </c>
      <c r="B6" s="202"/>
      <c r="C6" s="202"/>
      <c r="D6" s="202"/>
      <c r="E6" s="202"/>
      <c r="F6" s="202"/>
      <c r="G6" s="202"/>
      <c r="H6" s="202"/>
      <c r="I6" s="202"/>
      <c r="J6" s="202"/>
    </row>
    <row r="7" spans="1:10" x14ac:dyDescent="0.35">
      <c r="A7" s="183" t="s">
        <v>4365</v>
      </c>
      <c r="B7" s="183" t="s">
        <v>4366</v>
      </c>
      <c r="D7" s="185" t="s">
        <v>4235</v>
      </c>
      <c r="E7" s="185" t="s">
        <v>4696</v>
      </c>
      <c r="F7" s="185" t="s">
        <v>4667</v>
      </c>
      <c r="G7" s="185" t="s">
        <v>4633</v>
      </c>
      <c r="H7" s="185" t="s">
        <v>4715</v>
      </c>
      <c r="I7" s="185" t="s">
        <v>4638</v>
      </c>
      <c r="J7" s="185" t="s">
        <v>4475</v>
      </c>
    </row>
    <row r="8" spans="1:10" x14ac:dyDescent="0.35">
      <c r="A8" s="4" t="s">
        <v>4708</v>
      </c>
      <c r="B8" s="4">
        <f>COUNTIF(REGISTRO_DIARIO!B:B,$B$4)</f>
        <v>89</v>
      </c>
      <c r="D8" s="4" t="s">
        <v>4237</v>
      </c>
      <c r="E8" s="4">
        <f>COUNTIFS(REGISTRO_DIARIO!B:B,$B$4,REGISTRO_DIARIO!D:D,"RUTA 1")</f>
        <v>6</v>
      </c>
      <c r="F8" s="4">
        <f>SUMIFS(REGISTRO_DIARIO!G:G,REGISTRO_DIARIO!B:B,$B$4,REGISTRO_DIARIO!D:D,"RUTA 1")</f>
        <v>167</v>
      </c>
      <c r="G8" s="4">
        <f>SUMIFS(REGISTRO_DIARIO!F:F,REGISTRO_DIARIO!B:B,$B$4,REGISTRO_DIARIO!D:D,"RUTA 1")</f>
        <v>300</v>
      </c>
      <c r="H8" s="184">
        <f t="shared" ref="H8:H22" si="0">IF(G8&gt;0,F8/G8,0)</f>
        <v>0.55666666666666664</v>
      </c>
      <c r="I8" s="180">
        <f>SUMIFS(REGISTRO_DIARIO!J:J,REGISTRO_DIARIO!B:B,$B$4,REGISTRO_DIARIO!D:D,"RUTA 1")</f>
        <v>1860</v>
      </c>
      <c r="J8" s="4" t="str">
        <f t="shared" ref="J8:J21" si="1">IF(H8&gt;=0.9,"✅ Óptimo",IF(H8&gt;=0.7,"🔄 OK",IF(H8&gt;=0.5,"⚠️ Bajo","🔴 Muy Bajo")))</f>
        <v>⚠️ Bajo</v>
      </c>
    </row>
    <row r="9" spans="1:10" x14ac:dyDescent="0.35">
      <c r="A9" s="4" t="s">
        <v>4709</v>
      </c>
      <c r="B9" s="4">
        <f>SUMIF(REGISTRO_DIARIO!B:B,$B$4,REGISTRO_DIARIO!G:G)</f>
        <v>2204</v>
      </c>
      <c r="D9" s="4" t="s">
        <v>4246</v>
      </c>
      <c r="E9" s="4">
        <f>COUNTIFS(REGISTRO_DIARIO!B:B,$B$4,REGISTRO_DIARIO!D:D,"RUTA 2")</f>
        <v>10</v>
      </c>
      <c r="F9" s="4">
        <f>SUMIFS(REGISTRO_DIARIO!G:G,REGISTRO_DIARIO!B:B,$B$4,REGISTRO_DIARIO!D:D,"RUTA 2")</f>
        <v>327</v>
      </c>
      <c r="G9" s="4">
        <f>SUMIFS(REGISTRO_DIARIO!F:F,REGISTRO_DIARIO!B:B,$B$4,REGISTRO_DIARIO!D:D,"RUTA 2")</f>
        <v>392</v>
      </c>
      <c r="H9" s="184">
        <f t="shared" si="0"/>
        <v>0.83418367346938771</v>
      </c>
      <c r="I9" s="180">
        <f>SUMIFS(REGISTRO_DIARIO!J:J,REGISTRO_DIARIO!B:B,$B$4,REGISTRO_DIARIO!D:D,"RUTA 2")</f>
        <v>2940</v>
      </c>
      <c r="J9" s="4" t="str">
        <f t="shared" si="1"/>
        <v>🔄 OK</v>
      </c>
    </row>
    <row r="10" spans="1:10" x14ac:dyDescent="0.35">
      <c r="A10" s="4" t="s">
        <v>4710</v>
      </c>
      <c r="B10" s="4">
        <f>SUMIF(REGISTRO_DIARIO!B:B,$B$4,REGISTRO_DIARIO!F:F)</f>
        <v>3912</v>
      </c>
      <c r="D10" s="4" t="s">
        <v>4250</v>
      </c>
      <c r="E10" s="4">
        <f>COUNTIFS(REGISTRO_DIARIO!B:B,$B$4,REGISTRO_DIARIO!D:D,"RUTA 3")</f>
        <v>7</v>
      </c>
      <c r="F10" s="4">
        <f>SUMIFS(REGISTRO_DIARIO!G:G,REGISTRO_DIARIO!B:B,$B$4,REGISTRO_DIARIO!D:D,"RUTA 3")</f>
        <v>243</v>
      </c>
      <c r="G10" s="4">
        <f>SUMIFS(REGISTRO_DIARIO!F:F,REGISTRO_DIARIO!B:B,$B$4,REGISTRO_DIARIO!D:D,"RUTA 3")</f>
        <v>316</v>
      </c>
      <c r="H10" s="184">
        <f t="shared" si="0"/>
        <v>0.76898734177215189</v>
      </c>
      <c r="I10" s="180">
        <f>SUMIFS(REGISTRO_DIARIO!J:J,REGISTRO_DIARIO!B:B,$B$4,REGISTRO_DIARIO!D:D,"RUTA 3")</f>
        <v>2320</v>
      </c>
      <c r="J10" s="4" t="str">
        <f t="shared" si="1"/>
        <v>🔄 OK</v>
      </c>
    </row>
    <row r="11" spans="1:10" x14ac:dyDescent="0.35">
      <c r="A11" s="4" t="s">
        <v>4646</v>
      </c>
      <c r="B11" s="184">
        <f>IF(B10&gt;0,B9/B10,0)</f>
        <v>0.56339468302658491</v>
      </c>
      <c r="D11" s="4" t="s">
        <v>4261</v>
      </c>
      <c r="E11" s="4">
        <f>COUNTIFS(REGISTRO_DIARIO!B:B,$B$4,REGISTRO_DIARIO!D:D,"RUTA 4A")</f>
        <v>6</v>
      </c>
      <c r="F11" s="4">
        <f>SUMIFS(REGISTRO_DIARIO!G:G,REGISTRO_DIARIO!B:B,$B$4,REGISTRO_DIARIO!D:D,"RUTA 4A")</f>
        <v>104</v>
      </c>
      <c r="G11" s="4">
        <f>SUMIFS(REGISTRO_DIARIO!F:F,REGISTRO_DIARIO!B:B,$B$4,REGISTRO_DIARIO!D:D,"RUTA 4A")</f>
        <v>260</v>
      </c>
      <c r="H11" s="184">
        <f t="shared" si="0"/>
        <v>0.4</v>
      </c>
      <c r="I11" s="180">
        <f>SUMIFS(REGISTRO_DIARIO!J:J,REGISTRO_DIARIO!B:B,$B$4,REGISTRO_DIARIO!D:D,"RUTA 4A")</f>
        <v>2080</v>
      </c>
      <c r="J11" s="4" t="str">
        <f t="shared" si="1"/>
        <v>🔴 Muy Bajo</v>
      </c>
    </row>
    <row r="12" spans="1:10" x14ac:dyDescent="0.35">
      <c r="A12" s="4" t="s">
        <v>4711</v>
      </c>
      <c r="B12" s="197">
        <f>SUMIF(REGISTRO_DIARIO!B:B,$B$4,REGISTRO_DIARIO!J:J)</f>
        <v>29770</v>
      </c>
      <c r="D12" s="4" t="s">
        <v>4273</v>
      </c>
      <c r="E12" s="4">
        <f>COUNTIFS(REGISTRO_DIARIO!B:B,$B$4,REGISTRO_DIARIO!D:D,"RUTA 4B")</f>
        <v>6</v>
      </c>
      <c r="F12" s="4">
        <f>SUMIFS(REGISTRO_DIARIO!G:G,REGISTRO_DIARIO!B:B,$B$4,REGISTRO_DIARIO!D:D,"RUTA 4B")</f>
        <v>153</v>
      </c>
      <c r="G12" s="4">
        <f>SUMIFS(REGISTRO_DIARIO!F:F,REGISTRO_DIARIO!B:B,$B$4,REGISTRO_DIARIO!D:D,"RUTA 4B")</f>
        <v>280</v>
      </c>
      <c r="H12" s="184">
        <f t="shared" si="0"/>
        <v>0.54642857142857137</v>
      </c>
      <c r="I12" s="180">
        <f>SUMIFS(REGISTRO_DIARIO!J:J,REGISTRO_DIARIO!B:B,$B$4,REGISTRO_DIARIO!D:D,"RUTA 4B")</f>
        <v>2030</v>
      </c>
      <c r="J12" s="4" t="str">
        <f t="shared" si="1"/>
        <v>⚠️ Bajo</v>
      </c>
    </row>
    <row r="13" spans="1:10" x14ac:dyDescent="0.35">
      <c r="A13" s="4" t="s">
        <v>4712</v>
      </c>
      <c r="B13" s="181">
        <f>IF(B9&gt;0,B12/B9,0)</f>
        <v>13.507259528130671</v>
      </c>
      <c r="D13" s="4" t="s">
        <v>4281</v>
      </c>
      <c r="E13" s="4">
        <f>COUNTIFS(REGISTRO_DIARIO!B:B,$B$4,REGISTRO_DIARIO!D:D,"RUTA 5A")</f>
        <v>6</v>
      </c>
      <c r="F13" s="4">
        <f>SUMIFS(REGISTRO_DIARIO!G:G,REGISTRO_DIARIO!B:B,$B$4,REGISTRO_DIARIO!D:D,"RUTA 5A")</f>
        <v>164</v>
      </c>
      <c r="G13" s="4">
        <f>SUMIFS(REGISTRO_DIARIO!F:F,REGISTRO_DIARIO!B:B,$B$4,REGISTRO_DIARIO!D:D,"RUTA 5A")</f>
        <v>300</v>
      </c>
      <c r="H13" s="184">
        <f t="shared" si="0"/>
        <v>0.54666666666666663</v>
      </c>
      <c r="I13" s="180">
        <f>SUMIFS(REGISTRO_DIARIO!J:J,REGISTRO_DIARIO!B:B,$B$4,REGISTRO_DIARIO!D:D,"RUTA 5A")</f>
        <v>2220</v>
      </c>
      <c r="J13" s="4" t="str">
        <f t="shared" si="1"/>
        <v>⚠️ Bajo</v>
      </c>
    </row>
    <row r="14" spans="1:10" x14ac:dyDescent="0.35">
      <c r="A14" s="4" t="s">
        <v>4713</v>
      </c>
      <c r="B14" s="181">
        <f>IF(B8&gt;0,B12/B8,0)</f>
        <v>334.49438202247188</v>
      </c>
      <c r="D14" s="4" t="s">
        <v>4289</v>
      </c>
      <c r="E14" s="4">
        <f>COUNTIFS(REGISTRO_DIARIO!B:B,$B$4,REGISTRO_DIARIO!D:D,"RUTA 5B")</f>
        <v>6</v>
      </c>
      <c r="F14" s="4">
        <f>SUMIFS(REGISTRO_DIARIO!G:G,REGISTRO_DIARIO!B:B,$B$4,REGISTRO_DIARIO!D:D,"RUTA 5B")</f>
        <v>154</v>
      </c>
      <c r="G14" s="4">
        <f>SUMIFS(REGISTRO_DIARIO!F:F,REGISTRO_DIARIO!B:B,$B$4,REGISTRO_DIARIO!D:D,"RUTA 5B")</f>
        <v>300</v>
      </c>
      <c r="H14" s="184">
        <f t="shared" si="0"/>
        <v>0.51333333333333331</v>
      </c>
      <c r="I14" s="180">
        <f>SUMIFS(REGISTRO_DIARIO!J:J,REGISTRO_DIARIO!B:B,$B$4,REGISTRO_DIARIO!D:D,"RUTA 5B")</f>
        <v>1860</v>
      </c>
      <c r="J14" s="4" t="str">
        <f t="shared" si="1"/>
        <v>⚠️ Bajo</v>
      </c>
    </row>
    <row r="15" spans="1:10" x14ac:dyDescent="0.35">
      <c r="A15" s="4" t="s">
        <v>4714</v>
      </c>
      <c r="B15" s="4">
        <f>COUNTIF(E8:E21,"&gt;0")</f>
        <v>14</v>
      </c>
      <c r="D15" s="4" t="s">
        <v>4296</v>
      </c>
      <c r="E15" s="4">
        <f>COUNTIFS(REGISTRO_DIARIO!B:B,$B$4,REGISTRO_DIARIO!D:D,"RUTA 5C")</f>
        <v>6</v>
      </c>
      <c r="F15" s="4">
        <f>SUMIFS(REGISTRO_DIARIO!G:G,REGISTRO_DIARIO!B:B,$B$4,REGISTRO_DIARIO!D:D,"RUTA 5C")</f>
        <v>241</v>
      </c>
      <c r="G15" s="4">
        <f>SUMIFS(REGISTRO_DIARIO!F:F,REGISTRO_DIARIO!B:B,$B$4,REGISTRO_DIARIO!D:D,"RUTA 5C")</f>
        <v>300</v>
      </c>
      <c r="H15" s="184">
        <f t="shared" si="0"/>
        <v>0.80333333333333334</v>
      </c>
      <c r="I15" s="180">
        <f>SUMIFS(REGISTRO_DIARIO!J:J,REGISTRO_DIARIO!B:B,$B$4,REGISTRO_DIARIO!D:D,"RUTA 5C")</f>
        <v>1740</v>
      </c>
      <c r="J15" s="4" t="str">
        <f t="shared" si="1"/>
        <v>🔄 OK</v>
      </c>
    </row>
    <row r="16" spans="1:10" x14ac:dyDescent="0.35">
      <c r="D16" s="4" t="s">
        <v>4299</v>
      </c>
      <c r="E16" s="4">
        <f>COUNTIFS(REGISTRO_DIARIO!B:B,$B$4,REGISTRO_DIARIO!D:D,"RUTA 6A")</f>
        <v>6</v>
      </c>
      <c r="F16" s="4">
        <f>SUMIFS(REGISTRO_DIARIO!G:G,REGISTRO_DIARIO!B:B,$B$4,REGISTRO_DIARIO!D:D,"RUTA 6A")</f>
        <v>126</v>
      </c>
      <c r="G16" s="4">
        <f>SUMIFS(REGISTRO_DIARIO!F:F,REGISTRO_DIARIO!B:B,$B$4,REGISTRO_DIARIO!D:D,"RUTA 6A")</f>
        <v>240</v>
      </c>
      <c r="H16" s="184">
        <f t="shared" si="0"/>
        <v>0.52500000000000002</v>
      </c>
      <c r="I16" s="180">
        <f>SUMIFS(REGISTRO_DIARIO!J:J,REGISTRO_DIARIO!B:B,$B$4,REGISTRO_DIARIO!D:D,"RUTA 6A")</f>
        <v>2190</v>
      </c>
      <c r="J16" s="4" t="str">
        <f t="shared" si="1"/>
        <v>⚠️ Bajo</v>
      </c>
    </row>
    <row r="17" spans="1:10" ht="16" x14ac:dyDescent="0.4">
      <c r="A17" s="223" t="s">
        <v>4716</v>
      </c>
      <c r="B17" s="223"/>
      <c r="D17" s="4" t="s">
        <v>4302</v>
      </c>
      <c r="E17" s="4">
        <f>COUNTIFS(REGISTRO_DIARIO!B:B,$B$4,REGISTRO_DIARIO!D:D,"RUTA 6B")</f>
        <v>6</v>
      </c>
      <c r="F17" s="4">
        <f>SUMIFS(REGISTRO_DIARIO!G:G,REGISTRO_DIARIO!B:B,$B$4,REGISTRO_DIARIO!D:D,"RUTA 6B")</f>
        <v>101</v>
      </c>
      <c r="G17" s="4">
        <f>SUMIFS(REGISTRO_DIARIO!F:F,REGISTRO_DIARIO!B:B,$B$4,REGISTRO_DIARIO!D:D,"RUTA 6B")</f>
        <v>300</v>
      </c>
      <c r="H17" s="184">
        <f t="shared" si="0"/>
        <v>0.33666666666666667</v>
      </c>
      <c r="I17" s="180">
        <f>SUMIFS(REGISTRO_DIARIO!J:J,REGISTRO_DIARIO!B:B,$B$4,REGISTRO_DIARIO!D:D,"RUTA 6B")</f>
        <v>2160</v>
      </c>
      <c r="J17" s="4" t="str">
        <f t="shared" si="1"/>
        <v>🔴 Muy Bajo</v>
      </c>
    </row>
    <row r="18" spans="1:10" x14ac:dyDescent="0.35">
      <c r="A18" t="s">
        <v>4717</v>
      </c>
      <c r="B18" s="176">
        <f>COUNTIF(H8:H21,"&lt;0.5")</f>
        <v>6</v>
      </c>
      <c r="D18" s="4" t="s">
        <v>4308</v>
      </c>
      <c r="E18" s="4">
        <f>COUNTIFS(REGISTRO_DIARIO!B:B,$B$4,REGISTRO_DIARIO!D:D,"RUTA 6C")</f>
        <v>6</v>
      </c>
      <c r="F18" s="4">
        <f>SUMIFS(REGISTRO_DIARIO!G:G,REGISTRO_DIARIO!B:B,$B$4,REGISTRO_DIARIO!D:D,"RUTA 6C")</f>
        <v>132</v>
      </c>
      <c r="G18" s="4">
        <f>SUMIFS(REGISTRO_DIARIO!F:F,REGISTRO_DIARIO!B:B,$B$4,REGISTRO_DIARIO!D:D,"RUTA 6C")</f>
        <v>300</v>
      </c>
      <c r="H18" s="184">
        <f t="shared" si="0"/>
        <v>0.44</v>
      </c>
      <c r="I18" s="180">
        <f>SUMIFS(REGISTRO_DIARIO!J:J,REGISTRO_DIARIO!B:B,$B$4,REGISTRO_DIARIO!D:D,"RUTA 6C")</f>
        <v>1860</v>
      </c>
      <c r="J18" s="4" t="str">
        <f t="shared" si="1"/>
        <v>🔴 Muy Bajo</v>
      </c>
    </row>
    <row r="19" spans="1:10" x14ac:dyDescent="0.35">
      <c r="A19" t="s">
        <v>4718</v>
      </c>
      <c r="B19" s="177">
        <f>COUNTIF(H8:H21,"&gt;=0.9")</f>
        <v>0</v>
      </c>
      <c r="D19" s="4" t="s">
        <v>4316</v>
      </c>
      <c r="E19" s="4">
        <f>COUNTIFS(REGISTRO_DIARIO!B:B,$B$4,REGISTRO_DIARIO!D:D,"RUTA 7")</f>
        <v>6</v>
      </c>
      <c r="F19" s="4">
        <f>SUMIFS(REGISTRO_DIARIO!G:G,REGISTRO_DIARIO!B:B,$B$4,REGISTRO_DIARIO!D:D,"RUTA 7")</f>
        <v>135</v>
      </c>
      <c r="G19" s="4">
        <f>SUMIFS(REGISTRO_DIARIO!F:F,REGISTRO_DIARIO!B:B,$B$4,REGISTRO_DIARIO!D:D,"RUTA 7")</f>
        <v>300</v>
      </c>
      <c r="H19" s="184">
        <f t="shared" si="0"/>
        <v>0.45</v>
      </c>
      <c r="I19" s="180">
        <f>SUMIFS(REGISTRO_DIARIO!J:J,REGISTRO_DIARIO!B:B,$B$4,REGISTRO_DIARIO!D:D,"RUTA 7")</f>
        <v>2280</v>
      </c>
      <c r="J19" s="4" t="str">
        <f t="shared" si="1"/>
        <v>🔴 Muy Bajo</v>
      </c>
    </row>
    <row r="20" spans="1:10" x14ac:dyDescent="0.35">
      <c r="A20" t="s">
        <v>4719</v>
      </c>
      <c r="B20" s="16" t="str">
        <f>IF(B19&gt;7,"✅ Excelente",IF(B18&gt;5,"🔴 Crítico",IF(B18&gt;2,"⚠️ Mejorar","🔄 Aceptable")))</f>
        <v>🔴 Crítico</v>
      </c>
      <c r="D20" s="4" t="s">
        <v>4336</v>
      </c>
      <c r="E20" s="4">
        <f>COUNTIFS(REGISTRO_DIARIO!B:B,$B$4,REGISTRO_DIARIO!D:D,"RUTA 8")</f>
        <v>6</v>
      </c>
      <c r="F20" s="4">
        <f>SUMIFS(REGISTRO_DIARIO!G:G,REGISTRO_DIARIO!B:B,$B$4,REGISTRO_DIARIO!D:D,"RUTA 8")</f>
        <v>116</v>
      </c>
      <c r="G20" s="4">
        <f>SUMIFS(REGISTRO_DIARIO!F:F,REGISTRO_DIARIO!B:B,$B$4,REGISTRO_DIARIO!D:D,"RUTA 8")</f>
        <v>240</v>
      </c>
      <c r="H20" s="184">
        <f t="shared" si="0"/>
        <v>0.48333333333333334</v>
      </c>
      <c r="I20" s="180">
        <f>SUMIFS(REGISTRO_DIARIO!J:J,REGISTRO_DIARIO!B:B,$B$4,REGISTRO_DIARIO!D:D,"RUTA 8")</f>
        <v>2190</v>
      </c>
      <c r="J20" s="4" t="str">
        <f t="shared" si="1"/>
        <v>🔴 Muy Bajo</v>
      </c>
    </row>
    <row r="21" spans="1:10" x14ac:dyDescent="0.35">
      <c r="D21" s="4" t="s">
        <v>4349</v>
      </c>
      <c r="E21" s="4">
        <f>COUNTIFS(REGISTRO_DIARIO!B:B,$B$4,REGISTRO_DIARIO!D:D,"RUTA 9")</f>
        <v>6</v>
      </c>
      <c r="F21" s="4">
        <f>SUMIFS(REGISTRO_DIARIO!G:G,REGISTRO_DIARIO!B:B,$B$4,REGISTRO_DIARIO!D:D,"RUTA 9")</f>
        <v>41</v>
      </c>
      <c r="G21" s="4">
        <f>SUMIFS(REGISTRO_DIARIO!F:F,REGISTRO_DIARIO!B:B,$B$4,REGISTRO_DIARIO!D:D,"RUTA 9")</f>
        <v>84</v>
      </c>
      <c r="H21" s="184">
        <f t="shared" si="0"/>
        <v>0.48809523809523808</v>
      </c>
      <c r="I21" s="180">
        <f>SUMIFS(REGISTRO_DIARIO!J:J,REGISTRO_DIARIO!B:B,$B$4,REGISTRO_DIARIO!D:D,"RUTA 9")</f>
        <v>2040</v>
      </c>
      <c r="J21" s="4" t="str">
        <f t="shared" si="1"/>
        <v>🔴 Muy Bajo</v>
      </c>
    </row>
    <row r="22" spans="1:10" x14ac:dyDescent="0.35">
      <c r="D22" s="186" t="s">
        <v>4697</v>
      </c>
      <c r="E22" s="186">
        <f>SUM(E8:E21)</f>
        <v>89</v>
      </c>
      <c r="F22" s="186">
        <f>SUM(F8:F21)</f>
        <v>2204</v>
      </c>
      <c r="G22" s="186">
        <f>SUM(G8:G21)</f>
        <v>3912</v>
      </c>
      <c r="H22" s="187">
        <f t="shared" si="0"/>
        <v>0.56339468302658491</v>
      </c>
      <c r="I22" s="188">
        <f>SUM(I8:I21)</f>
        <v>29770</v>
      </c>
      <c r="J22" s="186"/>
    </row>
    <row r="24" spans="1:10" ht="16" x14ac:dyDescent="0.4">
      <c r="A24" s="224" t="s">
        <v>4720</v>
      </c>
      <c r="B24" s="224"/>
      <c r="C24" s="224"/>
      <c r="D24" s="224"/>
      <c r="E24" s="224"/>
      <c r="F24" s="224"/>
      <c r="G24" s="224"/>
      <c r="H24" s="225"/>
      <c r="I24" s="225"/>
      <c r="J24" s="225"/>
    </row>
    <row r="25" spans="1:10" x14ac:dyDescent="0.35">
      <c r="A25" s="178" t="s">
        <v>3243</v>
      </c>
      <c r="B25" s="178" t="s">
        <v>4721</v>
      </c>
      <c r="C25" s="178" t="s">
        <v>4722</v>
      </c>
      <c r="D25" s="178" t="s">
        <v>4723</v>
      </c>
      <c r="E25" s="178" t="s">
        <v>4648</v>
      </c>
      <c r="F25" s="178" t="s">
        <v>4724</v>
      </c>
      <c r="H25" s="179" t="s">
        <v>4645</v>
      </c>
      <c r="I25" s="179" t="s">
        <v>4647</v>
      </c>
      <c r="J25" s="179" t="s">
        <v>4742</v>
      </c>
    </row>
    <row r="26" spans="1:10" x14ac:dyDescent="0.35">
      <c r="A26" s="4">
        <v>1</v>
      </c>
      <c r="B26" s="4" t="s">
        <v>4725</v>
      </c>
      <c r="C26" s="4" t="str">
        <f>B18&amp;" rutas &lt; 50%"</f>
        <v>6 rutas &lt; 50%</v>
      </c>
      <c r="D26" s="4" t="s">
        <v>4726</v>
      </c>
      <c r="E26" s="4" t="str">
        <f>IF(B18&gt;5,"🔴 URGENTE",IF(B18&gt;2,"🟡 MEDIA","🟢 BAJA"))</f>
        <v>🔴 URGENTE</v>
      </c>
      <c r="F26" s="4" t="s">
        <v>4727</v>
      </c>
      <c r="H26" s="4" t="s">
        <v>4743</v>
      </c>
      <c r="I26" s="180">
        <f>B12</f>
        <v>29770</v>
      </c>
      <c r="J26" s="180">
        <f>I26*4</f>
        <v>119080</v>
      </c>
    </row>
    <row r="27" spans="1:10" x14ac:dyDescent="0.35">
      <c r="A27" s="4">
        <v>2</v>
      </c>
      <c r="B27" s="4" t="s">
        <v>4728</v>
      </c>
      <c r="C27" s="4" t="str">
        <f>B19&amp;" rutas ≥ 90%"</f>
        <v>0 rutas ≥ 90%</v>
      </c>
      <c r="D27" s="4" t="s">
        <v>4729</v>
      </c>
      <c r="E27" s="4" t="str">
        <f>IF(B19&gt;3,"🔴 URGENTE",IF(B19&gt;1,"🟡 MEDIA","🟢 BAJA"))</f>
        <v>🟢 BAJA</v>
      </c>
      <c r="F27" s="4" t="s">
        <v>4730</v>
      </c>
      <c r="H27" s="4" t="s">
        <v>4744</v>
      </c>
      <c r="I27" s="4">
        <f>B9</f>
        <v>2204</v>
      </c>
      <c r="J27" s="4">
        <f>I27*4</f>
        <v>8816</v>
      </c>
    </row>
    <row r="28" spans="1:10" x14ac:dyDescent="0.35">
      <c r="A28" s="4">
        <v>3</v>
      </c>
      <c r="B28" s="4" t="s">
        <v>4731</v>
      </c>
      <c r="C28" s="4" t="str">
        <f>TEXT(B13,"S/ #,##0.00")</f>
        <v>S/ 13.51</v>
      </c>
      <c r="D28" s="4" t="str">
        <f>IF(B13&gt;15,"⚠️ Optimizar rutas para reducir costo/pasajero","✅ Costo por pasajero aceptable")</f>
        <v>✅ Costo por pasajero aceptable</v>
      </c>
      <c r="E28" s="4" t="str">
        <f>IF(B13&gt;20,"🔴 URGENTE",IF(B13&gt;15,"🟡 MEDIA","🟢 BAJA"))</f>
        <v>🟢 BAJA</v>
      </c>
      <c r="F28" s="4" t="s">
        <v>4732</v>
      </c>
      <c r="H28" s="4" t="s">
        <v>4745</v>
      </c>
      <c r="I28" s="4">
        <f>B8</f>
        <v>89</v>
      </c>
      <c r="J28" s="4">
        <f>I28*4</f>
        <v>356</v>
      </c>
    </row>
    <row r="29" spans="1:10" x14ac:dyDescent="0.35">
      <c r="A29" s="4">
        <v>4</v>
      </c>
      <c r="B29" s="4" t="s">
        <v>4733</v>
      </c>
      <c r="C29" s="4" t="str">
        <f>TEXT(B11,"0%")</f>
        <v>56%</v>
      </c>
      <c r="D29" s="4" t="str">
        <f>IF(B11&lt;0.6,"⚠️ Revisar dimensionamiento de flota",IF(B11&lt;0.75,"🔄 Monitorear tendencia","✅ Ocupación saludable"))</f>
        <v>⚠️ Revisar dimensionamiento de flota</v>
      </c>
      <c r="E29" s="4" t="str">
        <f>IF(B11&lt;0.5,"🔴 URGENTE",IF(B11&lt;0.7,"🟡 MEDIA","🟢 BAJA"))</f>
        <v>🟡 MEDIA</v>
      </c>
      <c r="F29" s="4" t="s">
        <v>4734</v>
      </c>
      <c r="H29" s="4" t="s">
        <v>4746</v>
      </c>
      <c r="I29" s="181">
        <f>B13</f>
        <v>13.507259528130671</v>
      </c>
      <c r="J29" s="197">
        <f>I29*4</f>
        <v>54.029038112522684</v>
      </c>
    </row>
    <row r="30" spans="1:10" x14ac:dyDescent="0.35">
      <c r="A30" s="4">
        <v>5</v>
      </c>
      <c r="B30" s="4" t="s">
        <v>4735</v>
      </c>
      <c r="C30" s="4" t="str">
        <f>TEXT(B12,"S/ #,##0")</f>
        <v>S/ 29,770</v>
      </c>
      <c r="D30" s="4" t="str">
        <f>IF(B12&gt;30000,"📊 Evaluar negociación con proveedores","✅ Dentro de presupuesto esperado")</f>
        <v>✅ Dentro de presupuesto esperado</v>
      </c>
      <c r="E30" s="4" t="str">
        <f>IF(B12&gt;35000,"🔴 URGENTE",IF(B12&gt;30000,"🟡 MEDIA","🟢 BAJA"))</f>
        <v>🟢 BAJA</v>
      </c>
      <c r="F30" s="4" t="s">
        <v>4736</v>
      </c>
    </row>
    <row r="32" spans="1:10" ht="16" x14ac:dyDescent="0.4">
      <c r="A32" s="226" t="s">
        <v>4737</v>
      </c>
      <c r="B32" s="226"/>
      <c r="C32" s="226"/>
      <c r="D32" s="226"/>
      <c r="E32" s="226"/>
      <c r="F32" s="226"/>
    </row>
    <row r="33" spans="1:6" x14ac:dyDescent="0.35">
      <c r="A33" s="227" t="s">
        <v>4738</v>
      </c>
      <c r="B33" s="228"/>
      <c r="C33" s="228"/>
      <c r="D33" s="229" t="s">
        <v>4739</v>
      </c>
      <c r="E33" s="228"/>
      <c r="F33" s="228"/>
    </row>
    <row r="34" spans="1:6" x14ac:dyDescent="0.35">
      <c r="A34" s="189" t="s">
        <v>4234</v>
      </c>
      <c r="B34" s="189" t="s">
        <v>4740</v>
      </c>
      <c r="C34" s="189" t="s">
        <v>4741</v>
      </c>
      <c r="D34" s="189" t="s">
        <v>4234</v>
      </c>
      <c r="E34" s="189" t="s">
        <v>4740</v>
      </c>
      <c r="F34" s="189" t="s">
        <v>4741</v>
      </c>
    </row>
    <row r="35" spans="1:6" x14ac:dyDescent="0.35">
      <c r="A35" s="190" t="str">
        <f>INDEX(D8:D21,MATCH(LARGE(H8:H21,1),H8:H21,0))</f>
        <v>RUTA 2</v>
      </c>
      <c r="B35" s="191">
        <f>LARGE(H8:H21,1)</f>
        <v>0.83418367346938771</v>
      </c>
      <c r="C35" s="192">
        <f>INDEX(I8:I21,MATCH(LARGE(H8:H21,1),H8:H21,0))/INDEX(E8:E21,MATCH(LARGE(H8:H21,1),H8:H21,0))</f>
        <v>294</v>
      </c>
      <c r="D35" s="193" t="str" cm="1">
        <f t="array" ref="D35">INDEX(D8:D21,MATCH(SMALL(IF(H8:H21&gt;0,H8:H21),1),H8:H21,0))</f>
        <v>RUTA 6B</v>
      </c>
      <c r="E35" s="194" cm="1">
        <f t="array" ref="E35">SMALL(IF(H8:H21&gt;0,H8:H21),1)</f>
        <v>0.33666666666666667</v>
      </c>
      <c r="F35" s="195" cm="1">
        <f t="array" ref="F35">IFERROR(INDEX(I8:I21,MATCH(SMALL(IF(H8:H21&gt;0,H8:H21),1),H8:H21,0))/INDEX(E8:E21,MATCH(SMALL(IF(H8:H21&gt;0,H8:H21),1),H8:H21,0)),0)</f>
        <v>360</v>
      </c>
    </row>
    <row r="36" spans="1:6" x14ac:dyDescent="0.35">
      <c r="A36" s="190" t="str">
        <f>INDEX(D8:D21,MATCH(LARGE(H8:H21,2),H8:H21,0))</f>
        <v>RUTA 5C</v>
      </c>
      <c r="B36" s="191">
        <f>LARGE(H8:H21,2)</f>
        <v>0.80333333333333334</v>
      </c>
      <c r="C36" s="192">
        <f>INDEX(I8:I21,MATCH(LARGE(H8:H21,2),H8:H21,0))/INDEX(E8:E21,MATCH(LARGE(H8:H21,2),H8:H21,0))</f>
        <v>290</v>
      </c>
      <c r="D36" s="193" t="str" cm="1">
        <f t="array" ref="D36">INDEX(D8:D21,MATCH(SMALL(IF(H8:H21&gt;0,H8:H21),2),H8:H21,0))</f>
        <v>RUTA 4A</v>
      </c>
      <c r="E36" s="194" cm="1">
        <f t="array" ref="E36">SMALL(IF(H8:H21&gt;0,H8:H21),2)</f>
        <v>0.4</v>
      </c>
      <c r="F36" s="195" cm="1">
        <f t="array" ref="F36">IFERROR(INDEX(I8:I21,MATCH(SMALL(IF(H8:H21&gt;0,H8:H21),2),H8:H21,0))/INDEX(E8:E21,MATCH(SMALL(IF(H8:H21&gt;0,H8:H21),2),H8:H21,0)),0)</f>
        <v>346.66666666666669</v>
      </c>
    </row>
    <row r="37" spans="1:6" x14ac:dyDescent="0.35">
      <c r="A37" s="190" t="str">
        <f>INDEX(D8:D21,MATCH(LARGE(H8:H21,3),H8:H21,0))</f>
        <v>RUTA 3</v>
      </c>
      <c r="B37" s="191">
        <f>LARGE(H8:H21,3)</f>
        <v>0.76898734177215189</v>
      </c>
      <c r="C37" s="192">
        <f>INDEX(I8:I21,MATCH(LARGE(H8:H21,3),H8:H21,0))/INDEX(E8:E21,MATCH(LARGE(H8:H21,3),H8:H21,0))</f>
        <v>331.42857142857144</v>
      </c>
      <c r="D37" s="193" t="str" cm="1">
        <f t="array" ref="D37">INDEX(D8:D21,MATCH(SMALL(IF(H8:H21&gt;0,H8:H21),3),H8:H21,0))</f>
        <v>RUTA 6C</v>
      </c>
      <c r="E37" s="194" cm="1">
        <f t="array" ref="E37">SMALL(IF(H8:H21&gt;0,H8:H21),3)</f>
        <v>0.44</v>
      </c>
      <c r="F37" s="195" cm="1">
        <f t="array" ref="F37">IFERROR(INDEX(I8:I21,MATCH(SMALL(IF(H8:H21&gt;0,H8:H21),3),H8:H21,0))/INDEX(E8:E21,MATCH(SMALL(IF(H8:H21&gt;0,H8:H21),3),H8:H21,0)),0)</f>
        <v>310</v>
      </c>
    </row>
    <row r="39" spans="1:6" x14ac:dyDescent="0.35">
      <c r="A39" s="222" t="s">
        <v>4685</v>
      </c>
      <c r="B39" s="222"/>
      <c r="C39" s="222"/>
      <c r="D39" s="222"/>
      <c r="E39" s="222"/>
      <c r="F39" s="222"/>
    </row>
    <row r="40" spans="1:6" x14ac:dyDescent="0.35">
      <c r="A40" s="182" t="s">
        <v>4747</v>
      </c>
    </row>
    <row r="41" spans="1:6" x14ac:dyDescent="0.35">
      <c r="A41" s="182" t="s">
        <v>4748</v>
      </c>
    </row>
    <row r="42" spans="1:6" x14ac:dyDescent="0.35">
      <c r="A42" s="182" t="s">
        <v>4749</v>
      </c>
    </row>
    <row r="43" spans="1:6" x14ac:dyDescent="0.35">
      <c r="A43" s="182" t="s">
        <v>4750</v>
      </c>
    </row>
    <row r="44" spans="1:6" x14ac:dyDescent="0.35">
      <c r="A44" s="182" t="s">
        <v>4751</v>
      </c>
    </row>
  </sheetData>
  <mergeCells count="9">
    <mergeCell ref="A1:J1"/>
    <mergeCell ref="A2:J2"/>
    <mergeCell ref="A6:J6"/>
    <mergeCell ref="A39:F39"/>
    <mergeCell ref="A17:B17"/>
    <mergeCell ref="A24:J24"/>
    <mergeCell ref="A32:F32"/>
    <mergeCell ref="A33:C33"/>
    <mergeCell ref="D33:F3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066CB-6606-43BA-A649-8F9184F557A2}">
  <dimension ref="B1:Q379"/>
  <sheetViews>
    <sheetView zoomScale="130" zoomScaleNormal="130" workbookViewId="0">
      <pane xSplit="3" topLeftCell="J1" activePane="topRight" state="frozen"/>
      <selection pane="topRight" activeCell="B2" sqref="B2"/>
    </sheetView>
  </sheetViews>
  <sheetFormatPr baseColWidth="10" defaultRowHeight="14.5" x14ac:dyDescent="0.35"/>
  <cols>
    <col min="2" max="2" width="10.90625" bestFit="1" customWidth="1"/>
    <col min="3" max="3" width="10.08984375" bestFit="1" customWidth="1"/>
    <col min="4" max="6" width="12.36328125" bestFit="1" customWidth="1"/>
    <col min="7" max="10" width="13.453125" bestFit="1" customWidth="1"/>
    <col min="11" max="11" width="13.6328125" bestFit="1" customWidth="1"/>
    <col min="12" max="13" width="13.453125" bestFit="1" customWidth="1"/>
    <col min="14" max="14" width="13.6328125" bestFit="1" customWidth="1"/>
    <col min="15" max="17" width="12.36328125" bestFit="1" customWidth="1"/>
  </cols>
  <sheetData>
    <row r="1" spans="2:17" x14ac:dyDescent="0.35">
      <c r="B1" s="125" t="s">
        <v>4757</v>
      </c>
      <c r="C1" s="126" t="s">
        <v>4626</v>
      </c>
      <c r="D1" t="s">
        <v>4650</v>
      </c>
      <c r="E1" s="150" t="s">
        <v>4651</v>
      </c>
      <c r="F1" s="150" t="s">
        <v>4652</v>
      </c>
      <c r="G1" s="150" t="s">
        <v>4653</v>
      </c>
      <c r="H1" s="150" t="s">
        <v>4654</v>
      </c>
      <c r="I1" s="150" t="s">
        <v>4655</v>
      </c>
      <c r="J1" s="150" t="s">
        <v>4656</v>
      </c>
      <c r="K1" s="150" t="s">
        <v>4657</v>
      </c>
      <c r="L1" s="150" t="s">
        <v>4658</v>
      </c>
      <c r="M1" s="150" t="s">
        <v>4659</v>
      </c>
      <c r="N1" s="150" t="s">
        <v>4660</v>
      </c>
      <c r="O1" s="150" t="s">
        <v>4661</v>
      </c>
      <c r="P1" s="150" t="s">
        <v>4662</v>
      </c>
      <c r="Q1" s="150" t="s">
        <v>4663</v>
      </c>
    </row>
    <row r="2" spans="2:17" x14ac:dyDescent="0.35">
      <c r="B2" s="124" t="s">
        <v>4687</v>
      </c>
      <c r="C2" s="129">
        <v>50</v>
      </c>
      <c r="D2" s="127">
        <v>310</v>
      </c>
      <c r="E2" s="127">
        <v>310</v>
      </c>
      <c r="F2" s="127">
        <v>340</v>
      </c>
      <c r="G2" s="127">
        <v>350</v>
      </c>
      <c r="H2" s="127">
        <v>340</v>
      </c>
      <c r="I2" s="127">
        <v>370</v>
      </c>
      <c r="J2" s="127">
        <v>310</v>
      </c>
      <c r="K2" s="127">
        <v>290</v>
      </c>
      <c r="L2" s="127">
        <v>370</v>
      </c>
      <c r="M2" s="127">
        <v>360</v>
      </c>
      <c r="N2" s="127">
        <v>310</v>
      </c>
      <c r="O2" s="127">
        <v>380</v>
      </c>
      <c r="P2" s="127">
        <v>370</v>
      </c>
      <c r="Q2" s="127">
        <v>400</v>
      </c>
    </row>
    <row r="3" spans="2:17" x14ac:dyDescent="0.35">
      <c r="B3" s="123" t="s">
        <v>4632</v>
      </c>
      <c r="C3" s="127">
        <v>50</v>
      </c>
      <c r="D3" s="127">
        <v>310</v>
      </c>
      <c r="E3" s="127">
        <v>310</v>
      </c>
      <c r="F3" s="127">
        <v>340</v>
      </c>
      <c r="G3" s="127">
        <v>350</v>
      </c>
      <c r="H3" s="127">
        <v>340</v>
      </c>
      <c r="I3" s="127">
        <v>370</v>
      </c>
      <c r="J3" s="127">
        <v>310</v>
      </c>
      <c r="K3" s="127">
        <v>290</v>
      </c>
      <c r="L3" s="127">
        <v>370</v>
      </c>
      <c r="M3" s="127">
        <v>360</v>
      </c>
      <c r="N3" s="127">
        <v>310</v>
      </c>
      <c r="O3" s="127">
        <v>380</v>
      </c>
      <c r="P3" s="127">
        <v>370</v>
      </c>
      <c r="Q3" s="127">
        <v>400</v>
      </c>
    </row>
    <row r="4" spans="2:17" x14ac:dyDescent="0.35">
      <c r="B4" s="123" t="s">
        <v>4631</v>
      </c>
      <c r="C4" s="128">
        <v>30</v>
      </c>
      <c r="D4" s="128">
        <v>290</v>
      </c>
      <c r="E4" s="128">
        <v>290</v>
      </c>
      <c r="F4" s="128">
        <v>330</v>
      </c>
      <c r="G4" s="128">
        <v>340</v>
      </c>
      <c r="H4" s="128">
        <v>330</v>
      </c>
      <c r="I4" s="128">
        <v>360</v>
      </c>
      <c r="J4" s="128">
        <v>300</v>
      </c>
      <c r="K4" s="128">
        <v>280</v>
      </c>
      <c r="L4" s="128">
        <v>360</v>
      </c>
      <c r="M4" s="128">
        <v>350</v>
      </c>
      <c r="N4" s="128">
        <v>300</v>
      </c>
      <c r="O4" s="128">
        <v>370</v>
      </c>
      <c r="P4" s="128">
        <v>360</v>
      </c>
      <c r="Q4" s="128">
        <v>380</v>
      </c>
    </row>
    <row r="5" spans="2:17" x14ac:dyDescent="0.35">
      <c r="B5" s="123" t="s">
        <v>4630</v>
      </c>
      <c r="C5" s="127">
        <v>23</v>
      </c>
      <c r="D5" s="127">
        <v>270</v>
      </c>
      <c r="E5" s="127">
        <v>270</v>
      </c>
      <c r="F5" s="127">
        <v>300</v>
      </c>
      <c r="G5" s="127">
        <v>310</v>
      </c>
      <c r="H5" s="127">
        <v>300</v>
      </c>
      <c r="I5" s="127">
        <v>350</v>
      </c>
      <c r="J5" s="127">
        <v>280</v>
      </c>
      <c r="K5" s="127">
        <v>250</v>
      </c>
      <c r="L5" s="127">
        <v>340</v>
      </c>
      <c r="M5" s="127">
        <v>340</v>
      </c>
      <c r="N5" s="127">
        <v>290</v>
      </c>
      <c r="O5" s="127">
        <v>360</v>
      </c>
      <c r="P5" s="127">
        <v>340</v>
      </c>
      <c r="Q5" s="127">
        <v>370</v>
      </c>
    </row>
    <row r="6" spans="2:17" x14ac:dyDescent="0.35">
      <c r="B6" s="123" t="s">
        <v>4629</v>
      </c>
      <c r="C6" s="127">
        <v>16</v>
      </c>
      <c r="D6" s="127">
        <v>250</v>
      </c>
      <c r="E6" s="127">
        <v>250</v>
      </c>
      <c r="F6" s="127">
        <v>280</v>
      </c>
      <c r="G6" s="127">
        <v>270</v>
      </c>
      <c r="H6" s="127">
        <v>260</v>
      </c>
      <c r="I6" s="127">
        <v>320</v>
      </c>
      <c r="J6" s="127">
        <v>250</v>
      </c>
      <c r="K6" s="127">
        <v>240</v>
      </c>
      <c r="L6" s="127">
        <v>330</v>
      </c>
      <c r="M6" s="127">
        <v>330</v>
      </c>
      <c r="N6" s="127">
        <v>280</v>
      </c>
      <c r="O6" s="127">
        <v>340</v>
      </c>
      <c r="P6" s="127">
        <v>300</v>
      </c>
      <c r="Q6" s="127">
        <v>350</v>
      </c>
    </row>
    <row r="7" spans="2:17" x14ac:dyDescent="0.35">
      <c r="B7" s="123" t="s">
        <v>4628</v>
      </c>
      <c r="C7" s="127">
        <v>10</v>
      </c>
      <c r="D7" s="127">
        <v>230</v>
      </c>
      <c r="E7" s="127">
        <v>230</v>
      </c>
      <c r="F7" s="127">
        <v>250</v>
      </c>
      <c r="G7" s="127">
        <v>240</v>
      </c>
      <c r="H7" s="127">
        <v>230</v>
      </c>
      <c r="I7" s="127">
        <v>300</v>
      </c>
      <c r="J7" s="127">
        <v>240</v>
      </c>
      <c r="K7" s="127">
        <v>200</v>
      </c>
      <c r="L7" s="127">
        <v>300</v>
      </c>
      <c r="M7" s="127">
        <v>280</v>
      </c>
      <c r="N7" s="127">
        <v>250</v>
      </c>
      <c r="O7" s="127">
        <v>330</v>
      </c>
      <c r="P7" s="127">
        <v>290</v>
      </c>
      <c r="Q7" s="127">
        <v>320</v>
      </c>
    </row>
    <row r="8" spans="2:17" x14ac:dyDescent="0.35">
      <c r="B8" s="124" t="s">
        <v>4627</v>
      </c>
      <c r="C8" s="129">
        <v>4</v>
      </c>
      <c r="D8" s="129">
        <v>120</v>
      </c>
      <c r="E8" s="129">
        <v>120</v>
      </c>
      <c r="F8" s="129">
        <v>180</v>
      </c>
      <c r="G8" s="129">
        <v>150</v>
      </c>
      <c r="H8" s="129">
        <v>140</v>
      </c>
      <c r="I8" s="129">
        <v>180</v>
      </c>
      <c r="J8" s="129">
        <v>140</v>
      </c>
      <c r="K8" s="129">
        <v>120</v>
      </c>
      <c r="L8" s="129">
        <v>180</v>
      </c>
      <c r="M8" s="129">
        <v>180</v>
      </c>
      <c r="N8" s="129">
        <v>180</v>
      </c>
      <c r="O8" s="129">
        <v>220</v>
      </c>
      <c r="P8" s="129">
        <v>220</v>
      </c>
      <c r="Q8" s="129">
        <v>300</v>
      </c>
    </row>
    <row r="14" spans="2:17" x14ac:dyDescent="0.35">
      <c r="B14" t="s">
        <v>4699</v>
      </c>
      <c r="D14" t="s">
        <v>4700</v>
      </c>
    </row>
    <row r="15" spans="2:17" x14ac:dyDescent="0.35">
      <c r="B15" s="169">
        <v>46023</v>
      </c>
      <c r="D15">
        <v>1</v>
      </c>
    </row>
    <row r="16" spans="2:17" x14ac:dyDescent="0.35">
      <c r="B16" s="169">
        <v>46024</v>
      </c>
      <c r="D16">
        <v>2</v>
      </c>
    </row>
    <row r="17" spans="2:4" x14ac:dyDescent="0.35">
      <c r="B17" s="169">
        <v>46025</v>
      </c>
      <c r="D17">
        <v>3</v>
      </c>
    </row>
    <row r="18" spans="2:4" x14ac:dyDescent="0.35">
      <c r="B18" s="169">
        <v>46026</v>
      </c>
      <c r="D18">
        <v>4</v>
      </c>
    </row>
    <row r="19" spans="2:4" x14ac:dyDescent="0.35">
      <c r="B19" s="169">
        <v>46027</v>
      </c>
      <c r="D19">
        <v>5</v>
      </c>
    </row>
    <row r="20" spans="2:4" x14ac:dyDescent="0.35">
      <c r="B20" s="169">
        <v>46028</v>
      </c>
      <c r="D20">
        <v>6</v>
      </c>
    </row>
    <row r="21" spans="2:4" x14ac:dyDescent="0.35">
      <c r="B21" s="169">
        <v>46029</v>
      </c>
      <c r="D21">
        <v>7</v>
      </c>
    </row>
    <row r="22" spans="2:4" x14ac:dyDescent="0.35">
      <c r="B22" s="169">
        <v>46030</v>
      </c>
      <c r="D22">
        <v>8</v>
      </c>
    </row>
    <row r="23" spans="2:4" x14ac:dyDescent="0.35">
      <c r="B23" s="169">
        <v>46031</v>
      </c>
      <c r="D23">
        <v>9</v>
      </c>
    </row>
    <row r="24" spans="2:4" x14ac:dyDescent="0.35">
      <c r="B24" s="169">
        <v>46032</v>
      </c>
      <c r="D24">
        <v>10</v>
      </c>
    </row>
    <row r="25" spans="2:4" x14ac:dyDescent="0.35">
      <c r="B25" s="169">
        <v>46033</v>
      </c>
      <c r="D25">
        <v>11</v>
      </c>
    </row>
    <row r="26" spans="2:4" x14ac:dyDescent="0.35">
      <c r="B26" s="169">
        <v>46034</v>
      </c>
      <c r="D26">
        <v>12</v>
      </c>
    </row>
    <row r="27" spans="2:4" x14ac:dyDescent="0.35">
      <c r="B27" s="169">
        <v>46035</v>
      </c>
      <c r="D27">
        <v>13</v>
      </c>
    </row>
    <row r="28" spans="2:4" x14ac:dyDescent="0.35">
      <c r="B28" s="169">
        <v>46036</v>
      </c>
      <c r="D28">
        <v>14</v>
      </c>
    </row>
    <row r="29" spans="2:4" x14ac:dyDescent="0.35">
      <c r="B29" s="169">
        <v>46037</v>
      </c>
      <c r="D29">
        <v>15</v>
      </c>
    </row>
    <row r="30" spans="2:4" x14ac:dyDescent="0.35">
      <c r="B30" s="169">
        <v>46038</v>
      </c>
      <c r="D30">
        <v>16</v>
      </c>
    </row>
    <row r="31" spans="2:4" x14ac:dyDescent="0.35">
      <c r="B31" s="169">
        <v>46039</v>
      </c>
      <c r="D31">
        <v>17</v>
      </c>
    </row>
    <row r="32" spans="2:4" x14ac:dyDescent="0.35">
      <c r="B32" s="169">
        <v>46040</v>
      </c>
      <c r="D32">
        <v>18</v>
      </c>
    </row>
    <row r="33" spans="2:4" x14ac:dyDescent="0.35">
      <c r="B33" s="169">
        <v>46041</v>
      </c>
      <c r="D33">
        <v>19</v>
      </c>
    </row>
    <row r="34" spans="2:4" x14ac:dyDescent="0.35">
      <c r="B34" s="169">
        <v>46042</v>
      </c>
      <c r="D34">
        <v>20</v>
      </c>
    </row>
    <row r="35" spans="2:4" x14ac:dyDescent="0.35">
      <c r="B35" s="169">
        <v>46043</v>
      </c>
      <c r="D35">
        <v>21</v>
      </c>
    </row>
    <row r="36" spans="2:4" x14ac:dyDescent="0.35">
      <c r="B36" s="169">
        <v>46044</v>
      </c>
      <c r="D36">
        <v>22</v>
      </c>
    </row>
    <row r="37" spans="2:4" x14ac:dyDescent="0.35">
      <c r="B37" s="169">
        <v>46045</v>
      </c>
      <c r="D37">
        <v>23</v>
      </c>
    </row>
    <row r="38" spans="2:4" x14ac:dyDescent="0.35">
      <c r="B38" s="169">
        <v>46046</v>
      </c>
      <c r="D38">
        <v>24</v>
      </c>
    </row>
    <row r="39" spans="2:4" x14ac:dyDescent="0.35">
      <c r="B39" s="169">
        <v>46047</v>
      </c>
      <c r="D39">
        <v>25</v>
      </c>
    </row>
    <row r="40" spans="2:4" x14ac:dyDescent="0.35">
      <c r="B40" s="169">
        <v>46048</v>
      </c>
      <c r="D40">
        <v>26</v>
      </c>
    </row>
    <row r="41" spans="2:4" x14ac:dyDescent="0.35">
      <c r="B41" s="169">
        <v>46049</v>
      </c>
      <c r="D41">
        <v>27</v>
      </c>
    </row>
    <row r="42" spans="2:4" x14ac:dyDescent="0.35">
      <c r="B42" s="169">
        <v>46050</v>
      </c>
      <c r="D42">
        <v>28</v>
      </c>
    </row>
    <row r="43" spans="2:4" x14ac:dyDescent="0.35">
      <c r="B43" s="169">
        <v>46051</v>
      </c>
      <c r="D43">
        <v>29</v>
      </c>
    </row>
    <row r="44" spans="2:4" x14ac:dyDescent="0.35">
      <c r="B44" s="169">
        <v>46052</v>
      </c>
      <c r="D44">
        <v>30</v>
      </c>
    </row>
    <row r="45" spans="2:4" x14ac:dyDescent="0.35">
      <c r="B45" s="169">
        <v>46053</v>
      </c>
      <c r="D45">
        <v>31</v>
      </c>
    </row>
    <row r="46" spans="2:4" x14ac:dyDescent="0.35">
      <c r="B46" s="169">
        <v>46054</v>
      </c>
      <c r="D46">
        <v>32</v>
      </c>
    </row>
    <row r="47" spans="2:4" x14ac:dyDescent="0.35">
      <c r="B47" s="169">
        <v>46055</v>
      </c>
      <c r="D47">
        <v>33</v>
      </c>
    </row>
    <row r="48" spans="2:4" x14ac:dyDescent="0.35">
      <c r="B48" s="169">
        <v>46056</v>
      </c>
      <c r="D48">
        <v>34</v>
      </c>
    </row>
    <row r="49" spans="2:4" x14ac:dyDescent="0.35">
      <c r="B49" s="169">
        <v>46057</v>
      </c>
      <c r="D49">
        <v>35</v>
      </c>
    </row>
    <row r="50" spans="2:4" x14ac:dyDescent="0.35">
      <c r="B50" s="169">
        <v>46058</v>
      </c>
      <c r="D50">
        <v>36</v>
      </c>
    </row>
    <row r="51" spans="2:4" x14ac:dyDescent="0.35">
      <c r="B51" s="169">
        <v>46059</v>
      </c>
      <c r="D51">
        <v>37</v>
      </c>
    </row>
    <row r="52" spans="2:4" x14ac:dyDescent="0.35">
      <c r="B52" s="169">
        <v>46060</v>
      </c>
      <c r="D52">
        <v>38</v>
      </c>
    </row>
    <row r="53" spans="2:4" x14ac:dyDescent="0.35">
      <c r="B53" s="169">
        <v>46061</v>
      </c>
      <c r="D53">
        <v>39</v>
      </c>
    </row>
    <row r="54" spans="2:4" x14ac:dyDescent="0.35">
      <c r="B54" s="169">
        <v>46062</v>
      </c>
      <c r="D54">
        <v>40</v>
      </c>
    </row>
    <row r="55" spans="2:4" x14ac:dyDescent="0.35">
      <c r="B55" s="169">
        <v>46063</v>
      </c>
      <c r="D55">
        <v>41</v>
      </c>
    </row>
    <row r="56" spans="2:4" x14ac:dyDescent="0.35">
      <c r="B56" s="169">
        <v>46064</v>
      </c>
      <c r="D56">
        <v>42</v>
      </c>
    </row>
    <row r="57" spans="2:4" x14ac:dyDescent="0.35">
      <c r="B57" s="169">
        <v>46065</v>
      </c>
      <c r="D57">
        <v>43</v>
      </c>
    </row>
    <row r="58" spans="2:4" x14ac:dyDescent="0.35">
      <c r="B58" s="169">
        <v>46066</v>
      </c>
      <c r="D58">
        <v>44</v>
      </c>
    </row>
    <row r="59" spans="2:4" x14ac:dyDescent="0.35">
      <c r="B59" s="169">
        <v>46067</v>
      </c>
      <c r="D59">
        <v>45</v>
      </c>
    </row>
    <row r="60" spans="2:4" x14ac:dyDescent="0.35">
      <c r="B60" s="169">
        <v>46068</v>
      </c>
      <c r="D60">
        <v>46</v>
      </c>
    </row>
    <row r="61" spans="2:4" x14ac:dyDescent="0.35">
      <c r="B61" s="169">
        <v>46069</v>
      </c>
      <c r="D61">
        <v>47</v>
      </c>
    </row>
    <row r="62" spans="2:4" x14ac:dyDescent="0.35">
      <c r="B62" s="169">
        <v>46070</v>
      </c>
      <c r="D62">
        <v>48</v>
      </c>
    </row>
    <row r="63" spans="2:4" x14ac:dyDescent="0.35">
      <c r="B63" s="169">
        <v>46071</v>
      </c>
      <c r="D63">
        <v>49</v>
      </c>
    </row>
    <row r="64" spans="2:4" x14ac:dyDescent="0.35">
      <c r="B64" s="169">
        <v>46072</v>
      </c>
      <c r="D64">
        <v>50</v>
      </c>
    </row>
    <row r="65" spans="2:4" x14ac:dyDescent="0.35">
      <c r="B65" s="169">
        <v>46073</v>
      </c>
      <c r="D65">
        <v>51</v>
      </c>
    </row>
    <row r="66" spans="2:4" x14ac:dyDescent="0.35">
      <c r="B66" s="169">
        <v>46074</v>
      </c>
      <c r="D66">
        <v>52</v>
      </c>
    </row>
    <row r="67" spans="2:4" x14ac:dyDescent="0.35">
      <c r="B67" s="169">
        <v>46075</v>
      </c>
    </row>
    <row r="68" spans="2:4" x14ac:dyDescent="0.35">
      <c r="B68" s="169">
        <v>46076</v>
      </c>
    </row>
    <row r="69" spans="2:4" x14ac:dyDescent="0.35">
      <c r="B69" s="169">
        <v>46077</v>
      </c>
    </row>
    <row r="70" spans="2:4" x14ac:dyDescent="0.35">
      <c r="B70" s="169">
        <v>46078</v>
      </c>
    </row>
    <row r="71" spans="2:4" x14ac:dyDescent="0.35">
      <c r="B71" s="169">
        <v>46079</v>
      </c>
    </row>
    <row r="72" spans="2:4" x14ac:dyDescent="0.35">
      <c r="B72" s="169">
        <v>46080</v>
      </c>
    </row>
    <row r="73" spans="2:4" x14ac:dyDescent="0.35">
      <c r="B73" s="169">
        <v>46081</v>
      </c>
    </row>
    <row r="74" spans="2:4" x14ac:dyDescent="0.35">
      <c r="B74" s="169">
        <v>46082</v>
      </c>
    </row>
    <row r="75" spans="2:4" x14ac:dyDescent="0.35">
      <c r="B75" s="169">
        <v>46083</v>
      </c>
    </row>
    <row r="76" spans="2:4" x14ac:dyDescent="0.35">
      <c r="B76" s="169">
        <v>46084</v>
      </c>
    </row>
    <row r="77" spans="2:4" x14ac:dyDescent="0.35">
      <c r="B77" s="169">
        <v>46085</v>
      </c>
    </row>
    <row r="78" spans="2:4" x14ac:dyDescent="0.35">
      <c r="B78" s="169">
        <v>46086</v>
      </c>
    </row>
    <row r="79" spans="2:4" x14ac:dyDescent="0.35">
      <c r="B79" s="169">
        <v>46087</v>
      </c>
    </row>
    <row r="80" spans="2:4" x14ac:dyDescent="0.35">
      <c r="B80" s="169">
        <v>46088</v>
      </c>
    </row>
    <row r="81" spans="2:2" x14ac:dyDescent="0.35">
      <c r="B81" s="169">
        <v>46089</v>
      </c>
    </row>
    <row r="82" spans="2:2" x14ac:dyDescent="0.35">
      <c r="B82" s="169">
        <v>46090</v>
      </c>
    </row>
    <row r="83" spans="2:2" x14ac:dyDescent="0.35">
      <c r="B83" s="169">
        <v>46091</v>
      </c>
    </row>
    <row r="84" spans="2:2" x14ac:dyDescent="0.35">
      <c r="B84" s="169">
        <v>46092</v>
      </c>
    </row>
    <row r="85" spans="2:2" x14ac:dyDescent="0.35">
      <c r="B85" s="169">
        <v>46093</v>
      </c>
    </row>
    <row r="86" spans="2:2" x14ac:dyDescent="0.35">
      <c r="B86" s="169">
        <v>46094</v>
      </c>
    </row>
    <row r="87" spans="2:2" x14ac:dyDescent="0.35">
      <c r="B87" s="169">
        <v>46095</v>
      </c>
    </row>
    <row r="88" spans="2:2" x14ac:dyDescent="0.35">
      <c r="B88" s="169">
        <v>46096</v>
      </c>
    </row>
    <row r="89" spans="2:2" x14ac:dyDescent="0.35">
      <c r="B89" s="169">
        <v>46097</v>
      </c>
    </row>
    <row r="90" spans="2:2" x14ac:dyDescent="0.35">
      <c r="B90" s="169">
        <v>46098</v>
      </c>
    </row>
    <row r="91" spans="2:2" x14ac:dyDescent="0.35">
      <c r="B91" s="169">
        <v>46099</v>
      </c>
    </row>
    <row r="92" spans="2:2" x14ac:dyDescent="0.35">
      <c r="B92" s="169">
        <v>46100</v>
      </c>
    </row>
    <row r="93" spans="2:2" x14ac:dyDescent="0.35">
      <c r="B93" s="169">
        <v>46101</v>
      </c>
    </row>
    <row r="94" spans="2:2" x14ac:dyDescent="0.35">
      <c r="B94" s="169">
        <v>46102</v>
      </c>
    </row>
    <row r="95" spans="2:2" x14ac:dyDescent="0.35">
      <c r="B95" s="169">
        <v>46103</v>
      </c>
    </row>
    <row r="96" spans="2:2" x14ac:dyDescent="0.35">
      <c r="B96" s="169">
        <v>46104</v>
      </c>
    </row>
    <row r="97" spans="2:2" x14ac:dyDescent="0.35">
      <c r="B97" s="169">
        <v>46105</v>
      </c>
    </row>
    <row r="98" spans="2:2" x14ac:dyDescent="0.35">
      <c r="B98" s="169">
        <v>46106</v>
      </c>
    </row>
    <row r="99" spans="2:2" x14ac:dyDescent="0.35">
      <c r="B99" s="169">
        <v>46107</v>
      </c>
    </row>
    <row r="100" spans="2:2" x14ac:dyDescent="0.35">
      <c r="B100" s="169">
        <v>46108</v>
      </c>
    </row>
    <row r="101" spans="2:2" x14ac:dyDescent="0.35">
      <c r="B101" s="169">
        <v>46109</v>
      </c>
    </row>
    <row r="102" spans="2:2" x14ac:dyDescent="0.35">
      <c r="B102" s="169">
        <v>46110</v>
      </c>
    </row>
    <row r="103" spans="2:2" x14ac:dyDescent="0.35">
      <c r="B103" s="169">
        <v>46111</v>
      </c>
    </row>
    <row r="104" spans="2:2" x14ac:dyDescent="0.35">
      <c r="B104" s="169">
        <v>46112</v>
      </c>
    </row>
    <row r="105" spans="2:2" x14ac:dyDescent="0.35">
      <c r="B105" s="169">
        <v>46113</v>
      </c>
    </row>
    <row r="106" spans="2:2" x14ac:dyDescent="0.35">
      <c r="B106" s="169">
        <v>46114</v>
      </c>
    </row>
    <row r="107" spans="2:2" x14ac:dyDescent="0.35">
      <c r="B107" s="169">
        <v>46115</v>
      </c>
    </row>
    <row r="108" spans="2:2" x14ac:dyDescent="0.35">
      <c r="B108" s="169">
        <v>46116</v>
      </c>
    </row>
    <row r="109" spans="2:2" x14ac:dyDescent="0.35">
      <c r="B109" s="169">
        <v>46117</v>
      </c>
    </row>
    <row r="110" spans="2:2" x14ac:dyDescent="0.35">
      <c r="B110" s="169">
        <v>46118</v>
      </c>
    </row>
    <row r="111" spans="2:2" x14ac:dyDescent="0.35">
      <c r="B111" s="169">
        <v>46119</v>
      </c>
    </row>
    <row r="112" spans="2:2" x14ac:dyDescent="0.35">
      <c r="B112" s="169">
        <v>46120</v>
      </c>
    </row>
    <row r="113" spans="2:2" x14ac:dyDescent="0.35">
      <c r="B113" s="169">
        <v>46121</v>
      </c>
    </row>
    <row r="114" spans="2:2" x14ac:dyDescent="0.35">
      <c r="B114" s="169">
        <v>46122</v>
      </c>
    </row>
    <row r="115" spans="2:2" x14ac:dyDescent="0.35">
      <c r="B115" s="169">
        <v>46123</v>
      </c>
    </row>
    <row r="116" spans="2:2" x14ac:dyDescent="0.35">
      <c r="B116" s="169">
        <v>46124</v>
      </c>
    </row>
    <row r="117" spans="2:2" x14ac:dyDescent="0.35">
      <c r="B117" s="169">
        <v>46125</v>
      </c>
    </row>
    <row r="118" spans="2:2" x14ac:dyDescent="0.35">
      <c r="B118" s="169">
        <v>46126</v>
      </c>
    </row>
    <row r="119" spans="2:2" x14ac:dyDescent="0.35">
      <c r="B119" s="169">
        <v>46127</v>
      </c>
    </row>
    <row r="120" spans="2:2" x14ac:dyDescent="0.35">
      <c r="B120" s="169">
        <v>46128</v>
      </c>
    </row>
    <row r="121" spans="2:2" x14ac:dyDescent="0.35">
      <c r="B121" s="169">
        <v>46129</v>
      </c>
    </row>
    <row r="122" spans="2:2" x14ac:dyDescent="0.35">
      <c r="B122" s="169">
        <v>46130</v>
      </c>
    </row>
    <row r="123" spans="2:2" x14ac:dyDescent="0.35">
      <c r="B123" s="169">
        <v>46131</v>
      </c>
    </row>
    <row r="124" spans="2:2" x14ac:dyDescent="0.35">
      <c r="B124" s="169">
        <v>46132</v>
      </c>
    </row>
    <row r="125" spans="2:2" x14ac:dyDescent="0.35">
      <c r="B125" s="169">
        <v>46133</v>
      </c>
    </row>
    <row r="126" spans="2:2" x14ac:dyDescent="0.35">
      <c r="B126" s="169">
        <v>46134</v>
      </c>
    </row>
    <row r="127" spans="2:2" x14ac:dyDescent="0.35">
      <c r="B127" s="169">
        <v>46135</v>
      </c>
    </row>
    <row r="128" spans="2:2" x14ac:dyDescent="0.35">
      <c r="B128" s="169">
        <v>46136</v>
      </c>
    </row>
    <row r="129" spans="2:2" x14ac:dyDescent="0.35">
      <c r="B129" s="169">
        <v>46137</v>
      </c>
    </row>
    <row r="130" spans="2:2" x14ac:dyDescent="0.35">
      <c r="B130" s="169">
        <v>46138</v>
      </c>
    </row>
    <row r="131" spans="2:2" x14ac:dyDescent="0.35">
      <c r="B131" s="169">
        <v>46139</v>
      </c>
    </row>
    <row r="132" spans="2:2" x14ac:dyDescent="0.35">
      <c r="B132" s="169">
        <v>46140</v>
      </c>
    </row>
    <row r="133" spans="2:2" x14ac:dyDescent="0.35">
      <c r="B133" s="169">
        <v>46141</v>
      </c>
    </row>
    <row r="134" spans="2:2" x14ac:dyDescent="0.35">
      <c r="B134" s="169">
        <v>46142</v>
      </c>
    </row>
    <row r="135" spans="2:2" x14ac:dyDescent="0.35">
      <c r="B135" s="169">
        <v>46143</v>
      </c>
    </row>
    <row r="136" spans="2:2" x14ac:dyDescent="0.35">
      <c r="B136" s="169">
        <v>46144</v>
      </c>
    </row>
    <row r="137" spans="2:2" x14ac:dyDescent="0.35">
      <c r="B137" s="169">
        <v>46145</v>
      </c>
    </row>
    <row r="138" spans="2:2" x14ac:dyDescent="0.35">
      <c r="B138" s="169">
        <v>46146</v>
      </c>
    </row>
    <row r="139" spans="2:2" x14ac:dyDescent="0.35">
      <c r="B139" s="169">
        <v>46147</v>
      </c>
    </row>
    <row r="140" spans="2:2" x14ac:dyDescent="0.35">
      <c r="B140" s="169">
        <v>46148</v>
      </c>
    </row>
    <row r="141" spans="2:2" x14ac:dyDescent="0.35">
      <c r="B141" s="169">
        <v>46149</v>
      </c>
    </row>
    <row r="142" spans="2:2" x14ac:dyDescent="0.35">
      <c r="B142" s="169">
        <v>46150</v>
      </c>
    </row>
    <row r="143" spans="2:2" x14ac:dyDescent="0.35">
      <c r="B143" s="169">
        <v>46151</v>
      </c>
    </row>
    <row r="144" spans="2:2" x14ac:dyDescent="0.35">
      <c r="B144" s="169">
        <v>46152</v>
      </c>
    </row>
    <row r="145" spans="2:2" x14ac:dyDescent="0.35">
      <c r="B145" s="169">
        <v>46153</v>
      </c>
    </row>
    <row r="146" spans="2:2" x14ac:dyDescent="0.35">
      <c r="B146" s="169">
        <v>46154</v>
      </c>
    </row>
    <row r="147" spans="2:2" x14ac:dyDescent="0.35">
      <c r="B147" s="169">
        <v>46155</v>
      </c>
    </row>
    <row r="148" spans="2:2" x14ac:dyDescent="0.35">
      <c r="B148" s="169">
        <v>46156</v>
      </c>
    </row>
    <row r="149" spans="2:2" x14ac:dyDescent="0.35">
      <c r="B149" s="169">
        <v>46157</v>
      </c>
    </row>
    <row r="150" spans="2:2" x14ac:dyDescent="0.35">
      <c r="B150" s="169">
        <v>46158</v>
      </c>
    </row>
    <row r="151" spans="2:2" x14ac:dyDescent="0.35">
      <c r="B151" s="169">
        <v>46159</v>
      </c>
    </row>
    <row r="152" spans="2:2" x14ac:dyDescent="0.35">
      <c r="B152" s="169">
        <v>46160</v>
      </c>
    </row>
    <row r="153" spans="2:2" x14ac:dyDescent="0.35">
      <c r="B153" s="169">
        <v>46161</v>
      </c>
    </row>
    <row r="154" spans="2:2" x14ac:dyDescent="0.35">
      <c r="B154" s="169">
        <v>46162</v>
      </c>
    </row>
    <row r="155" spans="2:2" x14ac:dyDescent="0.35">
      <c r="B155" s="169">
        <v>46163</v>
      </c>
    </row>
    <row r="156" spans="2:2" x14ac:dyDescent="0.35">
      <c r="B156" s="169">
        <v>46164</v>
      </c>
    </row>
    <row r="157" spans="2:2" x14ac:dyDescent="0.35">
      <c r="B157" s="169">
        <v>46165</v>
      </c>
    </row>
    <row r="158" spans="2:2" x14ac:dyDescent="0.35">
      <c r="B158" s="169">
        <v>46166</v>
      </c>
    </row>
    <row r="159" spans="2:2" x14ac:dyDescent="0.35">
      <c r="B159" s="169">
        <v>46167</v>
      </c>
    </row>
    <row r="160" spans="2:2" x14ac:dyDescent="0.35">
      <c r="B160" s="169">
        <v>46168</v>
      </c>
    </row>
    <row r="161" spans="2:2" x14ac:dyDescent="0.35">
      <c r="B161" s="169">
        <v>46169</v>
      </c>
    </row>
    <row r="162" spans="2:2" x14ac:dyDescent="0.35">
      <c r="B162" s="169">
        <v>46170</v>
      </c>
    </row>
    <row r="163" spans="2:2" x14ac:dyDescent="0.35">
      <c r="B163" s="169">
        <v>46171</v>
      </c>
    </row>
    <row r="164" spans="2:2" x14ac:dyDescent="0.35">
      <c r="B164" s="169">
        <v>46172</v>
      </c>
    </row>
    <row r="165" spans="2:2" x14ac:dyDescent="0.35">
      <c r="B165" s="169">
        <v>46173</v>
      </c>
    </row>
    <row r="166" spans="2:2" x14ac:dyDescent="0.35">
      <c r="B166" s="169">
        <v>46174</v>
      </c>
    </row>
    <row r="167" spans="2:2" x14ac:dyDescent="0.35">
      <c r="B167" s="169">
        <v>46175</v>
      </c>
    </row>
    <row r="168" spans="2:2" x14ac:dyDescent="0.35">
      <c r="B168" s="169">
        <v>46176</v>
      </c>
    </row>
    <row r="169" spans="2:2" x14ac:dyDescent="0.35">
      <c r="B169" s="169">
        <v>46177</v>
      </c>
    </row>
    <row r="170" spans="2:2" x14ac:dyDescent="0.35">
      <c r="B170" s="169">
        <v>46178</v>
      </c>
    </row>
    <row r="171" spans="2:2" x14ac:dyDescent="0.35">
      <c r="B171" s="169">
        <v>46179</v>
      </c>
    </row>
    <row r="172" spans="2:2" x14ac:dyDescent="0.35">
      <c r="B172" s="169">
        <v>46180</v>
      </c>
    </row>
    <row r="173" spans="2:2" x14ac:dyDescent="0.35">
      <c r="B173" s="169">
        <v>46181</v>
      </c>
    </row>
    <row r="174" spans="2:2" x14ac:dyDescent="0.35">
      <c r="B174" s="169">
        <v>46182</v>
      </c>
    </row>
    <row r="175" spans="2:2" x14ac:dyDescent="0.35">
      <c r="B175" s="169">
        <v>46183</v>
      </c>
    </row>
    <row r="176" spans="2:2" x14ac:dyDescent="0.35">
      <c r="B176" s="169">
        <v>46184</v>
      </c>
    </row>
    <row r="177" spans="2:2" x14ac:dyDescent="0.35">
      <c r="B177" s="169">
        <v>46185</v>
      </c>
    </row>
    <row r="178" spans="2:2" x14ac:dyDescent="0.35">
      <c r="B178" s="169">
        <v>46186</v>
      </c>
    </row>
    <row r="179" spans="2:2" x14ac:dyDescent="0.35">
      <c r="B179" s="169">
        <v>46187</v>
      </c>
    </row>
    <row r="180" spans="2:2" x14ac:dyDescent="0.35">
      <c r="B180" s="169">
        <v>46188</v>
      </c>
    </row>
    <row r="181" spans="2:2" x14ac:dyDescent="0.35">
      <c r="B181" s="169">
        <v>46189</v>
      </c>
    </row>
    <row r="182" spans="2:2" x14ac:dyDescent="0.35">
      <c r="B182" s="169">
        <v>46190</v>
      </c>
    </row>
    <row r="183" spans="2:2" x14ac:dyDescent="0.35">
      <c r="B183" s="169">
        <v>46191</v>
      </c>
    </row>
    <row r="184" spans="2:2" x14ac:dyDescent="0.35">
      <c r="B184" s="169">
        <v>46192</v>
      </c>
    </row>
    <row r="185" spans="2:2" x14ac:dyDescent="0.35">
      <c r="B185" s="169">
        <v>46193</v>
      </c>
    </row>
    <row r="186" spans="2:2" x14ac:dyDescent="0.35">
      <c r="B186" s="169">
        <v>46194</v>
      </c>
    </row>
    <row r="187" spans="2:2" x14ac:dyDescent="0.35">
      <c r="B187" s="169">
        <v>46195</v>
      </c>
    </row>
    <row r="188" spans="2:2" x14ac:dyDescent="0.35">
      <c r="B188" s="169">
        <v>46196</v>
      </c>
    </row>
    <row r="189" spans="2:2" x14ac:dyDescent="0.35">
      <c r="B189" s="169">
        <v>46197</v>
      </c>
    </row>
    <row r="190" spans="2:2" x14ac:dyDescent="0.35">
      <c r="B190" s="169">
        <v>46198</v>
      </c>
    </row>
    <row r="191" spans="2:2" x14ac:dyDescent="0.35">
      <c r="B191" s="169">
        <v>46199</v>
      </c>
    </row>
    <row r="192" spans="2:2" x14ac:dyDescent="0.35">
      <c r="B192" s="169">
        <v>46200</v>
      </c>
    </row>
    <row r="193" spans="2:2" x14ac:dyDescent="0.35">
      <c r="B193" s="169">
        <v>46201</v>
      </c>
    </row>
    <row r="194" spans="2:2" x14ac:dyDescent="0.35">
      <c r="B194" s="169">
        <v>46202</v>
      </c>
    </row>
    <row r="195" spans="2:2" x14ac:dyDescent="0.35">
      <c r="B195" s="169">
        <v>46203</v>
      </c>
    </row>
    <row r="196" spans="2:2" x14ac:dyDescent="0.35">
      <c r="B196" s="169">
        <v>46204</v>
      </c>
    </row>
    <row r="197" spans="2:2" x14ac:dyDescent="0.35">
      <c r="B197" s="169">
        <v>46205</v>
      </c>
    </row>
    <row r="198" spans="2:2" x14ac:dyDescent="0.35">
      <c r="B198" s="169">
        <v>46206</v>
      </c>
    </row>
    <row r="199" spans="2:2" x14ac:dyDescent="0.35">
      <c r="B199" s="169">
        <v>46207</v>
      </c>
    </row>
    <row r="200" spans="2:2" x14ac:dyDescent="0.35">
      <c r="B200" s="169">
        <v>46208</v>
      </c>
    </row>
    <row r="201" spans="2:2" x14ac:dyDescent="0.35">
      <c r="B201" s="169">
        <v>46209</v>
      </c>
    </row>
    <row r="202" spans="2:2" x14ac:dyDescent="0.35">
      <c r="B202" s="169">
        <v>46210</v>
      </c>
    </row>
    <row r="203" spans="2:2" x14ac:dyDescent="0.35">
      <c r="B203" s="169">
        <v>46211</v>
      </c>
    </row>
    <row r="204" spans="2:2" x14ac:dyDescent="0.35">
      <c r="B204" s="169">
        <v>46212</v>
      </c>
    </row>
    <row r="205" spans="2:2" x14ac:dyDescent="0.35">
      <c r="B205" s="169">
        <v>46213</v>
      </c>
    </row>
    <row r="206" spans="2:2" x14ac:dyDescent="0.35">
      <c r="B206" s="169">
        <v>46214</v>
      </c>
    </row>
    <row r="207" spans="2:2" x14ac:dyDescent="0.35">
      <c r="B207" s="169">
        <v>46215</v>
      </c>
    </row>
    <row r="208" spans="2:2" x14ac:dyDescent="0.35">
      <c r="B208" s="169">
        <v>46216</v>
      </c>
    </row>
    <row r="209" spans="2:2" x14ac:dyDescent="0.35">
      <c r="B209" s="169">
        <v>46217</v>
      </c>
    </row>
    <row r="210" spans="2:2" x14ac:dyDescent="0.35">
      <c r="B210" s="169">
        <v>46218</v>
      </c>
    </row>
    <row r="211" spans="2:2" x14ac:dyDescent="0.35">
      <c r="B211" s="169">
        <v>46219</v>
      </c>
    </row>
    <row r="212" spans="2:2" x14ac:dyDescent="0.35">
      <c r="B212" s="169">
        <v>46220</v>
      </c>
    </row>
    <row r="213" spans="2:2" x14ac:dyDescent="0.35">
      <c r="B213" s="169">
        <v>46221</v>
      </c>
    </row>
    <row r="214" spans="2:2" x14ac:dyDescent="0.35">
      <c r="B214" s="169">
        <v>46222</v>
      </c>
    </row>
    <row r="215" spans="2:2" x14ac:dyDescent="0.35">
      <c r="B215" s="169">
        <v>46223</v>
      </c>
    </row>
    <row r="216" spans="2:2" x14ac:dyDescent="0.35">
      <c r="B216" s="169">
        <v>46224</v>
      </c>
    </row>
    <row r="217" spans="2:2" x14ac:dyDescent="0.35">
      <c r="B217" s="169">
        <v>46225</v>
      </c>
    </row>
    <row r="218" spans="2:2" x14ac:dyDescent="0.35">
      <c r="B218" s="169">
        <v>46226</v>
      </c>
    </row>
    <row r="219" spans="2:2" x14ac:dyDescent="0.35">
      <c r="B219" s="169">
        <v>46227</v>
      </c>
    </row>
    <row r="220" spans="2:2" x14ac:dyDescent="0.35">
      <c r="B220" s="169">
        <v>46228</v>
      </c>
    </row>
    <row r="221" spans="2:2" x14ac:dyDescent="0.35">
      <c r="B221" s="169">
        <v>46229</v>
      </c>
    </row>
    <row r="222" spans="2:2" x14ac:dyDescent="0.35">
      <c r="B222" s="169">
        <v>46230</v>
      </c>
    </row>
    <row r="223" spans="2:2" x14ac:dyDescent="0.35">
      <c r="B223" s="169">
        <v>46231</v>
      </c>
    </row>
    <row r="224" spans="2:2" x14ac:dyDescent="0.35">
      <c r="B224" s="169">
        <v>46232</v>
      </c>
    </row>
    <row r="225" spans="2:2" x14ac:dyDescent="0.35">
      <c r="B225" s="169">
        <v>46233</v>
      </c>
    </row>
    <row r="226" spans="2:2" x14ac:dyDescent="0.35">
      <c r="B226" s="169">
        <v>46234</v>
      </c>
    </row>
    <row r="227" spans="2:2" x14ac:dyDescent="0.35">
      <c r="B227" s="169">
        <v>46235</v>
      </c>
    </row>
    <row r="228" spans="2:2" x14ac:dyDescent="0.35">
      <c r="B228" s="169">
        <v>46236</v>
      </c>
    </row>
    <row r="229" spans="2:2" x14ac:dyDescent="0.35">
      <c r="B229" s="169">
        <v>46237</v>
      </c>
    </row>
    <row r="230" spans="2:2" x14ac:dyDescent="0.35">
      <c r="B230" s="169">
        <v>46238</v>
      </c>
    </row>
    <row r="231" spans="2:2" x14ac:dyDescent="0.35">
      <c r="B231" s="169">
        <v>46239</v>
      </c>
    </row>
    <row r="232" spans="2:2" x14ac:dyDescent="0.35">
      <c r="B232" s="169">
        <v>46240</v>
      </c>
    </row>
    <row r="233" spans="2:2" x14ac:dyDescent="0.35">
      <c r="B233" s="169">
        <v>46241</v>
      </c>
    </row>
    <row r="234" spans="2:2" x14ac:dyDescent="0.35">
      <c r="B234" s="169">
        <v>46242</v>
      </c>
    </row>
    <row r="235" spans="2:2" x14ac:dyDescent="0.35">
      <c r="B235" s="169">
        <v>46243</v>
      </c>
    </row>
    <row r="236" spans="2:2" x14ac:dyDescent="0.35">
      <c r="B236" s="169">
        <v>46244</v>
      </c>
    </row>
    <row r="237" spans="2:2" x14ac:dyDescent="0.35">
      <c r="B237" s="169">
        <v>46245</v>
      </c>
    </row>
    <row r="238" spans="2:2" x14ac:dyDescent="0.35">
      <c r="B238" s="169">
        <v>46246</v>
      </c>
    </row>
    <row r="239" spans="2:2" x14ac:dyDescent="0.35">
      <c r="B239" s="169">
        <v>46247</v>
      </c>
    </row>
    <row r="240" spans="2:2" x14ac:dyDescent="0.35">
      <c r="B240" s="169">
        <v>46248</v>
      </c>
    </row>
    <row r="241" spans="2:2" x14ac:dyDescent="0.35">
      <c r="B241" s="169">
        <v>46249</v>
      </c>
    </row>
    <row r="242" spans="2:2" x14ac:dyDescent="0.35">
      <c r="B242" s="169">
        <v>46250</v>
      </c>
    </row>
    <row r="243" spans="2:2" x14ac:dyDescent="0.35">
      <c r="B243" s="169">
        <v>46251</v>
      </c>
    </row>
    <row r="244" spans="2:2" x14ac:dyDescent="0.35">
      <c r="B244" s="169">
        <v>46252</v>
      </c>
    </row>
    <row r="245" spans="2:2" x14ac:dyDescent="0.35">
      <c r="B245" s="169">
        <v>46253</v>
      </c>
    </row>
    <row r="246" spans="2:2" x14ac:dyDescent="0.35">
      <c r="B246" s="169">
        <v>46254</v>
      </c>
    </row>
    <row r="247" spans="2:2" x14ac:dyDescent="0.35">
      <c r="B247" s="169">
        <v>46255</v>
      </c>
    </row>
    <row r="248" spans="2:2" x14ac:dyDescent="0.35">
      <c r="B248" s="169">
        <v>46256</v>
      </c>
    </row>
    <row r="249" spans="2:2" x14ac:dyDescent="0.35">
      <c r="B249" s="169">
        <v>46257</v>
      </c>
    </row>
    <row r="250" spans="2:2" x14ac:dyDescent="0.35">
      <c r="B250" s="169">
        <v>46258</v>
      </c>
    </row>
    <row r="251" spans="2:2" x14ac:dyDescent="0.35">
      <c r="B251" s="169">
        <v>46259</v>
      </c>
    </row>
    <row r="252" spans="2:2" x14ac:dyDescent="0.35">
      <c r="B252" s="169">
        <v>46260</v>
      </c>
    </row>
    <row r="253" spans="2:2" x14ac:dyDescent="0.35">
      <c r="B253" s="169">
        <v>46261</v>
      </c>
    </row>
    <row r="254" spans="2:2" x14ac:dyDescent="0.35">
      <c r="B254" s="169">
        <v>46262</v>
      </c>
    </row>
    <row r="255" spans="2:2" x14ac:dyDescent="0.35">
      <c r="B255" s="169">
        <v>46263</v>
      </c>
    </row>
    <row r="256" spans="2:2" x14ac:dyDescent="0.35">
      <c r="B256" s="169">
        <v>46264</v>
      </c>
    </row>
    <row r="257" spans="2:2" x14ac:dyDescent="0.35">
      <c r="B257" s="169">
        <v>46265</v>
      </c>
    </row>
    <row r="258" spans="2:2" x14ac:dyDescent="0.35">
      <c r="B258" s="169">
        <v>46266</v>
      </c>
    </row>
    <row r="259" spans="2:2" x14ac:dyDescent="0.35">
      <c r="B259" s="169">
        <v>46267</v>
      </c>
    </row>
    <row r="260" spans="2:2" x14ac:dyDescent="0.35">
      <c r="B260" s="169">
        <v>46268</v>
      </c>
    </row>
    <row r="261" spans="2:2" x14ac:dyDescent="0.35">
      <c r="B261" s="169">
        <v>46269</v>
      </c>
    </row>
    <row r="262" spans="2:2" x14ac:dyDescent="0.35">
      <c r="B262" s="169">
        <v>46270</v>
      </c>
    </row>
    <row r="263" spans="2:2" x14ac:dyDescent="0.35">
      <c r="B263" s="169">
        <v>46271</v>
      </c>
    </row>
    <row r="264" spans="2:2" x14ac:dyDescent="0.35">
      <c r="B264" s="169">
        <v>46272</v>
      </c>
    </row>
    <row r="265" spans="2:2" x14ac:dyDescent="0.35">
      <c r="B265" s="169">
        <v>46273</v>
      </c>
    </row>
    <row r="266" spans="2:2" x14ac:dyDescent="0.35">
      <c r="B266" s="169">
        <v>46274</v>
      </c>
    </row>
    <row r="267" spans="2:2" x14ac:dyDescent="0.35">
      <c r="B267" s="169">
        <v>46275</v>
      </c>
    </row>
    <row r="268" spans="2:2" x14ac:dyDescent="0.35">
      <c r="B268" s="169">
        <v>46276</v>
      </c>
    </row>
    <row r="269" spans="2:2" x14ac:dyDescent="0.35">
      <c r="B269" s="169">
        <v>46277</v>
      </c>
    </row>
    <row r="270" spans="2:2" x14ac:dyDescent="0.35">
      <c r="B270" s="169">
        <v>46278</v>
      </c>
    </row>
    <row r="271" spans="2:2" x14ac:dyDescent="0.35">
      <c r="B271" s="169">
        <v>46279</v>
      </c>
    </row>
    <row r="272" spans="2:2" x14ac:dyDescent="0.35">
      <c r="B272" s="169">
        <v>46280</v>
      </c>
    </row>
    <row r="273" spans="2:2" x14ac:dyDescent="0.35">
      <c r="B273" s="169">
        <v>46281</v>
      </c>
    </row>
    <row r="274" spans="2:2" x14ac:dyDescent="0.35">
      <c r="B274" s="169">
        <v>46282</v>
      </c>
    </row>
    <row r="275" spans="2:2" x14ac:dyDescent="0.35">
      <c r="B275" s="169">
        <v>46283</v>
      </c>
    </row>
    <row r="276" spans="2:2" x14ac:dyDescent="0.35">
      <c r="B276" s="169">
        <v>46284</v>
      </c>
    </row>
    <row r="277" spans="2:2" x14ac:dyDescent="0.35">
      <c r="B277" s="169">
        <v>46285</v>
      </c>
    </row>
    <row r="278" spans="2:2" x14ac:dyDescent="0.35">
      <c r="B278" s="169">
        <v>46286</v>
      </c>
    </row>
    <row r="279" spans="2:2" x14ac:dyDescent="0.35">
      <c r="B279" s="169">
        <v>46287</v>
      </c>
    </row>
    <row r="280" spans="2:2" x14ac:dyDescent="0.35">
      <c r="B280" s="169">
        <v>46288</v>
      </c>
    </row>
    <row r="281" spans="2:2" x14ac:dyDescent="0.35">
      <c r="B281" s="169">
        <v>46289</v>
      </c>
    </row>
    <row r="282" spans="2:2" x14ac:dyDescent="0.35">
      <c r="B282" s="169">
        <v>46290</v>
      </c>
    </row>
    <row r="283" spans="2:2" x14ac:dyDescent="0.35">
      <c r="B283" s="169">
        <v>46291</v>
      </c>
    </row>
    <row r="284" spans="2:2" x14ac:dyDescent="0.35">
      <c r="B284" s="169">
        <v>46292</v>
      </c>
    </row>
    <row r="285" spans="2:2" x14ac:dyDescent="0.35">
      <c r="B285" s="169">
        <v>46293</v>
      </c>
    </row>
    <row r="286" spans="2:2" x14ac:dyDescent="0.35">
      <c r="B286" s="169">
        <v>46294</v>
      </c>
    </row>
    <row r="287" spans="2:2" x14ac:dyDescent="0.35">
      <c r="B287" s="169">
        <v>46295</v>
      </c>
    </row>
    <row r="288" spans="2:2" x14ac:dyDescent="0.35">
      <c r="B288" s="169">
        <v>46296</v>
      </c>
    </row>
    <row r="289" spans="2:2" x14ac:dyDescent="0.35">
      <c r="B289" s="169">
        <v>46297</v>
      </c>
    </row>
    <row r="290" spans="2:2" x14ac:dyDescent="0.35">
      <c r="B290" s="169">
        <v>46298</v>
      </c>
    </row>
    <row r="291" spans="2:2" x14ac:dyDescent="0.35">
      <c r="B291" s="169">
        <v>46299</v>
      </c>
    </row>
    <row r="292" spans="2:2" x14ac:dyDescent="0.35">
      <c r="B292" s="169">
        <v>46300</v>
      </c>
    </row>
    <row r="293" spans="2:2" x14ac:dyDescent="0.35">
      <c r="B293" s="169">
        <v>46301</v>
      </c>
    </row>
    <row r="294" spans="2:2" x14ac:dyDescent="0.35">
      <c r="B294" s="169">
        <v>46302</v>
      </c>
    </row>
    <row r="295" spans="2:2" x14ac:dyDescent="0.35">
      <c r="B295" s="169">
        <v>46303</v>
      </c>
    </row>
    <row r="296" spans="2:2" x14ac:dyDescent="0.35">
      <c r="B296" s="169">
        <v>46304</v>
      </c>
    </row>
    <row r="297" spans="2:2" x14ac:dyDescent="0.35">
      <c r="B297" s="169">
        <v>46305</v>
      </c>
    </row>
    <row r="298" spans="2:2" x14ac:dyDescent="0.35">
      <c r="B298" s="169">
        <v>46306</v>
      </c>
    </row>
    <row r="299" spans="2:2" x14ac:dyDescent="0.35">
      <c r="B299" s="169">
        <v>46307</v>
      </c>
    </row>
    <row r="300" spans="2:2" x14ac:dyDescent="0.35">
      <c r="B300" s="169">
        <v>46308</v>
      </c>
    </row>
    <row r="301" spans="2:2" x14ac:dyDescent="0.35">
      <c r="B301" s="169">
        <v>46309</v>
      </c>
    </row>
    <row r="302" spans="2:2" x14ac:dyDescent="0.35">
      <c r="B302" s="169">
        <v>46310</v>
      </c>
    </row>
    <row r="303" spans="2:2" x14ac:dyDescent="0.35">
      <c r="B303" s="169">
        <v>46311</v>
      </c>
    </row>
    <row r="304" spans="2:2" x14ac:dyDescent="0.35">
      <c r="B304" s="169">
        <v>46312</v>
      </c>
    </row>
    <row r="305" spans="2:2" x14ac:dyDescent="0.35">
      <c r="B305" s="169">
        <v>46313</v>
      </c>
    </row>
    <row r="306" spans="2:2" x14ac:dyDescent="0.35">
      <c r="B306" s="169">
        <v>46314</v>
      </c>
    </row>
    <row r="307" spans="2:2" x14ac:dyDescent="0.35">
      <c r="B307" s="169">
        <v>46315</v>
      </c>
    </row>
    <row r="308" spans="2:2" x14ac:dyDescent="0.35">
      <c r="B308" s="169">
        <v>46316</v>
      </c>
    </row>
    <row r="309" spans="2:2" x14ac:dyDescent="0.35">
      <c r="B309" s="169">
        <v>46317</v>
      </c>
    </row>
    <row r="310" spans="2:2" x14ac:dyDescent="0.35">
      <c r="B310" s="169">
        <v>46318</v>
      </c>
    </row>
    <row r="311" spans="2:2" x14ac:dyDescent="0.35">
      <c r="B311" s="169">
        <v>46319</v>
      </c>
    </row>
    <row r="312" spans="2:2" x14ac:dyDescent="0.35">
      <c r="B312" s="169">
        <v>46320</v>
      </c>
    </row>
    <row r="313" spans="2:2" x14ac:dyDescent="0.35">
      <c r="B313" s="169">
        <v>46321</v>
      </c>
    </row>
    <row r="314" spans="2:2" x14ac:dyDescent="0.35">
      <c r="B314" s="169">
        <v>46322</v>
      </c>
    </row>
    <row r="315" spans="2:2" x14ac:dyDescent="0.35">
      <c r="B315" s="169">
        <v>46323</v>
      </c>
    </row>
    <row r="316" spans="2:2" x14ac:dyDescent="0.35">
      <c r="B316" s="169">
        <v>46324</v>
      </c>
    </row>
    <row r="317" spans="2:2" x14ac:dyDescent="0.35">
      <c r="B317" s="169">
        <v>46325</v>
      </c>
    </row>
    <row r="318" spans="2:2" x14ac:dyDescent="0.35">
      <c r="B318" s="169">
        <v>46326</v>
      </c>
    </row>
    <row r="319" spans="2:2" x14ac:dyDescent="0.35">
      <c r="B319" s="169">
        <v>46327</v>
      </c>
    </row>
    <row r="320" spans="2:2" x14ac:dyDescent="0.35">
      <c r="B320" s="169">
        <v>46328</v>
      </c>
    </row>
    <row r="321" spans="2:2" x14ac:dyDescent="0.35">
      <c r="B321" s="169">
        <v>46329</v>
      </c>
    </row>
    <row r="322" spans="2:2" x14ac:dyDescent="0.35">
      <c r="B322" s="169">
        <v>46330</v>
      </c>
    </row>
    <row r="323" spans="2:2" x14ac:dyDescent="0.35">
      <c r="B323" s="169">
        <v>46331</v>
      </c>
    </row>
    <row r="324" spans="2:2" x14ac:dyDescent="0.35">
      <c r="B324" s="169">
        <v>46332</v>
      </c>
    </row>
    <row r="325" spans="2:2" x14ac:dyDescent="0.35">
      <c r="B325" s="169">
        <v>46333</v>
      </c>
    </row>
    <row r="326" spans="2:2" x14ac:dyDescent="0.35">
      <c r="B326" s="169">
        <v>46334</v>
      </c>
    </row>
    <row r="327" spans="2:2" x14ac:dyDescent="0.35">
      <c r="B327" s="169">
        <v>46335</v>
      </c>
    </row>
    <row r="328" spans="2:2" x14ac:dyDescent="0.35">
      <c r="B328" s="169">
        <v>46336</v>
      </c>
    </row>
    <row r="329" spans="2:2" x14ac:dyDescent="0.35">
      <c r="B329" s="169">
        <v>46337</v>
      </c>
    </row>
    <row r="330" spans="2:2" x14ac:dyDescent="0.35">
      <c r="B330" s="169">
        <v>46338</v>
      </c>
    </row>
    <row r="331" spans="2:2" x14ac:dyDescent="0.35">
      <c r="B331" s="169">
        <v>46339</v>
      </c>
    </row>
    <row r="332" spans="2:2" x14ac:dyDescent="0.35">
      <c r="B332" s="169">
        <v>46340</v>
      </c>
    </row>
    <row r="333" spans="2:2" x14ac:dyDescent="0.35">
      <c r="B333" s="169">
        <v>46341</v>
      </c>
    </row>
    <row r="334" spans="2:2" x14ac:dyDescent="0.35">
      <c r="B334" s="169">
        <v>46342</v>
      </c>
    </row>
    <row r="335" spans="2:2" x14ac:dyDescent="0.35">
      <c r="B335" s="169">
        <v>46343</v>
      </c>
    </row>
    <row r="336" spans="2:2" x14ac:dyDescent="0.35">
      <c r="B336" s="169">
        <v>46344</v>
      </c>
    </row>
    <row r="337" spans="2:2" x14ac:dyDescent="0.35">
      <c r="B337" s="169">
        <v>46345</v>
      </c>
    </row>
    <row r="338" spans="2:2" x14ac:dyDescent="0.35">
      <c r="B338" s="169">
        <v>46346</v>
      </c>
    </row>
    <row r="339" spans="2:2" x14ac:dyDescent="0.35">
      <c r="B339" s="169">
        <v>46347</v>
      </c>
    </row>
    <row r="340" spans="2:2" x14ac:dyDescent="0.35">
      <c r="B340" s="169">
        <v>46348</v>
      </c>
    </row>
    <row r="341" spans="2:2" x14ac:dyDescent="0.35">
      <c r="B341" s="169">
        <v>46349</v>
      </c>
    </row>
    <row r="342" spans="2:2" x14ac:dyDescent="0.35">
      <c r="B342" s="169">
        <v>46350</v>
      </c>
    </row>
    <row r="343" spans="2:2" x14ac:dyDescent="0.35">
      <c r="B343" s="169">
        <v>46351</v>
      </c>
    </row>
    <row r="344" spans="2:2" x14ac:dyDescent="0.35">
      <c r="B344" s="169">
        <v>46352</v>
      </c>
    </row>
    <row r="345" spans="2:2" x14ac:dyDescent="0.35">
      <c r="B345" s="169">
        <v>46353</v>
      </c>
    </row>
    <row r="346" spans="2:2" x14ac:dyDescent="0.35">
      <c r="B346" s="169">
        <v>46354</v>
      </c>
    </row>
    <row r="347" spans="2:2" x14ac:dyDescent="0.35">
      <c r="B347" s="169">
        <v>46355</v>
      </c>
    </row>
    <row r="348" spans="2:2" x14ac:dyDescent="0.35">
      <c r="B348" s="169">
        <v>46356</v>
      </c>
    </row>
    <row r="349" spans="2:2" x14ac:dyDescent="0.35">
      <c r="B349" s="169">
        <v>46357</v>
      </c>
    </row>
    <row r="350" spans="2:2" x14ac:dyDescent="0.35">
      <c r="B350" s="169">
        <v>46358</v>
      </c>
    </row>
    <row r="351" spans="2:2" x14ac:dyDescent="0.35">
      <c r="B351" s="169">
        <v>46359</v>
      </c>
    </row>
    <row r="352" spans="2:2" x14ac:dyDescent="0.35">
      <c r="B352" s="169">
        <v>46360</v>
      </c>
    </row>
    <row r="353" spans="2:2" x14ac:dyDescent="0.35">
      <c r="B353" s="169">
        <v>46361</v>
      </c>
    </row>
    <row r="354" spans="2:2" x14ac:dyDescent="0.35">
      <c r="B354" s="169">
        <v>46362</v>
      </c>
    </row>
    <row r="355" spans="2:2" x14ac:dyDescent="0.35">
      <c r="B355" s="169">
        <v>46363</v>
      </c>
    </row>
    <row r="356" spans="2:2" x14ac:dyDescent="0.35">
      <c r="B356" s="169">
        <v>46364</v>
      </c>
    </row>
    <row r="357" spans="2:2" x14ac:dyDescent="0.35">
      <c r="B357" s="169">
        <v>46365</v>
      </c>
    </row>
    <row r="358" spans="2:2" x14ac:dyDescent="0.35">
      <c r="B358" s="169">
        <v>46366</v>
      </c>
    </row>
    <row r="359" spans="2:2" x14ac:dyDescent="0.35">
      <c r="B359" s="169">
        <v>46367</v>
      </c>
    </row>
    <row r="360" spans="2:2" x14ac:dyDescent="0.35">
      <c r="B360" s="169">
        <v>46368</v>
      </c>
    </row>
    <row r="361" spans="2:2" x14ac:dyDescent="0.35">
      <c r="B361" s="169">
        <v>46369</v>
      </c>
    </row>
    <row r="362" spans="2:2" x14ac:dyDescent="0.35">
      <c r="B362" s="169">
        <v>46370</v>
      </c>
    </row>
    <row r="363" spans="2:2" x14ac:dyDescent="0.35">
      <c r="B363" s="169">
        <v>46371</v>
      </c>
    </row>
    <row r="364" spans="2:2" x14ac:dyDescent="0.35">
      <c r="B364" s="169">
        <v>46372</v>
      </c>
    </row>
    <row r="365" spans="2:2" x14ac:dyDescent="0.35">
      <c r="B365" s="169">
        <v>46373</v>
      </c>
    </row>
    <row r="366" spans="2:2" x14ac:dyDescent="0.35">
      <c r="B366" s="169">
        <v>46374</v>
      </c>
    </row>
    <row r="367" spans="2:2" x14ac:dyDescent="0.35">
      <c r="B367" s="169">
        <v>46375</v>
      </c>
    </row>
    <row r="368" spans="2:2" x14ac:dyDescent="0.35">
      <c r="B368" s="169">
        <v>46376</v>
      </c>
    </row>
    <row r="369" spans="2:2" x14ac:dyDescent="0.35">
      <c r="B369" s="169">
        <v>46377</v>
      </c>
    </row>
    <row r="370" spans="2:2" x14ac:dyDescent="0.35">
      <c r="B370" s="169">
        <v>46378</v>
      </c>
    </row>
    <row r="371" spans="2:2" x14ac:dyDescent="0.35">
      <c r="B371" s="169">
        <v>46379</v>
      </c>
    </row>
    <row r="372" spans="2:2" x14ac:dyDescent="0.35">
      <c r="B372" s="169">
        <v>46380</v>
      </c>
    </row>
    <row r="373" spans="2:2" x14ac:dyDescent="0.35">
      <c r="B373" s="169">
        <v>46381</v>
      </c>
    </row>
    <row r="374" spans="2:2" x14ac:dyDescent="0.35">
      <c r="B374" s="169">
        <v>46382</v>
      </c>
    </row>
    <row r="375" spans="2:2" x14ac:dyDescent="0.35">
      <c r="B375" s="169">
        <v>46383</v>
      </c>
    </row>
    <row r="376" spans="2:2" x14ac:dyDescent="0.35">
      <c r="B376" s="169">
        <v>46384</v>
      </c>
    </row>
    <row r="377" spans="2:2" x14ac:dyDescent="0.35">
      <c r="B377" s="169">
        <v>46385</v>
      </c>
    </row>
    <row r="378" spans="2:2" x14ac:dyDescent="0.35">
      <c r="B378" s="169">
        <v>46386</v>
      </c>
    </row>
    <row r="379" spans="2:2" x14ac:dyDescent="0.35">
      <c r="B379" s="169">
        <v>46387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BCA91-5E25-4EE6-88AE-4E03C9ED854E}">
  <dimension ref="H1:R48"/>
  <sheetViews>
    <sheetView topLeftCell="F1" zoomScale="87" zoomScaleNormal="55" workbookViewId="0">
      <selection activeCell="H13" sqref="H13"/>
    </sheetView>
  </sheetViews>
  <sheetFormatPr baseColWidth="10" defaultRowHeight="14.5" x14ac:dyDescent="0.35"/>
  <cols>
    <col min="1" max="1" width="19.90625" bestFit="1" customWidth="1"/>
    <col min="4" max="4" width="19.81640625" bestFit="1" customWidth="1"/>
    <col min="6" max="6" width="19.81640625" bestFit="1" customWidth="1"/>
    <col min="8" max="8" width="61.453125" bestFit="1" customWidth="1"/>
    <col min="9" max="9" width="10.54296875" bestFit="1" customWidth="1"/>
    <col min="10" max="10" width="9.453125" bestFit="1" customWidth="1"/>
    <col min="11" max="11" width="3.6328125" customWidth="1"/>
    <col min="12" max="13" width="10.54296875" bestFit="1" customWidth="1"/>
    <col min="14" max="14" width="9.453125" bestFit="1" customWidth="1"/>
    <col min="15" max="15" width="80.08984375" bestFit="1" customWidth="1"/>
    <col min="16" max="17" width="10.54296875" bestFit="1" customWidth="1"/>
    <col min="18" max="18" width="9.453125" bestFit="1" customWidth="1"/>
  </cols>
  <sheetData>
    <row r="1" spans="8:18" ht="16" x14ac:dyDescent="0.4">
      <c r="H1" s="34" t="s">
        <v>4480</v>
      </c>
    </row>
    <row r="2" spans="8:18" x14ac:dyDescent="0.35">
      <c r="H2" s="53" t="s">
        <v>4481</v>
      </c>
    </row>
    <row r="3" spans="8:18" x14ac:dyDescent="0.35">
      <c r="H3" t="s">
        <v>4482</v>
      </c>
      <c r="I3" s="16" t="str">
        <f>GRAFICO!B4&amp;" | "&amp;GRAFICO!D4</f>
        <v>TODOS | STAFF</v>
      </c>
    </row>
    <row r="5" spans="8:18" x14ac:dyDescent="0.35">
      <c r="H5" s="230" t="s">
        <v>4483</v>
      </c>
      <c r="I5" s="231"/>
      <c r="J5" s="231"/>
      <c r="L5" s="232" t="s">
        <v>4484</v>
      </c>
      <c r="M5" s="231"/>
      <c r="O5" s="233" t="s">
        <v>4485</v>
      </c>
      <c r="P5" s="231"/>
      <c r="Q5" s="231"/>
    </row>
    <row r="6" spans="8:18" x14ac:dyDescent="0.35">
      <c r="H6" s="35" t="s">
        <v>21</v>
      </c>
      <c r="I6" s="35" t="s">
        <v>4460</v>
      </c>
      <c r="J6" s="35" t="s">
        <v>4479</v>
      </c>
      <c r="L6" s="54" t="s">
        <v>4234</v>
      </c>
      <c r="M6" s="54" t="s">
        <v>4460</v>
      </c>
      <c r="N6" s="54" t="s">
        <v>4479</v>
      </c>
      <c r="O6" s="55" t="s">
        <v>4236</v>
      </c>
      <c r="P6" s="55" t="s">
        <v>4234</v>
      </c>
      <c r="Q6" s="55" t="s">
        <v>4460</v>
      </c>
      <c r="R6" s="55" t="s">
        <v>4479</v>
      </c>
    </row>
    <row r="7" spans="8:18" x14ac:dyDescent="0.35">
      <c r="H7" t="str" cm="1">
        <f t="array" ref="H7:H48">_xlfn._xlws.SORT(_xlfn.UNIQUE(_xlfn.VSTACK('BD SECOS'!Q2:Q455,'BD PPA'!U2:U386,'BD FRESCOS'!U2:U236)))</f>
        <v>Ate</v>
      </c>
      <c r="I7" cm="1">
        <f t="array" ref="I7:I48">_xlfn.MAP(_xlfn.ANCHORARRAY(H7),_xlfn.LAMBDA(_xlpm.d,IF(GRAFICO!$D$4="TODOS",IF(GRAFICO!$B$4="TODOS",COUNTIF('BD SECOS'!Q:Q,_xlpm.d)+COUNTIF('BD PPA'!U:U,_xlpm.d)+COUNTIF('BD FRESCOS'!U:U,_xlpm.d),IF(GRAFICO!$B$4="SECOS",COUNTIF('BD SECOS'!Q:Q,_xlpm.d),IF(GRAFICO!$B$4="PPA",COUNTIF('BD PPA'!U:U,_xlpm.d),COUNTIF('BD FRESCOS'!U:U,_xlpm.d)))),IF(GRAFICO!$B$4="TODOS",COUNTIFS('BD SECOS'!Q:Q,_xlpm.d,'BD SECOS'!AE:AE,GRAFICO!$D$4)+COUNTIFS('BD PPA'!U:U,_xlpm.d,'BD PPA'!AK:AK,GRAFICO!$D$4)+COUNTIFS('BD FRESCOS'!U:U,_xlpm.d,'BD FRESCOS'!AK:AK,GRAFICO!$D$4),IF(GRAFICO!$B$4="SECOS",COUNTIFS('BD SECOS'!Q:Q,_xlpm.d,'BD SECOS'!AE:AE,GRAFICO!$D$4),IF(GRAFICO!$B$4="PPA",COUNTIFS('BD PPA'!U:U,_xlpm.d,'BD PPA'!AK:AK,GRAFICO!$D$4),COUNTIFS('BD FRESCOS'!U:U,_xlpm.d,'BD FRESCOS'!AK:AK,GRAFICO!$D$4)))))))</f>
        <v>25</v>
      </c>
      <c r="J7" cm="1">
        <f t="array" ref="J7:J48">_xlfn.MAP(_xlfn.ANCHORARRAY(I7),_xlfn.SEQUENCE(ROWS(_xlfn.ANCHORARRAY(I7))),_xlfn.LAMBDA(_xlpm.c,_xlpm.r,IF(_xlpm.c=0,999+_xlpm.r/10000,RANK(_xlpm.c,_xlfn.ANCHORARRAY(I7),0)+_xlpm.r/100000)))</f>
        <v>1.0000100000000001</v>
      </c>
      <c r="L7" t="s">
        <v>4237</v>
      </c>
      <c r="M7">
        <f>IF(L7="",0,IF(GRAFICO!$D$4="TODOS",IF(GRAFICO!$B$4="TODOS",COUNTIF('BD SECOS'!X:X,L7)+COUNTIF('BD PPA'!AD:AD,L7)+COUNTIF('BD FRESCOS'!AD:AD,L7),IF(GRAFICO!$B$4="SECOS",COUNTIF('BD SECOS'!X:X,L7),IF(GRAFICO!$B$4="PPA",COUNTIF('BD PPA'!AD:AD,L7),COUNTIF('BD FRESCOS'!AD:AD,L7)))),IF(GRAFICO!$B$4="TODOS",COUNTIFS('BD SECOS'!X:X,L7,'BD SECOS'!AE:AE,GRAFICO!$D$4)+COUNTIFS('BD PPA'!AD:AD,L7,'BD PPA'!AK:AK,GRAFICO!$D$4)+COUNTIFS('BD FRESCOS'!AD:AD,L7,'BD FRESCOS'!AK:AK,GRAFICO!$D$4),IF(GRAFICO!$B$4="SECOS",COUNTIFS('BD SECOS'!X:X,L7,'BD SECOS'!AE:AE,GRAFICO!$D$4),IF(GRAFICO!$B$4="PPA",COUNTIFS('BD PPA'!AD:AD,L7,'BD PPA'!AK:AK,GRAFICO!$D$4),COUNTIFS('BD FRESCOS'!AD:AD,L7,'BD FRESCOS'!AK:AK,GRAFICO!$D$4))))))</f>
        <v>4</v>
      </c>
      <c r="N7">
        <f t="shared" ref="N7:N20" si="0">IF(M7=0,999,RANK(M7,$M$7:$M$20,0))</f>
        <v>13</v>
      </c>
      <c r="O7" t="s">
        <v>4239</v>
      </c>
      <c r="P7" t="s">
        <v>4237</v>
      </c>
      <c r="Q7">
        <f>IF(O7="",0,IF(GRAFICO!$D$4="TODOS",IF(GRAFICO!$B$4="TODOS",COUNTIF('BD SECOS'!W:W,O7)+COUNTIF('BD PPA'!AC:AC,O7)+COUNTIF('BD FRESCOS'!AC:AC,O7),IF(GRAFICO!$B$4="SECOS",COUNTIF('BD SECOS'!W:W,O7),IF(GRAFICO!$B$4="PPA",COUNTIF('BD PPA'!AC:AC,O7),COUNTIF('BD FRESCOS'!AC:AC,O7)))),IF(GRAFICO!$B$4="TODOS",COUNTIFS('BD SECOS'!W:W,O7,'BD SECOS'!AE:AE,GRAFICO!$D$4)+COUNTIFS('BD PPA'!AC:AC,O7,'BD PPA'!AK:AK,GRAFICO!$D$4)+COUNTIFS('BD FRESCOS'!AC:AC,O7,'BD FRESCOS'!AK:AK,GRAFICO!$D$4),IF(GRAFICO!$B$4="SECOS",COUNTIFS('BD SECOS'!W:W,O7,'BD SECOS'!AE:AE,GRAFICO!$D$4),IF(GRAFICO!$B$4="PPA",COUNTIFS('BD PPA'!AC:AC,O7,'BD PPA'!AK:AK,GRAFICO!$D$4),COUNTIFS('BD FRESCOS'!AC:AC,O7,'BD FRESCOS'!AK:AK,GRAFICO!$D$4))))))</f>
        <v>1</v>
      </c>
      <c r="R7">
        <f t="shared" ref="R7:R46" si="1">IF(Q7=0,999,RANK(Q7,$Q$7:$Q$46,0))</f>
        <v>23</v>
      </c>
    </row>
    <row r="8" spans="8:18" x14ac:dyDescent="0.35">
      <c r="H8" t="str">
        <v>Ate Vitarte</v>
      </c>
      <c r="I8">
        <v>0</v>
      </c>
      <c r="J8">
        <v>999.00019999999995</v>
      </c>
      <c r="L8" t="s">
        <v>4246</v>
      </c>
      <c r="M8">
        <f>IF(L8="",0,IF(GRAFICO!$D$4="TODOS",IF(GRAFICO!$B$4="TODOS",COUNTIF('BD SECOS'!X:X,L8)+COUNTIF('BD PPA'!AD:AD,L8)+COUNTIF('BD FRESCOS'!AD:AD,L8),IF(GRAFICO!$B$4="SECOS",COUNTIF('BD SECOS'!X:X,L8),IF(GRAFICO!$B$4="PPA",COUNTIF('BD PPA'!AD:AD,L8),COUNTIF('BD FRESCOS'!AD:AD,L8)))),IF(GRAFICO!$B$4="TODOS",COUNTIFS('BD SECOS'!X:X,L8,'BD SECOS'!AE:AE,GRAFICO!$D$4)+COUNTIFS('BD PPA'!AD:AD,L8,'BD PPA'!AK:AK,GRAFICO!$D$4)+COUNTIFS('BD FRESCOS'!AD:AD,L8,'BD FRESCOS'!AK:AK,GRAFICO!$D$4),IF(GRAFICO!$B$4="SECOS",COUNTIFS('BD SECOS'!X:X,L8,'BD SECOS'!AE:AE,GRAFICO!$D$4),IF(GRAFICO!$B$4="PPA",COUNTIFS('BD PPA'!AD:AD,L8,'BD PPA'!AK:AK,GRAFICO!$D$4),COUNTIFS('BD FRESCOS'!AD:AD,L8,'BD FRESCOS'!AK:AK,GRAFICO!$D$4))))))</f>
        <v>8</v>
      </c>
      <c r="N8">
        <f t="shared" si="0"/>
        <v>9</v>
      </c>
      <c r="O8" t="s">
        <v>4241</v>
      </c>
      <c r="P8" t="s">
        <v>4237</v>
      </c>
      <c r="Q8">
        <f>IF(O8="",0,IF(GRAFICO!$D$4="TODOS",IF(GRAFICO!$B$4="TODOS",COUNTIF('BD SECOS'!W:W,O8)+COUNTIF('BD PPA'!AC:AC,O8)+COUNTIF('BD FRESCOS'!AC:AC,O8),IF(GRAFICO!$B$4="SECOS",COUNTIF('BD SECOS'!W:W,O8),IF(GRAFICO!$B$4="PPA",COUNTIF('BD PPA'!AC:AC,O8),COUNTIF('BD FRESCOS'!AC:AC,O8)))),IF(GRAFICO!$B$4="TODOS",COUNTIFS('BD SECOS'!W:W,O8,'BD SECOS'!AE:AE,GRAFICO!$D$4)+COUNTIFS('BD PPA'!AC:AC,O8,'BD PPA'!AK:AK,GRAFICO!$D$4)+COUNTIFS('BD FRESCOS'!AC:AC,O8,'BD FRESCOS'!AK:AK,GRAFICO!$D$4),IF(GRAFICO!$B$4="SECOS",COUNTIFS('BD SECOS'!W:W,O8,'BD SECOS'!AE:AE,GRAFICO!$D$4),IF(GRAFICO!$B$4="PPA",COUNTIFS('BD PPA'!AC:AC,O8,'BD PPA'!AK:AK,GRAFICO!$D$4),COUNTIFS('BD FRESCOS'!AC:AC,O8,'BD FRESCOS'!AK:AK,GRAFICO!$D$4))))))</f>
        <v>0</v>
      </c>
      <c r="R8">
        <f t="shared" si="1"/>
        <v>999</v>
      </c>
    </row>
    <row r="9" spans="8:18" x14ac:dyDescent="0.35">
      <c r="H9" t="str">
        <v>Barranco</v>
      </c>
      <c r="I9">
        <v>0</v>
      </c>
      <c r="J9">
        <v>999.00030000000004</v>
      </c>
      <c r="L9" t="s">
        <v>4250</v>
      </c>
      <c r="M9">
        <f>IF(L9="",0,IF(GRAFICO!$D$4="TODOS",IF(GRAFICO!$B$4="TODOS",COUNTIF('BD SECOS'!X:X,L9)+COUNTIF('BD PPA'!AD:AD,L9)+COUNTIF('BD FRESCOS'!AD:AD,L9),IF(GRAFICO!$B$4="SECOS",COUNTIF('BD SECOS'!X:X,L9),IF(GRAFICO!$B$4="PPA",COUNTIF('BD PPA'!AD:AD,L9),COUNTIF('BD FRESCOS'!AD:AD,L9)))),IF(GRAFICO!$B$4="TODOS",COUNTIFS('BD SECOS'!X:X,L9,'BD SECOS'!AE:AE,GRAFICO!$D$4)+COUNTIFS('BD PPA'!AD:AD,L9,'BD PPA'!AK:AK,GRAFICO!$D$4)+COUNTIFS('BD FRESCOS'!AD:AD,L9,'BD FRESCOS'!AK:AK,GRAFICO!$D$4),IF(GRAFICO!$B$4="SECOS",COUNTIFS('BD SECOS'!X:X,L9,'BD SECOS'!AE:AE,GRAFICO!$D$4),IF(GRAFICO!$B$4="PPA",COUNTIFS('BD PPA'!AD:AD,L9,'BD PPA'!AK:AK,GRAFICO!$D$4),COUNTIFS('BD FRESCOS'!AD:AD,L9,'BD FRESCOS'!AK:AK,GRAFICO!$D$4))))))</f>
        <v>11</v>
      </c>
      <c r="N9">
        <f t="shared" si="0"/>
        <v>5</v>
      </c>
      <c r="O9" t="s">
        <v>4245</v>
      </c>
      <c r="P9" t="s">
        <v>4237</v>
      </c>
      <c r="Q9">
        <f>IF(O9="",0,IF(GRAFICO!$D$4="TODOS",IF(GRAFICO!$B$4="TODOS",COUNTIF('BD SECOS'!W:W,O9)+COUNTIF('BD PPA'!AC:AC,O9)+COUNTIF('BD FRESCOS'!AC:AC,O9),IF(GRAFICO!$B$4="SECOS",COUNTIF('BD SECOS'!W:W,O9),IF(GRAFICO!$B$4="PPA",COUNTIF('BD PPA'!AC:AC,O9),COUNTIF('BD FRESCOS'!AC:AC,O9)))),IF(GRAFICO!$B$4="TODOS",COUNTIFS('BD SECOS'!W:W,O9,'BD SECOS'!AE:AE,GRAFICO!$D$4)+COUNTIFS('BD PPA'!AC:AC,O9,'BD PPA'!AK:AK,GRAFICO!$D$4)+COUNTIFS('BD FRESCOS'!AC:AC,O9,'BD FRESCOS'!AK:AK,GRAFICO!$D$4),IF(GRAFICO!$B$4="SECOS",COUNTIFS('BD SECOS'!W:W,O9,'BD SECOS'!AE:AE,GRAFICO!$D$4),IF(GRAFICO!$B$4="PPA",COUNTIFS('BD PPA'!AC:AC,O9,'BD PPA'!AK:AK,GRAFICO!$D$4),COUNTIFS('BD FRESCOS'!AC:AC,O9,'BD FRESCOS'!AK:AK,GRAFICO!$D$4))))))</f>
        <v>3</v>
      </c>
      <c r="R9">
        <f t="shared" si="1"/>
        <v>14</v>
      </c>
    </row>
    <row r="10" spans="8:18" x14ac:dyDescent="0.35">
      <c r="H10" t="str">
        <v>Brena</v>
      </c>
      <c r="I10">
        <v>2</v>
      </c>
      <c r="J10">
        <v>16.000039999999998</v>
      </c>
      <c r="L10" t="s">
        <v>4261</v>
      </c>
      <c r="M10">
        <f>IF(L10="",0,IF(GRAFICO!$D$4="TODOS",IF(GRAFICO!$B$4="TODOS",COUNTIF('BD SECOS'!X:X,L10)+COUNTIF('BD PPA'!AD:AD,L10)+COUNTIF('BD FRESCOS'!AD:AD,L10),IF(GRAFICO!$B$4="SECOS",COUNTIF('BD SECOS'!X:X,L10),IF(GRAFICO!$B$4="PPA",COUNTIF('BD PPA'!AD:AD,L10),COUNTIF('BD FRESCOS'!AD:AD,L10)))),IF(GRAFICO!$B$4="TODOS",COUNTIFS('BD SECOS'!X:X,L10,'BD SECOS'!AE:AE,GRAFICO!$D$4)+COUNTIFS('BD PPA'!AD:AD,L10,'BD PPA'!AK:AK,GRAFICO!$D$4)+COUNTIFS('BD FRESCOS'!AD:AD,L10,'BD FRESCOS'!AK:AK,GRAFICO!$D$4),IF(GRAFICO!$B$4="SECOS",COUNTIFS('BD SECOS'!X:X,L10,'BD SECOS'!AE:AE,GRAFICO!$D$4),IF(GRAFICO!$B$4="PPA",COUNTIFS('BD PPA'!AD:AD,L10,'BD PPA'!AK:AK,GRAFICO!$D$4),COUNTIFS('BD FRESCOS'!AD:AD,L10,'BD FRESCOS'!AK:AK,GRAFICO!$D$4))))))</f>
        <v>18</v>
      </c>
      <c r="N10">
        <f t="shared" si="0"/>
        <v>2</v>
      </c>
      <c r="O10" t="s">
        <v>4247</v>
      </c>
      <c r="P10" t="s">
        <v>4246</v>
      </c>
      <c r="Q10">
        <f>IF(O10="",0,IF(GRAFICO!$D$4="TODOS",IF(GRAFICO!$B$4="TODOS",COUNTIF('BD SECOS'!W:W,O10)+COUNTIF('BD PPA'!AC:AC,O10)+COUNTIF('BD FRESCOS'!AC:AC,O10),IF(GRAFICO!$B$4="SECOS",COUNTIF('BD SECOS'!W:W,O10),IF(GRAFICO!$B$4="PPA",COUNTIF('BD PPA'!AC:AC,O10),COUNTIF('BD FRESCOS'!AC:AC,O10)))),IF(GRAFICO!$B$4="TODOS",COUNTIFS('BD SECOS'!W:W,O10,'BD SECOS'!AE:AE,GRAFICO!$D$4)+COUNTIFS('BD PPA'!AC:AC,O10,'BD PPA'!AK:AK,GRAFICO!$D$4)+COUNTIFS('BD FRESCOS'!AC:AC,O10,'BD FRESCOS'!AK:AK,GRAFICO!$D$4),IF(GRAFICO!$B$4="SECOS",COUNTIFS('BD SECOS'!W:W,O10,'BD SECOS'!AE:AE,GRAFICO!$D$4),IF(GRAFICO!$B$4="PPA",COUNTIFS('BD PPA'!AC:AC,O10,'BD PPA'!AK:AK,GRAFICO!$D$4),COUNTIFS('BD FRESCOS'!AC:AC,O10,'BD FRESCOS'!AK:AK,GRAFICO!$D$4))))))</f>
        <v>8</v>
      </c>
      <c r="R10">
        <f t="shared" si="1"/>
        <v>1</v>
      </c>
    </row>
    <row r="11" spans="8:18" x14ac:dyDescent="0.35">
      <c r="H11" t="str">
        <v>Callao</v>
      </c>
      <c r="I11">
        <v>6</v>
      </c>
      <c r="J11">
        <v>6.0000499999999999</v>
      </c>
      <c r="L11" t="s">
        <v>4273</v>
      </c>
      <c r="M11">
        <f>IF(L11="",0,IF(GRAFICO!$D$4="TODOS",IF(GRAFICO!$B$4="TODOS",COUNTIF('BD SECOS'!X:X,L11)+COUNTIF('BD PPA'!AD:AD,L11)+COUNTIF('BD FRESCOS'!AD:AD,L11),IF(GRAFICO!$B$4="SECOS",COUNTIF('BD SECOS'!X:X,L11),IF(GRAFICO!$B$4="PPA",COUNTIF('BD PPA'!AD:AD,L11),COUNTIF('BD FRESCOS'!AD:AD,L11)))),IF(GRAFICO!$B$4="TODOS",COUNTIFS('BD SECOS'!X:X,L11,'BD SECOS'!AE:AE,GRAFICO!$D$4)+COUNTIFS('BD PPA'!AD:AD,L11,'BD PPA'!AK:AK,GRAFICO!$D$4)+COUNTIFS('BD FRESCOS'!AD:AD,L11,'BD FRESCOS'!AK:AK,GRAFICO!$D$4),IF(GRAFICO!$B$4="SECOS",COUNTIFS('BD SECOS'!X:X,L11,'BD SECOS'!AE:AE,GRAFICO!$D$4),IF(GRAFICO!$B$4="PPA",COUNTIFS('BD PPA'!AD:AD,L11,'BD PPA'!AK:AK,GRAFICO!$D$4),COUNTIFS('BD FRESCOS'!AD:AD,L11,'BD FRESCOS'!AK:AK,GRAFICO!$D$4))))))</f>
        <v>10</v>
      </c>
      <c r="N11">
        <f t="shared" si="0"/>
        <v>8</v>
      </c>
      <c r="O11" t="s">
        <v>4249</v>
      </c>
      <c r="P11" t="s">
        <v>4246</v>
      </c>
      <c r="Q11">
        <f>IF(O11="",0,IF(GRAFICO!$D$4="TODOS",IF(GRAFICO!$B$4="TODOS",COUNTIF('BD SECOS'!W:W,O11)+COUNTIF('BD PPA'!AC:AC,O11)+COUNTIF('BD FRESCOS'!AC:AC,O11),IF(GRAFICO!$B$4="SECOS",COUNTIF('BD SECOS'!W:W,O11),IF(GRAFICO!$B$4="PPA",COUNTIF('BD PPA'!AC:AC,O11),COUNTIF('BD FRESCOS'!AC:AC,O11)))),IF(GRAFICO!$B$4="TODOS",COUNTIFS('BD SECOS'!W:W,O11,'BD SECOS'!AE:AE,GRAFICO!$D$4)+COUNTIFS('BD PPA'!AC:AC,O11,'BD PPA'!AK:AK,GRAFICO!$D$4)+COUNTIFS('BD FRESCOS'!AC:AC,O11,'BD FRESCOS'!AK:AK,GRAFICO!$D$4),IF(GRAFICO!$B$4="SECOS",COUNTIFS('BD SECOS'!W:W,O11,'BD SECOS'!AE:AE,GRAFICO!$D$4),IF(GRAFICO!$B$4="PPA",COUNTIFS('BD PPA'!AC:AC,O11,'BD PPA'!AK:AK,GRAFICO!$D$4),COUNTIFS('BD FRESCOS'!AC:AC,O11,'BD FRESCOS'!AK:AK,GRAFICO!$D$4))))))</f>
        <v>0</v>
      </c>
      <c r="R11">
        <f t="shared" si="1"/>
        <v>999</v>
      </c>
    </row>
    <row r="12" spans="8:18" x14ac:dyDescent="0.35">
      <c r="H12" t="str">
        <v>Carabayllo</v>
      </c>
      <c r="I12">
        <v>4</v>
      </c>
      <c r="J12">
        <v>8.0000599999999995</v>
      </c>
      <c r="L12" t="s">
        <v>4281</v>
      </c>
      <c r="M12">
        <f>IF(L12="",0,IF(GRAFICO!$D$4="TODOS",IF(GRAFICO!$B$4="TODOS",COUNTIF('BD SECOS'!X:X,L12)+COUNTIF('BD PPA'!AD:AD,L12)+COUNTIF('BD FRESCOS'!AD:AD,L12),IF(GRAFICO!$B$4="SECOS",COUNTIF('BD SECOS'!X:X,L12),IF(GRAFICO!$B$4="PPA",COUNTIF('BD PPA'!AD:AD,L12),COUNTIF('BD FRESCOS'!AD:AD,L12)))),IF(GRAFICO!$B$4="TODOS",COUNTIFS('BD SECOS'!X:X,L12,'BD SECOS'!AE:AE,GRAFICO!$D$4)+COUNTIFS('BD PPA'!AD:AD,L12,'BD PPA'!AK:AK,GRAFICO!$D$4)+COUNTIFS('BD FRESCOS'!AD:AD,L12,'BD FRESCOS'!AK:AK,GRAFICO!$D$4),IF(GRAFICO!$B$4="SECOS",COUNTIFS('BD SECOS'!X:X,L12,'BD SECOS'!AE:AE,GRAFICO!$D$4),IF(GRAFICO!$B$4="PPA",COUNTIFS('BD PPA'!AD:AD,L12,'BD PPA'!AK:AK,GRAFICO!$D$4),COUNTIFS('BD FRESCOS'!AD:AD,L12,'BD FRESCOS'!AK:AK,GRAFICO!$D$4))))))</f>
        <v>11</v>
      </c>
      <c r="N12">
        <f t="shared" si="0"/>
        <v>5</v>
      </c>
      <c r="O12" t="s">
        <v>4252</v>
      </c>
      <c r="P12" t="s">
        <v>4250</v>
      </c>
      <c r="Q12">
        <f>IF(O12="",0,IF(GRAFICO!$D$4="TODOS",IF(GRAFICO!$B$4="TODOS",COUNTIF('BD SECOS'!W:W,O12)+COUNTIF('BD PPA'!AC:AC,O12)+COUNTIF('BD FRESCOS'!AC:AC,O12),IF(GRAFICO!$B$4="SECOS",COUNTIF('BD SECOS'!W:W,O12),IF(GRAFICO!$B$4="PPA",COUNTIF('BD PPA'!AC:AC,O12),COUNTIF('BD FRESCOS'!AC:AC,O12)))),IF(GRAFICO!$B$4="TODOS",COUNTIFS('BD SECOS'!W:W,O12,'BD SECOS'!AE:AE,GRAFICO!$D$4)+COUNTIFS('BD PPA'!AC:AC,O12,'BD PPA'!AK:AK,GRAFICO!$D$4)+COUNTIFS('BD FRESCOS'!AC:AC,O12,'BD FRESCOS'!AK:AK,GRAFICO!$D$4),IF(GRAFICO!$B$4="SECOS",COUNTIFS('BD SECOS'!W:W,O12,'BD SECOS'!AE:AE,GRAFICO!$D$4),IF(GRAFICO!$B$4="PPA",COUNTIFS('BD PPA'!AC:AC,O12,'BD PPA'!AK:AK,GRAFICO!$D$4),COUNTIFS('BD FRESCOS'!AC:AC,O12,'BD FRESCOS'!AK:AK,GRAFICO!$D$4))))))</f>
        <v>3</v>
      </c>
      <c r="R12">
        <f t="shared" si="1"/>
        <v>14</v>
      </c>
    </row>
    <row r="13" spans="8:18" x14ac:dyDescent="0.35">
      <c r="H13" t="str">
        <v>Chaclacayo</v>
      </c>
      <c r="I13">
        <v>4</v>
      </c>
      <c r="J13">
        <v>8.0000699999999991</v>
      </c>
      <c r="L13" t="s">
        <v>4289</v>
      </c>
      <c r="M13">
        <f>IF(L13="",0,IF(GRAFICO!$D$4="TODOS",IF(GRAFICO!$B$4="TODOS",COUNTIF('BD SECOS'!X:X,L13)+COUNTIF('BD PPA'!AD:AD,L13)+COUNTIF('BD FRESCOS'!AD:AD,L13),IF(GRAFICO!$B$4="SECOS",COUNTIF('BD SECOS'!X:X,L13),IF(GRAFICO!$B$4="PPA",COUNTIF('BD PPA'!AD:AD,L13),COUNTIF('BD FRESCOS'!AD:AD,L13)))),IF(GRAFICO!$B$4="TODOS",COUNTIFS('BD SECOS'!X:X,L13,'BD SECOS'!AE:AE,GRAFICO!$D$4)+COUNTIFS('BD PPA'!AD:AD,L13,'BD PPA'!AK:AK,GRAFICO!$D$4)+COUNTIFS('BD FRESCOS'!AD:AD,L13,'BD FRESCOS'!AK:AK,GRAFICO!$D$4),IF(GRAFICO!$B$4="SECOS",COUNTIFS('BD SECOS'!X:X,L13,'BD SECOS'!AE:AE,GRAFICO!$D$4),IF(GRAFICO!$B$4="PPA",COUNTIFS('BD PPA'!AD:AD,L13,'BD PPA'!AK:AK,GRAFICO!$D$4),COUNTIFS('BD FRESCOS'!AD:AD,L13,'BD FRESCOS'!AK:AK,GRAFICO!$D$4))))))</f>
        <v>12</v>
      </c>
      <c r="N13">
        <f t="shared" si="0"/>
        <v>4</v>
      </c>
      <c r="O13" t="s">
        <v>2140</v>
      </c>
      <c r="P13" t="s">
        <v>4250</v>
      </c>
      <c r="Q13">
        <f>IF(O13="",0,IF(GRAFICO!$D$4="TODOS",IF(GRAFICO!$B$4="TODOS",COUNTIF('BD SECOS'!W:W,O13)+COUNTIF('BD PPA'!AC:AC,O13)+COUNTIF('BD FRESCOS'!AC:AC,O13),IF(GRAFICO!$B$4="SECOS",COUNTIF('BD SECOS'!W:W,O13),IF(GRAFICO!$B$4="PPA",COUNTIF('BD PPA'!AC:AC,O13),COUNTIF('BD FRESCOS'!AC:AC,O13)))),IF(GRAFICO!$B$4="TODOS",COUNTIFS('BD SECOS'!W:W,O13,'BD SECOS'!AE:AE,GRAFICO!$D$4)+COUNTIFS('BD PPA'!AC:AC,O13,'BD PPA'!AK:AK,GRAFICO!$D$4)+COUNTIFS('BD FRESCOS'!AC:AC,O13,'BD FRESCOS'!AK:AK,GRAFICO!$D$4),IF(GRAFICO!$B$4="SECOS",COUNTIFS('BD SECOS'!W:W,O13,'BD SECOS'!AE:AE,GRAFICO!$D$4),IF(GRAFICO!$B$4="PPA",COUNTIFS('BD PPA'!AC:AC,O13,'BD PPA'!AK:AK,GRAFICO!$D$4),COUNTIFS('BD FRESCOS'!AC:AC,O13,'BD FRESCOS'!AK:AK,GRAFICO!$D$4))))))</f>
        <v>1</v>
      </c>
      <c r="R13">
        <f t="shared" si="1"/>
        <v>23</v>
      </c>
    </row>
    <row r="14" spans="8:18" x14ac:dyDescent="0.35">
      <c r="H14" t="str">
        <v>Chorrillos</v>
      </c>
      <c r="I14">
        <v>2</v>
      </c>
      <c r="J14">
        <v>16.000080000000001</v>
      </c>
      <c r="L14" t="s">
        <v>4296</v>
      </c>
      <c r="M14">
        <f>IF(L14="",0,IF(GRAFICO!$D$4="TODOS",IF(GRAFICO!$B$4="TODOS",COUNTIF('BD SECOS'!X:X,L14)+COUNTIF('BD PPA'!AD:AD,L14)+COUNTIF('BD FRESCOS'!AD:AD,L14),IF(GRAFICO!$B$4="SECOS",COUNTIF('BD SECOS'!X:X,L14),IF(GRAFICO!$B$4="PPA",COUNTIF('BD PPA'!AD:AD,L14),COUNTIF('BD FRESCOS'!AD:AD,L14)))),IF(GRAFICO!$B$4="TODOS",COUNTIFS('BD SECOS'!X:X,L14,'BD SECOS'!AE:AE,GRAFICO!$D$4)+COUNTIFS('BD PPA'!AD:AD,L14,'BD PPA'!AK:AK,GRAFICO!$D$4)+COUNTIFS('BD FRESCOS'!AD:AD,L14,'BD FRESCOS'!AK:AK,GRAFICO!$D$4),IF(GRAFICO!$B$4="SECOS",COUNTIFS('BD SECOS'!X:X,L14,'BD SECOS'!AE:AE,GRAFICO!$D$4),IF(GRAFICO!$B$4="PPA",COUNTIFS('BD PPA'!AD:AD,L14,'BD PPA'!AK:AK,GRAFICO!$D$4),COUNTIFS('BD FRESCOS'!AD:AD,L14,'BD FRESCOS'!AK:AK,GRAFICO!$D$4))))))</f>
        <v>2</v>
      </c>
      <c r="N14">
        <f t="shared" si="0"/>
        <v>14</v>
      </c>
      <c r="O14" t="s">
        <v>4255</v>
      </c>
      <c r="P14" t="s">
        <v>4250</v>
      </c>
      <c r="Q14">
        <f>IF(O14="",0,IF(GRAFICO!$D$4="TODOS",IF(GRAFICO!$B$4="TODOS",COUNTIF('BD SECOS'!W:W,O14)+COUNTIF('BD PPA'!AC:AC,O14)+COUNTIF('BD FRESCOS'!AC:AC,O14),IF(GRAFICO!$B$4="SECOS",COUNTIF('BD SECOS'!W:W,O14),IF(GRAFICO!$B$4="PPA",COUNTIF('BD PPA'!AC:AC,O14),COUNTIF('BD FRESCOS'!AC:AC,O14)))),IF(GRAFICO!$B$4="TODOS",COUNTIFS('BD SECOS'!W:W,O14,'BD SECOS'!AE:AE,GRAFICO!$D$4)+COUNTIFS('BD PPA'!AC:AC,O14,'BD PPA'!AK:AK,GRAFICO!$D$4)+COUNTIFS('BD FRESCOS'!AC:AC,O14,'BD FRESCOS'!AK:AK,GRAFICO!$D$4),IF(GRAFICO!$B$4="SECOS",COUNTIFS('BD SECOS'!W:W,O14,'BD SECOS'!AE:AE,GRAFICO!$D$4),IF(GRAFICO!$B$4="PPA",COUNTIFS('BD PPA'!AC:AC,O14,'BD PPA'!AK:AK,GRAFICO!$D$4),COUNTIFS('BD FRESCOS'!AC:AC,O14,'BD FRESCOS'!AK:AK,GRAFICO!$D$4))))))</f>
        <v>2</v>
      </c>
      <c r="R14">
        <f t="shared" si="1"/>
        <v>18</v>
      </c>
    </row>
    <row r="15" spans="8:18" x14ac:dyDescent="0.35">
      <c r="H15" t="str">
        <v>Coishco</v>
      </c>
      <c r="I15">
        <v>0</v>
      </c>
      <c r="J15">
        <v>999.0009</v>
      </c>
      <c r="L15" t="s">
        <v>4299</v>
      </c>
      <c r="M15">
        <f>IF(L15="",0,IF(GRAFICO!$D$4="TODOS",IF(GRAFICO!$B$4="TODOS",COUNTIF('BD SECOS'!X:X,L15)+COUNTIF('BD PPA'!AD:AD,L15)+COUNTIF('BD FRESCOS'!AD:AD,L15),IF(GRAFICO!$B$4="SECOS",COUNTIF('BD SECOS'!X:X,L15),IF(GRAFICO!$B$4="PPA",COUNTIF('BD PPA'!AD:AD,L15),COUNTIF('BD FRESCOS'!AD:AD,L15)))),IF(GRAFICO!$B$4="TODOS",COUNTIFS('BD SECOS'!X:X,L15,'BD SECOS'!AE:AE,GRAFICO!$D$4)+COUNTIFS('BD PPA'!AD:AD,L15,'BD PPA'!AK:AK,GRAFICO!$D$4)+COUNTIFS('BD FRESCOS'!AD:AD,L15,'BD FRESCOS'!AK:AK,GRAFICO!$D$4),IF(GRAFICO!$B$4="SECOS",COUNTIFS('BD SECOS'!X:X,L15,'BD SECOS'!AE:AE,GRAFICO!$D$4),IF(GRAFICO!$B$4="PPA",COUNTIFS('BD PPA'!AD:AD,L15,'BD PPA'!AK:AK,GRAFICO!$D$4),COUNTIFS('BD FRESCOS'!AD:AD,L15,'BD FRESCOS'!AK:AK,GRAFICO!$D$4))))))</f>
        <v>7</v>
      </c>
      <c r="N15">
        <f t="shared" si="0"/>
        <v>11</v>
      </c>
      <c r="O15" t="s">
        <v>4257</v>
      </c>
      <c r="P15" t="s">
        <v>4250</v>
      </c>
      <c r="Q15">
        <f>IF(O15="",0,IF(GRAFICO!$D$4="TODOS",IF(GRAFICO!$B$4="TODOS",COUNTIF('BD SECOS'!W:W,O15)+COUNTIF('BD PPA'!AC:AC,O15)+COUNTIF('BD FRESCOS'!AC:AC,O15),IF(GRAFICO!$B$4="SECOS",COUNTIF('BD SECOS'!W:W,O15),IF(GRAFICO!$B$4="PPA",COUNTIF('BD PPA'!AC:AC,O15),COUNTIF('BD FRESCOS'!AC:AC,O15)))),IF(GRAFICO!$B$4="TODOS",COUNTIFS('BD SECOS'!W:W,O15,'BD SECOS'!AE:AE,GRAFICO!$D$4)+COUNTIFS('BD PPA'!AC:AC,O15,'BD PPA'!AK:AK,GRAFICO!$D$4)+COUNTIFS('BD FRESCOS'!AC:AC,O15,'BD FRESCOS'!AK:AK,GRAFICO!$D$4),IF(GRAFICO!$B$4="SECOS",COUNTIFS('BD SECOS'!W:W,O15,'BD SECOS'!AE:AE,GRAFICO!$D$4),IF(GRAFICO!$B$4="PPA",COUNTIFS('BD PPA'!AC:AC,O15,'BD PPA'!AK:AK,GRAFICO!$D$4),COUNTIFS('BD FRESCOS'!AC:AC,O15,'BD FRESCOS'!AK:AK,GRAFICO!$D$4))))))</f>
        <v>1</v>
      </c>
      <c r="R15">
        <f t="shared" si="1"/>
        <v>23</v>
      </c>
    </row>
    <row r="16" spans="8:18" x14ac:dyDescent="0.35">
      <c r="H16" t="str">
        <v>Comas</v>
      </c>
      <c r="I16">
        <v>1</v>
      </c>
      <c r="J16">
        <v>25.0001</v>
      </c>
      <c r="L16" t="s">
        <v>4302</v>
      </c>
      <c r="M16">
        <f>IF(L16="",0,IF(GRAFICO!$D$4="TODOS",IF(GRAFICO!$B$4="TODOS",COUNTIF('BD SECOS'!X:X,L16)+COUNTIF('BD PPA'!AD:AD,L16)+COUNTIF('BD FRESCOS'!AD:AD,L16),IF(GRAFICO!$B$4="SECOS",COUNTIF('BD SECOS'!X:X,L16),IF(GRAFICO!$B$4="PPA",COUNTIF('BD PPA'!AD:AD,L16),COUNTIF('BD FRESCOS'!AD:AD,L16)))),IF(GRAFICO!$B$4="TODOS",COUNTIFS('BD SECOS'!X:X,L16,'BD SECOS'!AE:AE,GRAFICO!$D$4)+COUNTIFS('BD PPA'!AD:AD,L16,'BD PPA'!AK:AK,GRAFICO!$D$4)+COUNTIFS('BD FRESCOS'!AD:AD,L16,'BD FRESCOS'!AK:AK,GRAFICO!$D$4),IF(GRAFICO!$B$4="SECOS",COUNTIFS('BD SECOS'!X:X,L16,'BD SECOS'!AE:AE,GRAFICO!$D$4),IF(GRAFICO!$B$4="PPA",COUNTIFS('BD PPA'!AD:AD,L16,'BD PPA'!AK:AK,GRAFICO!$D$4),COUNTIFS('BD FRESCOS'!AD:AD,L16,'BD FRESCOS'!AK:AK,GRAFICO!$D$4))))))</f>
        <v>8</v>
      </c>
      <c r="N16">
        <f t="shared" si="0"/>
        <v>9</v>
      </c>
      <c r="O16" t="s">
        <v>4260</v>
      </c>
      <c r="P16" t="s">
        <v>4250</v>
      </c>
      <c r="Q16">
        <f>IF(O16="",0,IF(GRAFICO!$D$4="TODOS",IF(GRAFICO!$B$4="TODOS",COUNTIF('BD SECOS'!W:W,O16)+COUNTIF('BD PPA'!AC:AC,O16)+COUNTIF('BD FRESCOS'!AC:AC,O16),IF(GRAFICO!$B$4="SECOS",COUNTIF('BD SECOS'!W:W,O16),IF(GRAFICO!$B$4="PPA",COUNTIF('BD PPA'!AC:AC,O16),COUNTIF('BD FRESCOS'!AC:AC,O16)))),IF(GRAFICO!$B$4="TODOS",COUNTIFS('BD SECOS'!W:W,O16,'BD SECOS'!AE:AE,GRAFICO!$D$4)+COUNTIFS('BD PPA'!AC:AC,O16,'BD PPA'!AK:AK,GRAFICO!$D$4)+COUNTIFS('BD FRESCOS'!AC:AC,O16,'BD FRESCOS'!AK:AK,GRAFICO!$D$4),IF(GRAFICO!$B$4="SECOS",COUNTIFS('BD SECOS'!W:W,O16,'BD SECOS'!AE:AE,GRAFICO!$D$4),IF(GRAFICO!$B$4="PPA",COUNTIFS('BD PPA'!AC:AC,O16,'BD PPA'!AK:AK,GRAFICO!$D$4),COUNTIFS('BD FRESCOS'!AC:AC,O16,'BD FRESCOS'!AK:AK,GRAFICO!$D$4))))))</f>
        <v>4</v>
      </c>
      <c r="R16">
        <f t="shared" si="1"/>
        <v>6</v>
      </c>
    </row>
    <row r="17" spans="8:18" x14ac:dyDescent="0.35">
      <c r="H17" t="str">
        <v>El Agustino</v>
      </c>
      <c r="I17">
        <v>3</v>
      </c>
      <c r="J17">
        <v>13.000109999999999</v>
      </c>
      <c r="L17" t="s">
        <v>4308</v>
      </c>
      <c r="M17">
        <f>IF(L17="",0,IF(GRAFICO!$D$4="TODOS",IF(GRAFICO!$B$4="TODOS",COUNTIF('BD SECOS'!X:X,L17)+COUNTIF('BD PPA'!AD:AD,L17)+COUNTIF('BD FRESCOS'!AD:AD,L17),IF(GRAFICO!$B$4="SECOS",COUNTIF('BD SECOS'!X:X,L17),IF(GRAFICO!$B$4="PPA",COUNTIF('BD PPA'!AD:AD,L17),COUNTIF('BD FRESCOS'!AD:AD,L17)))),IF(GRAFICO!$B$4="TODOS",COUNTIFS('BD SECOS'!X:X,L17,'BD SECOS'!AE:AE,GRAFICO!$D$4)+COUNTIFS('BD PPA'!AD:AD,L17,'BD PPA'!AK:AK,GRAFICO!$D$4)+COUNTIFS('BD FRESCOS'!AD:AD,L17,'BD FRESCOS'!AK:AK,GRAFICO!$D$4),IF(GRAFICO!$B$4="SECOS",COUNTIFS('BD SECOS'!X:X,L17,'BD SECOS'!AE:AE,GRAFICO!$D$4),IF(GRAFICO!$B$4="PPA",COUNTIFS('BD PPA'!AD:AD,L17,'BD PPA'!AK:AK,GRAFICO!$D$4),COUNTIFS('BD FRESCOS'!AD:AD,L17,'BD FRESCOS'!AK:AK,GRAFICO!$D$4))))))</f>
        <v>5</v>
      </c>
      <c r="N17">
        <f t="shared" si="0"/>
        <v>12</v>
      </c>
      <c r="O17" t="s">
        <v>4262</v>
      </c>
      <c r="P17" t="s">
        <v>4261</v>
      </c>
      <c r="Q17">
        <f>IF(O17="",0,IF(GRAFICO!$D$4="TODOS",IF(GRAFICO!$B$4="TODOS",COUNTIF('BD SECOS'!W:W,O17)+COUNTIF('BD PPA'!AC:AC,O17)+COUNTIF('BD FRESCOS'!AC:AC,O17),IF(GRAFICO!$B$4="SECOS",COUNTIF('BD SECOS'!W:W,O17),IF(GRAFICO!$B$4="PPA",COUNTIF('BD PPA'!AC:AC,O17),COUNTIF('BD FRESCOS'!AC:AC,O17)))),IF(GRAFICO!$B$4="TODOS",COUNTIFS('BD SECOS'!W:W,O17,'BD SECOS'!AE:AE,GRAFICO!$D$4)+COUNTIFS('BD PPA'!AC:AC,O17,'BD PPA'!AK:AK,GRAFICO!$D$4)+COUNTIFS('BD FRESCOS'!AC:AC,O17,'BD FRESCOS'!AK:AK,GRAFICO!$D$4),IF(GRAFICO!$B$4="SECOS",COUNTIFS('BD SECOS'!W:W,O17,'BD SECOS'!AE:AE,GRAFICO!$D$4),IF(GRAFICO!$B$4="PPA",COUNTIFS('BD PPA'!AC:AC,O17,'BD PPA'!AK:AK,GRAFICO!$D$4),COUNTIFS('BD FRESCOS'!AC:AC,O17,'BD FRESCOS'!AK:AK,GRAFICO!$D$4))))))</f>
        <v>0</v>
      </c>
      <c r="R17">
        <f t="shared" si="1"/>
        <v>999</v>
      </c>
    </row>
    <row r="18" spans="8:18" x14ac:dyDescent="0.35">
      <c r="H18" t="str">
        <v>Ica</v>
      </c>
      <c r="I18">
        <v>0</v>
      </c>
      <c r="J18">
        <v>999.00120000000004</v>
      </c>
      <c r="L18" t="s">
        <v>4316</v>
      </c>
      <c r="M18">
        <f>IF(L18="",0,IF(GRAFICO!$D$4="TODOS",IF(GRAFICO!$B$4="TODOS",COUNTIF('BD SECOS'!X:X,L18)+COUNTIF('BD PPA'!AD:AD,L18)+COUNTIF('BD FRESCOS'!AD:AD,L18),IF(GRAFICO!$B$4="SECOS",COUNTIF('BD SECOS'!X:X,L18),IF(GRAFICO!$B$4="PPA",COUNTIF('BD PPA'!AD:AD,L18),COUNTIF('BD FRESCOS'!AD:AD,L18)))),IF(GRAFICO!$B$4="TODOS",COUNTIFS('BD SECOS'!X:X,L18,'BD SECOS'!AE:AE,GRAFICO!$D$4)+COUNTIFS('BD PPA'!AD:AD,L18,'BD PPA'!AK:AK,GRAFICO!$D$4)+COUNTIFS('BD FRESCOS'!AD:AD,L18,'BD FRESCOS'!AK:AK,GRAFICO!$D$4),IF(GRAFICO!$B$4="SECOS",COUNTIFS('BD SECOS'!X:X,L18,'BD SECOS'!AE:AE,GRAFICO!$D$4),IF(GRAFICO!$B$4="PPA",COUNTIFS('BD PPA'!AD:AD,L18,'BD PPA'!AK:AK,GRAFICO!$D$4),COUNTIFS('BD FRESCOS'!AD:AD,L18,'BD FRESCOS'!AK:AK,GRAFICO!$D$4))))))</f>
        <v>29</v>
      </c>
      <c r="N18">
        <f t="shared" si="0"/>
        <v>1</v>
      </c>
      <c r="O18" t="s">
        <v>4264</v>
      </c>
      <c r="P18" t="s">
        <v>4261</v>
      </c>
      <c r="Q18">
        <f>IF(O18="",0,IF(GRAFICO!$D$4="TODOS",IF(GRAFICO!$B$4="TODOS",COUNTIF('BD SECOS'!W:W,O18)+COUNTIF('BD PPA'!AC:AC,O18)+COUNTIF('BD FRESCOS'!AC:AC,O18),IF(GRAFICO!$B$4="SECOS",COUNTIF('BD SECOS'!W:W,O18),IF(GRAFICO!$B$4="PPA",COUNTIF('BD PPA'!AC:AC,O18),COUNTIF('BD FRESCOS'!AC:AC,O18)))),IF(GRAFICO!$B$4="TODOS",COUNTIFS('BD SECOS'!W:W,O18,'BD SECOS'!AE:AE,GRAFICO!$D$4)+COUNTIFS('BD PPA'!AC:AC,O18,'BD PPA'!AK:AK,GRAFICO!$D$4)+COUNTIFS('BD FRESCOS'!AC:AC,O18,'BD FRESCOS'!AK:AK,GRAFICO!$D$4),IF(GRAFICO!$B$4="SECOS",COUNTIFS('BD SECOS'!W:W,O18,'BD SECOS'!AE:AE,GRAFICO!$D$4),IF(GRAFICO!$B$4="PPA",COUNTIFS('BD PPA'!AC:AC,O18,'BD PPA'!AK:AK,GRAFICO!$D$4),COUNTIFS('BD FRESCOS'!AC:AC,O18,'BD FRESCOS'!AK:AK,GRAFICO!$D$4))))))</f>
        <v>1</v>
      </c>
      <c r="R18">
        <f t="shared" si="1"/>
        <v>23</v>
      </c>
    </row>
    <row r="19" spans="8:18" x14ac:dyDescent="0.35">
      <c r="H19" t="str">
        <v>Independencia</v>
      </c>
      <c r="I19">
        <v>2</v>
      </c>
      <c r="J19">
        <v>16.000129999999999</v>
      </c>
      <c r="L19" t="s">
        <v>4336</v>
      </c>
      <c r="M19">
        <f>IF(L19="",0,IF(GRAFICO!$D$4="TODOS",IF(GRAFICO!$B$4="TODOS",COUNTIF('BD SECOS'!X:X,L19)+COUNTIF('BD PPA'!AD:AD,L19)+COUNTIF('BD FRESCOS'!AD:AD,L19),IF(GRAFICO!$B$4="SECOS",COUNTIF('BD SECOS'!X:X,L19),IF(GRAFICO!$B$4="PPA",COUNTIF('BD PPA'!AD:AD,L19),COUNTIF('BD FRESCOS'!AD:AD,L19)))),IF(GRAFICO!$B$4="TODOS",COUNTIFS('BD SECOS'!X:X,L19,'BD SECOS'!AE:AE,GRAFICO!$D$4)+COUNTIFS('BD PPA'!AD:AD,L19,'BD PPA'!AK:AK,GRAFICO!$D$4)+COUNTIFS('BD FRESCOS'!AD:AD,L19,'BD FRESCOS'!AK:AK,GRAFICO!$D$4),IF(GRAFICO!$B$4="SECOS",COUNTIFS('BD SECOS'!X:X,L19,'BD SECOS'!AE:AE,GRAFICO!$D$4),IF(GRAFICO!$B$4="PPA",COUNTIFS('BD PPA'!AD:AD,L19,'BD PPA'!AK:AK,GRAFICO!$D$4),COUNTIFS('BD FRESCOS'!AD:AD,L19,'BD FRESCOS'!AK:AK,GRAFICO!$D$4))))))</f>
        <v>17</v>
      </c>
      <c r="N19">
        <f t="shared" si="0"/>
        <v>3</v>
      </c>
      <c r="O19" t="s">
        <v>4266</v>
      </c>
      <c r="P19" t="s">
        <v>4261</v>
      </c>
      <c r="Q19">
        <f>IF(O19="",0,IF(GRAFICO!$D$4="TODOS",IF(GRAFICO!$B$4="TODOS",COUNTIF('BD SECOS'!W:W,O19)+COUNTIF('BD PPA'!AC:AC,O19)+COUNTIF('BD FRESCOS'!AC:AC,O19),IF(GRAFICO!$B$4="SECOS",COUNTIF('BD SECOS'!W:W,O19),IF(GRAFICO!$B$4="PPA",COUNTIF('BD PPA'!AC:AC,O19),COUNTIF('BD FRESCOS'!AC:AC,O19)))),IF(GRAFICO!$B$4="TODOS",COUNTIFS('BD SECOS'!W:W,O19,'BD SECOS'!AE:AE,GRAFICO!$D$4)+COUNTIFS('BD PPA'!AC:AC,O19,'BD PPA'!AK:AK,GRAFICO!$D$4)+COUNTIFS('BD FRESCOS'!AC:AC,O19,'BD FRESCOS'!AK:AK,GRAFICO!$D$4),IF(GRAFICO!$B$4="SECOS",COUNTIFS('BD SECOS'!W:W,O19,'BD SECOS'!AE:AE,GRAFICO!$D$4),IF(GRAFICO!$B$4="PPA",COUNTIFS('BD PPA'!AC:AC,O19,'BD PPA'!AK:AK,GRAFICO!$D$4),COUNTIFS('BD FRESCOS'!AC:AC,O19,'BD FRESCOS'!AK:AK,GRAFICO!$D$4))))))</f>
        <v>1</v>
      </c>
      <c r="R19">
        <f t="shared" si="1"/>
        <v>23</v>
      </c>
    </row>
    <row r="20" spans="8:18" x14ac:dyDescent="0.35">
      <c r="H20" t="str">
        <v>Jesus Maria</v>
      </c>
      <c r="I20">
        <v>1</v>
      </c>
      <c r="J20">
        <v>25.000139999999998</v>
      </c>
      <c r="L20" t="s">
        <v>4349</v>
      </c>
      <c r="M20">
        <f>IF(L20="",0,IF(GRAFICO!$D$4="TODOS",IF(GRAFICO!$B$4="TODOS",COUNTIF('BD SECOS'!X:X,L20)+COUNTIF('BD PPA'!AD:AD,L20)+COUNTIF('BD FRESCOS'!AD:AD,L20),IF(GRAFICO!$B$4="SECOS",COUNTIF('BD SECOS'!X:X,L20),IF(GRAFICO!$B$4="PPA",COUNTIF('BD PPA'!AD:AD,L20),COUNTIF('BD FRESCOS'!AD:AD,L20)))),IF(GRAFICO!$B$4="TODOS",COUNTIFS('BD SECOS'!X:X,L20,'BD SECOS'!AE:AE,GRAFICO!$D$4)+COUNTIFS('BD PPA'!AD:AD,L20,'BD PPA'!AK:AK,GRAFICO!$D$4)+COUNTIFS('BD FRESCOS'!AD:AD,L20,'BD FRESCOS'!AK:AK,GRAFICO!$D$4),IF(GRAFICO!$B$4="SECOS",COUNTIFS('BD SECOS'!X:X,L20,'BD SECOS'!AE:AE,GRAFICO!$D$4),IF(GRAFICO!$B$4="PPA",COUNTIFS('BD PPA'!AD:AD,L20,'BD PPA'!AK:AK,GRAFICO!$D$4),COUNTIFS('BD FRESCOS'!AD:AD,L20,'BD FRESCOS'!AK:AK,GRAFICO!$D$4))))))</f>
        <v>11</v>
      </c>
      <c r="N20">
        <f t="shared" si="0"/>
        <v>5</v>
      </c>
      <c r="O20" t="s">
        <v>4268</v>
      </c>
      <c r="P20" t="s">
        <v>4261</v>
      </c>
      <c r="Q20">
        <f>IF(O20="",0,IF(GRAFICO!$D$4="TODOS",IF(GRAFICO!$B$4="TODOS",COUNTIF('BD SECOS'!W:W,O20)+COUNTIF('BD PPA'!AC:AC,O20)+COUNTIF('BD FRESCOS'!AC:AC,O20),IF(GRAFICO!$B$4="SECOS",COUNTIF('BD SECOS'!W:W,O20),IF(GRAFICO!$B$4="PPA",COUNTIF('BD PPA'!AC:AC,O20),COUNTIF('BD FRESCOS'!AC:AC,O20)))),IF(GRAFICO!$B$4="TODOS",COUNTIFS('BD SECOS'!W:W,O20,'BD SECOS'!AE:AE,GRAFICO!$D$4)+COUNTIFS('BD PPA'!AC:AC,O20,'BD PPA'!AK:AK,GRAFICO!$D$4)+COUNTIFS('BD FRESCOS'!AC:AC,O20,'BD FRESCOS'!AK:AK,GRAFICO!$D$4),IF(GRAFICO!$B$4="SECOS",COUNTIFS('BD SECOS'!W:W,O20,'BD SECOS'!AE:AE,GRAFICO!$D$4),IF(GRAFICO!$B$4="PPA",COUNTIFS('BD PPA'!AC:AC,O20,'BD PPA'!AK:AK,GRAFICO!$D$4),COUNTIFS('BD FRESCOS'!AC:AC,O20,'BD FRESCOS'!AK:AK,GRAFICO!$D$4))))))</f>
        <v>4</v>
      </c>
      <c r="R20">
        <f t="shared" si="1"/>
        <v>6</v>
      </c>
    </row>
    <row r="21" spans="8:18" x14ac:dyDescent="0.35">
      <c r="H21" t="str">
        <v>La Molina</v>
      </c>
      <c r="I21">
        <v>3</v>
      </c>
      <c r="J21">
        <v>13.00015</v>
      </c>
      <c r="O21" t="s">
        <v>4270</v>
      </c>
      <c r="P21" t="s">
        <v>4261</v>
      </c>
      <c r="Q21">
        <f>IF(O21="",0,IF(GRAFICO!$D$4="TODOS",IF(GRAFICO!$B$4="TODOS",COUNTIF('BD SECOS'!W:W,O21)+COUNTIF('BD PPA'!AC:AC,O21)+COUNTIF('BD FRESCOS'!AC:AC,O21),IF(GRAFICO!$B$4="SECOS",COUNTIF('BD SECOS'!W:W,O21),IF(GRAFICO!$B$4="PPA",COUNTIF('BD PPA'!AC:AC,O21),COUNTIF('BD FRESCOS'!AC:AC,O21)))),IF(GRAFICO!$B$4="TODOS",COUNTIFS('BD SECOS'!W:W,O21,'BD SECOS'!AE:AE,GRAFICO!$D$4)+COUNTIFS('BD PPA'!AC:AC,O21,'BD PPA'!AK:AK,GRAFICO!$D$4)+COUNTIFS('BD FRESCOS'!AC:AC,O21,'BD FRESCOS'!AK:AK,GRAFICO!$D$4),IF(GRAFICO!$B$4="SECOS",COUNTIFS('BD SECOS'!W:W,O21,'BD SECOS'!AE:AE,GRAFICO!$D$4),IF(GRAFICO!$B$4="PPA",COUNTIFS('BD PPA'!AC:AC,O21,'BD PPA'!AK:AK,GRAFICO!$D$4),COUNTIFS('BD FRESCOS'!AC:AC,O21,'BD FRESCOS'!AK:AK,GRAFICO!$D$4))))))</f>
        <v>5</v>
      </c>
      <c r="R21">
        <f t="shared" si="1"/>
        <v>3</v>
      </c>
    </row>
    <row r="22" spans="8:18" x14ac:dyDescent="0.35">
      <c r="H22" t="str">
        <v>La Victoria</v>
      </c>
      <c r="I22">
        <v>2</v>
      </c>
      <c r="J22">
        <v>16.000160000000001</v>
      </c>
      <c r="O22" t="s">
        <v>4272</v>
      </c>
      <c r="P22" t="s">
        <v>4261</v>
      </c>
      <c r="Q22">
        <f>IF(O22="",0,IF(GRAFICO!$D$4="TODOS",IF(GRAFICO!$B$4="TODOS",COUNTIF('BD SECOS'!W:W,O22)+COUNTIF('BD PPA'!AC:AC,O22)+COUNTIF('BD FRESCOS'!AC:AC,O22),IF(GRAFICO!$B$4="SECOS",COUNTIF('BD SECOS'!W:W,O22),IF(GRAFICO!$B$4="PPA",COUNTIF('BD PPA'!AC:AC,O22),COUNTIF('BD FRESCOS'!AC:AC,O22)))),IF(GRAFICO!$B$4="TODOS",COUNTIFS('BD SECOS'!W:W,O22,'BD SECOS'!AE:AE,GRAFICO!$D$4)+COUNTIFS('BD PPA'!AC:AC,O22,'BD PPA'!AK:AK,GRAFICO!$D$4)+COUNTIFS('BD FRESCOS'!AC:AC,O22,'BD FRESCOS'!AK:AK,GRAFICO!$D$4),IF(GRAFICO!$B$4="SECOS",COUNTIFS('BD SECOS'!W:W,O22,'BD SECOS'!AE:AE,GRAFICO!$D$4),IF(GRAFICO!$B$4="PPA",COUNTIFS('BD PPA'!AC:AC,O22,'BD PPA'!AK:AK,GRAFICO!$D$4),COUNTIFS('BD FRESCOS'!AC:AC,O22,'BD FRESCOS'!AK:AK,GRAFICO!$D$4))))))</f>
        <v>7</v>
      </c>
      <c r="R22">
        <f t="shared" si="1"/>
        <v>2</v>
      </c>
    </row>
    <row r="23" spans="8:18" x14ac:dyDescent="0.35">
      <c r="H23" t="str">
        <v>Lima</v>
      </c>
      <c r="I23">
        <v>10</v>
      </c>
      <c r="J23">
        <v>4.0001699999999998</v>
      </c>
      <c r="O23" t="s">
        <v>4275</v>
      </c>
      <c r="P23" t="s">
        <v>4273</v>
      </c>
      <c r="Q23">
        <f>IF(O23="",0,IF(GRAFICO!$D$4="TODOS",IF(GRAFICO!$B$4="TODOS",COUNTIF('BD SECOS'!W:W,O23)+COUNTIF('BD PPA'!AC:AC,O23)+COUNTIF('BD FRESCOS'!AC:AC,O23),IF(GRAFICO!$B$4="SECOS",COUNTIF('BD SECOS'!W:W,O23),IF(GRAFICO!$B$4="PPA",COUNTIF('BD PPA'!AC:AC,O23),COUNTIF('BD FRESCOS'!AC:AC,O23)))),IF(GRAFICO!$B$4="TODOS",COUNTIFS('BD SECOS'!W:W,O23,'BD SECOS'!AE:AE,GRAFICO!$D$4)+COUNTIFS('BD PPA'!AC:AC,O23,'BD PPA'!AK:AK,GRAFICO!$D$4)+COUNTIFS('BD FRESCOS'!AC:AC,O23,'BD FRESCOS'!AK:AK,GRAFICO!$D$4),IF(GRAFICO!$B$4="SECOS",COUNTIFS('BD SECOS'!W:W,O23,'BD SECOS'!AE:AE,GRAFICO!$D$4),IF(GRAFICO!$B$4="PPA",COUNTIFS('BD PPA'!AC:AC,O23,'BD PPA'!AK:AK,GRAFICO!$D$4),COUNTIFS('BD FRESCOS'!AC:AC,O23,'BD FRESCOS'!AK:AK,GRAFICO!$D$4))))))</f>
        <v>1</v>
      </c>
      <c r="R23">
        <f t="shared" si="1"/>
        <v>23</v>
      </c>
    </row>
    <row r="24" spans="8:18" x14ac:dyDescent="0.35">
      <c r="H24" t="str">
        <v>Los Olivos</v>
      </c>
      <c r="I24">
        <v>6</v>
      </c>
      <c r="J24">
        <v>6.0001800000000003</v>
      </c>
      <c r="O24" t="s">
        <v>4277</v>
      </c>
      <c r="P24" t="s">
        <v>4273</v>
      </c>
      <c r="Q24">
        <f>IF(O24="",0,IF(GRAFICO!$D$4="TODOS",IF(GRAFICO!$B$4="TODOS",COUNTIF('BD SECOS'!W:W,O24)+COUNTIF('BD PPA'!AC:AC,O24)+COUNTIF('BD FRESCOS'!AC:AC,O24),IF(GRAFICO!$B$4="SECOS",COUNTIF('BD SECOS'!W:W,O24),IF(GRAFICO!$B$4="PPA",COUNTIF('BD PPA'!AC:AC,O24),COUNTIF('BD FRESCOS'!AC:AC,O24)))),IF(GRAFICO!$B$4="TODOS",COUNTIFS('BD SECOS'!W:W,O24,'BD SECOS'!AE:AE,GRAFICO!$D$4)+COUNTIFS('BD PPA'!AC:AC,O24,'BD PPA'!AK:AK,GRAFICO!$D$4)+COUNTIFS('BD FRESCOS'!AC:AC,O24,'BD FRESCOS'!AK:AK,GRAFICO!$D$4),IF(GRAFICO!$B$4="SECOS",COUNTIFS('BD SECOS'!W:W,O24,'BD SECOS'!AE:AE,GRAFICO!$D$4),IF(GRAFICO!$B$4="PPA",COUNTIFS('BD PPA'!AC:AC,O24,'BD PPA'!AK:AK,GRAFICO!$D$4),COUNTIFS('BD FRESCOS'!AC:AC,O24,'BD FRESCOS'!AK:AK,GRAFICO!$D$4))))))</f>
        <v>4</v>
      </c>
      <c r="R24">
        <f t="shared" si="1"/>
        <v>6</v>
      </c>
    </row>
    <row r="25" spans="8:18" x14ac:dyDescent="0.35">
      <c r="H25" t="str">
        <v>Lurigancho</v>
      </c>
      <c r="I25">
        <v>21</v>
      </c>
      <c r="J25">
        <v>3.0001899999999999</v>
      </c>
      <c r="O25" t="s">
        <v>4278</v>
      </c>
      <c r="P25" t="s">
        <v>4273</v>
      </c>
      <c r="Q25">
        <f>IF(O25="",0,IF(GRAFICO!$D$4="TODOS",IF(GRAFICO!$B$4="TODOS",COUNTIF('BD SECOS'!W:W,O25)+COUNTIF('BD PPA'!AC:AC,O25)+COUNTIF('BD FRESCOS'!AC:AC,O25),IF(GRAFICO!$B$4="SECOS",COUNTIF('BD SECOS'!W:W,O25),IF(GRAFICO!$B$4="PPA",COUNTIF('BD PPA'!AC:AC,O25),COUNTIF('BD FRESCOS'!AC:AC,O25)))),IF(GRAFICO!$B$4="TODOS",COUNTIFS('BD SECOS'!W:W,O25,'BD SECOS'!AE:AE,GRAFICO!$D$4)+COUNTIFS('BD PPA'!AC:AC,O25,'BD PPA'!AK:AK,GRAFICO!$D$4)+COUNTIFS('BD FRESCOS'!AC:AC,O25,'BD FRESCOS'!AK:AK,GRAFICO!$D$4),IF(GRAFICO!$B$4="SECOS",COUNTIFS('BD SECOS'!W:W,O25,'BD SECOS'!AE:AE,GRAFICO!$D$4),IF(GRAFICO!$B$4="PPA",COUNTIFS('BD PPA'!AC:AC,O25,'BD PPA'!AK:AK,GRAFICO!$D$4),COUNTIFS('BD FRESCOS'!AC:AC,O25,'BD FRESCOS'!AK:AK,GRAFICO!$D$4))))))</f>
        <v>2</v>
      </c>
      <c r="R25">
        <f t="shared" si="1"/>
        <v>18</v>
      </c>
    </row>
    <row r="26" spans="8:18" x14ac:dyDescent="0.35">
      <c r="H26" t="str">
        <v>Lurin</v>
      </c>
      <c r="I26">
        <v>0</v>
      </c>
      <c r="J26">
        <v>999.00199999999995</v>
      </c>
      <c r="O26" t="s">
        <v>4280</v>
      </c>
      <c r="P26" t="s">
        <v>4273</v>
      </c>
      <c r="Q26">
        <f>IF(O26="",0,IF(GRAFICO!$D$4="TODOS",IF(GRAFICO!$B$4="TODOS",COUNTIF('BD SECOS'!W:W,O26)+COUNTIF('BD PPA'!AC:AC,O26)+COUNTIF('BD FRESCOS'!AC:AC,O26),IF(GRAFICO!$B$4="SECOS",COUNTIF('BD SECOS'!W:W,O26),IF(GRAFICO!$B$4="PPA",COUNTIF('BD PPA'!AC:AC,O26),COUNTIF('BD FRESCOS'!AC:AC,O26)))),IF(GRAFICO!$B$4="TODOS",COUNTIFS('BD SECOS'!W:W,O26,'BD SECOS'!AE:AE,GRAFICO!$D$4)+COUNTIFS('BD PPA'!AC:AC,O26,'BD PPA'!AK:AK,GRAFICO!$D$4)+COUNTIFS('BD FRESCOS'!AC:AC,O26,'BD FRESCOS'!AK:AK,GRAFICO!$D$4),IF(GRAFICO!$B$4="SECOS",COUNTIFS('BD SECOS'!W:W,O26,'BD SECOS'!AE:AE,GRAFICO!$D$4),IF(GRAFICO!$B$4="PPA",COUNTIFS('BD PPA'!AC:AC,O26,'BD PPA'!AK:AK,GRAFICO!$D$4),COUNTIFS('BD FRESCOS'!AC:AC,O26,'BD FRESCOS'!AK:AK,GRAFICO!$D$4))))))</f>
        <v>3</v>
      </c>
      <c r="R26">
        <f t="shared" si="1"/>
        <v>14</v>
      </c>
    </row>
    <row r="27" spans="8:18" x14ac:dyDescent="0.35">
      <c r="H27" t="str">
        <v>Magdalena Del Mar</v>
      </c>
      <c r="I27">
        <v>1</v>
      </c>
      <c r="J27">
        <v>25.000209999999999</v>
      </c>
      <c r="O27" t="s">
        <v>4282</v>
      </c>
      <c r="P27" t="s">
        <v>4281</v>
      </c>
      <c r="Q27">
        <f>IF(O27="",0,IF(GRAFICO!$D$4="TODOS",IF(GRAFICO!$B$4="TODOS",COUNTIF('BD SECOS'!W:W,O27)+COUNTIF('BD PPA'!AC:AC,O27)+COUNTIF('BD FRESCOS'!AC:AC,O27),IF(GRAFICO!$B$4="SECOS",COUNTIF('BD SECOS'!W:W,O27),IF(GRAFICO!$B$4="PPA",COUNTIF('BD PPA'!AC:AC,O27),COUNTIF('BD FRESCOS'!AC:AC,O27)))),IF(GRAFICO!$B$4="TODOS",COUNTIFS('BD SECOS'!W:W,O27,'BD SECOS'!AE:AE,GRAFICO!$D$4)+COUNTIFS('BD PPA'!AC:AC,O27,'BD PPA'!AK:AK,GRAFICO!$D$4)+COUNTIFS('BD FRESCOS'!AC:AC,O27,'BD FRESCOS'!AK:AK,GRAFICO!$D$4),IF(GRAFICO!$B$4="SECOS",COUNTIFS('BD SECOS'!W:W,O27,'BD SECOS'!AE:AE,GRAFICO!$D$4),IF(GRAFICO!$B$4="PPA",COUNTIFS('BD PPA'!AC:AC,O27,'BD PPA'!AK:AK,GRAFICO!$D$4),COUNTIFS('BD FRESCOS'!AC:AC,O27,'BD FRESCOS'!AK:AK,GRAFICO!$D$4))))))</f>
        <v>2</v>
      </c>
      <c r="R27">
        <f t="shared" si="1"/>
        <v>18</v>
      </c>
    </row>
    <row r="28" spans="8:18" x14ac:dyDescent="0.35">
      <c r="H28" t="str">
        <v>Miraflores</v>
      </c>
      <c r="I28">
        <v>2</v>
      </c>
      <c r="J28">
        <v>16.000219999999999</v>
      </c>
      <c r="O28" t="s">
        <v>4284</v>
      </c>
      <c r="P28" t="s">
        <v>4281</v>
      </c>
      <c r="Q28">
        <f>IF(O28="",0,IF(GRAFICO!$D$4="TODOS",IF(GRAFICO!$B$4="TODOS",COUNTIF('BD SECOS'!W:W,O28)+COUNTIF('BD PPA'!AC:AC,O28)+COUNTIF('BD FRESCOS'!AC:AC,O28),IF(GRAFICO!$B$4="SECOS",COUNTIF('BD SECOS'!W:W,O28),IF(GRAFICO!$B$4="PPA",COUNTIF('BD PPA'!AC:AC,O28),COUNTIF('BD FRESCOS'!AC:AC,O28)))),IF(GRAFICO!$B$4="TODOS",COUNTIFS('BD SECOS'!W:W,O28,'BD SECOS'!AE:AE,GRAFICO!$D$4)+COUNTIFS('BD PPA'!AC:AC,O28,'BD PPA'!AK:AK,GRAFICO!$D$4)+COUNTIFS('BD FRESCOS'!AC:AC,O28,'BD FRESCOS'!AK:AK,GRAFICO!$D$4),IF(GRAFICO!$B$4="SECOS",COUNTIFS('BD SECOS'!W:W,O28,'BD SECOS'!AE:AE,GRAFICO!$D$4),IF(GRAFICO!$B$4="PPA",COUNTIFS('BD PPA'!AC:AC,O28,'BD PPA'!AK:AK,GRAFICO!$D$4),COUNTIFS('BD FRESCOS'!AC:AC,O28,'BD FRESCOS'!AK:AK,GRAFICO!$D$4))))))</f>
        <v>1</v>
      </c>
      <c r="R28">
        <f t="shared" si="1"/>
        <v>23</v>
      </c>
    </row>
    <row r="29" spans="8:18" x14ac:dyDescent="0.35">
      <c r="H29" t="str">
        <v>Pachacamac</v>
      </c>
      <c r="I29">
        <v>0</v>
      </c>
      <c r="J29">
        <v>999.00229999999999</v>
      </c>
      <c r="O29" t="s">
        <v>4286</v>
      </c>
      <c r="P29" t="s">
        <v>4281</v>
      </c>
      <c r="Q29">
        <f>IF(O29="",0,IF(GRAFICO!$D$4="TODOS",IF(GRAFICO!$B$4="TODOS",COUNTIF('BD SECOS'!W:W,O29)+COUNTIF('BD PPA'!AC:AC,O29)+COUNTIF('BD FRESCOS'!AC:AC,O29),IF(GRAFICO!$B$4="SECOS",COUNTIF('BD SECOS'!W:W,O29),IF(GRAFICO!$B$4="PPA",COUNTIF('BD PPA'!AC:AC,O29),COUNTIF('BD FRESCOS'!AC:AC,O29)))),IF(GRAFICO!$B$4="TODOS",COUNTIFS('BD SECOS'!W:W,O29,'BD SECOS'!AE:AE,GRAFICO!$D$4)+COUNTIFS('BD PPA'!AC:AC,O29,'BD PPA'!AK:AK,GRAFICO!$D$4)+COUNTIFS('BD FRESCOS'!AC:AC,O29,'BD FRESCOS'!AK:AK,GRAFICO!$D$4),IF(GRAFICO!$B$4="SECOS",COUNTIFS('BD SECOS'!W:W,O29,'BD SECOS'!AE:AE,GRAFICO!$D$4),IF(GRAFICO!$B$4="PPA",COUNTIFS('BD PPA'!AC:AC,O29,'BD PPA'!AK:AK,GRAFICO!$D$4),COUNTIFS('BD FRESCOS'!AC:AC,O29,'BD FRESCOS'!AK:AK,GRAFICO!$D$4))))))</f>
        <v>4</v>
      </c>
      <c r="R29">
        <f t="shared" si="1"/>
        <v>6</v>
      </c>
    </row>
    <row r="30" spans="8:18" x14ac:dyDescent="0.35">
      <c r="H30" t="str">
        <v>Pueblo Libre</v>
      </c>
      <c r="I30">
        <v>3</v>
      </c>
      <c r="J30">
        <v>13.00024</v>
      </c>
      <c r="O30" t="s">
        <v>4288</v>
      </c>
      <c r="P30" t="s">
        <v>4281</v>
      </c>
      <c r="Q30">
        <f>IF(O30="",0,IF(GRAFICO!$D$4="TODOS",IF(GRAFICO!$B$4="TODOS",COUNTIF('BD SECOS'!W:W,O30)+COUNTIF('BD PPA'!AC:AC,O30)+COUNTIF('BD FRESCOS'!AC:AC,O30),IF(GRAFICO!$B$4="SECOS",COUNTIF('BD SECOS'!W:W,O30),IF(GRAFICO!$B$4="PPA",COUNTIF('BD PPA'!AC:AC,O30),COUNTIF('BD FRESCOS'!AC:AC,O30)))),IF(GRAFICO!$B$4="TODOS",COUNTIFS('BD SECOS'!W:W,O30,'BD SECOS'!AE:AE,GRAFICO!$D$4)+COUNTIFS('BD PPA'!AC:AC,O30,'BD PPA'!AK:AK,GRAFICO!$D$4)+COUNTIFS('BD FRESCOS'!AC:AC,O30,'BD FRESCOS'!AK:AK,GRAFICO!$D$4),IF(GRAFICO!$B$4="SECOS",COUNTIFS('BD SECOS'!W:W,O30,'BD SECOS'!AE:AE,GRAFICO!$D$4),IF(GRAFICO!$B$4="PPA",COUNTIFS('BD PPA'!AC:AC,O30,'BD PPA'!AK:AK,GRAFICO!$D$4),COUNTIFS('BD FRESCOS'!AC:AC,O30,'BD FRESCOS'!AK:AK,GRAFICO!$D$4))))))</f>
        <v>4</v>
      </c>
      <c r="R30">
        <f t="shared" si="1"/>
        <v>6</v>
      </c>
    </row>
    <row r="31" spans="8:18" x14ac:dyDescent="0.35">
      <c r="H31" t="str">
        <v>Puente Piedra</v>
      </c>
      <c r="I31">
        <v>0</v>
      </c>
      <c r="J31">
        <v>999.00250000000005</v>
      </c>
      <c r="O31" t="s">
        <v>4290</v>
      </c>
      <c r="P31" t="s">
        <v>4289</v>
      </c>
      <c r="Q31">
        <f>IF(O31="",0,IF(GRAFICO!$D$4="TODOS",IF(GRAFICO!$B$4="TODOS",COUNTIF('BD SECOS'!W:W,O31)+COUNTIF('BD PPA'!AC:AC,O31)+COUNTIF('BD FRESCOS'!AC:AC,O31),IF(GRAFICO!$B$4="SECOS",COUNTIF('BD SECOS'!W:W,O31),IF(GRAFICO!$B$4="PPA",COUNTIF('BD PPA'!AC:AC,O31),COUNTIF('BD FRESCOS'!AC:AC,O31)))),IF(GRAFICO!$B$4="TODOS",COUNTIFS('BD SECOS'!W:W,O31,'BD SECOS'!AE:AE,GRAFICO!$D$4)+COUNTIFS('BD PPA'!AC:AC,O31,'BD PPA'!AK:AK,GRAFICO!$D$4)+COUNTIFS('BD FRESCOS'!AC:AC,O31,'BD FRESCOS'!AK:AK,GRAFICO!$D$4),IF(GRAFICO!$B$4="SECOS",COUNTIFS('BD SECOS'!W:W,O31,'BD SECOS'!AE:AE,GRAFICO!$D$4),IF(GRAFICO!$B$4="PPA",COUNTIFS('BD PPA'!AC:AC,O31,'BD PPA'!AK:AK,GRAFICO!$D$4),COUNTIFS('BD FRESCOS'!AC:AC,O31,'BD FRESCOS'!AK:AK,GRAFICO!$D$4))))))</f>
        <v>1</v>
      </c>
      <c r="R31">
        <f t="shared" si="1"/>
        <v>23</v>
      </c>
    </row>
    <row r="32" spans="8:18" x14ac:dyDescent="0.35">
      <c r="H32" t="str">
        <v>Rimac</v>
      </c>
      <c r="I32">
        <v>2</v>
      </c>
      <c r="J32">
        <v>16.000260000000001</v>
      </c>
      <c r="O32" t="s">
        <v>4291</v>
      </c>
      <c r="P32" t="s">
        <v>4289</v>
      </c>
      <c r="Q32">
        <f>IF(O32="",0,IF(GRAFICO!$D$4="TODOS",IF(GRAFICO!$B$4="TODOS",COUNTIF('BD SECOS'!W:W,O32)+COUNTIF('BD PPA'!AC:AC,O32)+COUNTIF('BD FRESCOS'!AC:AC,O32),IF(GRAFICO!$B$4="SECOS",COUNTIF('BD SECOS'!W:W,O32),IF(GRAFICO!$B$4="PPA",COUNTIF('BD PPA'!AC:AC,O32),COUNTIF('BD FRESCOS'!AC:AC,O32)))),IF(GRAFICO!$B$4="TODOS",COUNTIFS('BD SECOS'!W:W,O32,'BD SECOS'!AE:AE,GRAFICO!$D$4)+COUNTIFS('BD PPA'!AC:AC,O32,'BD PPA'!AK:AK,GRAFICO!$D$4)+COUNTIFS('BD FRESCOS'!AC:AC,O32,'BD FRESCOS'!AK:AK,GRAFICO!$D$4),IF(GRAFICO!$B$4="SECOS",COUNTIFS('BD SECOS'!W:W,O32,'BD SECOS'!AE:AE,GRAFICO!$D$4),IF(GRAFICO!$B$4="PPA",COUNTIFS('BD PPA'!AC:AC,O32,'BD PPA'!AK:AK,GRAFICO!$D$4),COUNTIFS('BD FRESCOS'!AC:AC,O32,'BD FRESCOS'!AK:AK,GRAFICO!$D$4))))))</f>
        <v>5</v>
      </c>
      <c r="R32">
        <f t="shared" si="1"/>
        <v>3</v>
      </c>
    </row>
    <row r="33" spans="8:18" x14ac:dyDescent="0.35">
      <c r="H33" t="str">
        <v>San Antonio</v>
      </c>
      <c r="I33">
        <v>1</v>
      </c>
      <c r="J33">
        <v>25.00027</v>
      </c>
      <c r="O33" t="s">
        <v>4293</v>
      </c>
      <c r="P33" t="s">
        <v>4289</v>
      </c>
      <c r="Q33">
        <f>IF(O33="",0,IF(GRAFICO!$D$4="TODOS",IF(GRAFICO!$B$4="TODOS",COUNTIF('BD SECOS'!W:W,O33)+COUNTIF('BD PPA'!AC:AC,O33)+COUNTIF('BD FRESCOS'!AC:AC,O33),IF(GRAFICO!$B$4="SECOS",COUNTIF('BD SECOS'!W:W,O33),IF(GRAFICO!$B$4="PPA",COUNTIF('BD PPA'!AC:AC,O33),COUNTIF('BD FRESCOS'!AC:AC,O33)))),IF(GRAFICO!$B$4="TODOS",COUNTIFS('BD SECOS'!W:W,O33,'BD SECOS'!AE:AE,GRAFICO!$D$4)+COUNTIFS('BD PPA'!AC:AC,O33,'BD PPA'!AK:AK,GRAFICO!$D$4)+COUNTIFS('BD FRESCOS'!AC:AC,O33,'BD FRESCOS'!AK:AK,GRAFICO!$D$4),IF(GRAFICO!$B$4="SECOS",COUNTIFS('BD SECOS'!W:W,O33,'BD SECOS'!AE:AE,GRAFICO!$D$4),IF(GRAFICO!$B$4="PPA",COUNTIFS('BD PPA'!AC:AC,O33,'BD PPA'!AK:AK,GRAFICO!$D$4),COUNTIFS('BD FRESCOS'!AC:AC,O33,'BD FRESCOS'!AK:AK,GRAFICO!$D$4))))))</f>
        <v>1</v>
      </c>
      <c r="R33">
        <f t="shared" si="1"/>
        <v>23</v>
      </c>
    </row>
    <row r="34" spans="8:18" x14ac:dyDescent="0.35">
      <c r="H34" t="str">
        <v>San Borja</v>
      </c>
      <c r="I34">
        <v>1</v>
      </c>
      <c r="J34">
        <v>25.00028</v>
      </c>
      <c r="O34" t="s">
        <v>4295</v>
      </c>
      <c r="P34" t="s">
        <v>4289</v>
      </c>
      <c r="Q34">
        <f>IF(O34="",0,IF(GRAFICO!$D$4="TODOS",IF(GRAFICO!$B$4="TODOS",COUNTIF('BD SECOS'!W:W,O34)+COUNTIF('BD PPA'!AC:AC,O34)+COUNTIF('BD FRESCOS'!AC:AC,O34),IF(GRAFICO!$B$4="SECOS",COUNTIF('BD SECOS'!W:W,O34),IF(GRAFICO!$B$4="PPA",COUNTIF('BD PPA'!AC:AC,O34),COUNTIF('BD FRESCOS'!AC:AC,O34)))),IF(GRAFICO!$B$4="TODOS",COUNTIFS('BD SECOS'!W:W,O34,'BD SECOS'!AE:AE,GRAFICO!$D$4)+COUNTIFS('BD PPA'!AC:AC,O34,'BD PPA'!AK:AK,GRAFICO!$D$4)+COUNTIFS('BD FRESCOS'!AC:AC,O34,'BD FRESCOS'!AK:AK,GRAFICO!$D$4),IF(GRAFICO!$B$4="SECOS",COUNTIFS('BD SECOS'!W:W,O34,'BD SECOS'!AE:AE,GRAFICO!$D$4),IF(GRAFICO!$B$4="PPA",COUNTIFS('BD PPA'!AC:AC,O34,'BD PPA'!AK:AK,GRAFICO!$D$4),COUNTIFS('BD FRESCOS'!AC:AC,O34,'BD FRESCOS'!AK:AK,GRAFICO!$D$4))))))</f>
        <v>5</v>
      </c>
      <c r="R34">
        <f t="shared" si="1"/>
        <v>3</v>
      </c>
    </row>
    <row r="35" spans="8:18" x14ac:dyDescent="0.35">
      <c r="H35" t="str">
        <v>San Juan De Lurigancho</v>
      </c>
      <c r="I35">
        <v>22</v>
      </c>
      <c r="J35">
        <v>2.0002900000000001</v>
      </c>
      <c r="O35" t="s">
        <v>4297</v>
      </c>
      <c r="P35" t="s">
        <v>4296</v>
      </c>
      <c r="Q35">
        <f>IF(O35="",0,IF(GRAFICO!$D$4="TODOS",IF(GRAFICO!$B$4="TODOS",COUNTIF('BD SECOS'!W:W,O35)+COUNTIF('BD PPA'!AC:AC,O35)+COUNTIF('BD FRESCOS'!AC:AC,O35),IF(GRAFICO!$B$4="SECOS",COUNTIF('BD SECOS'!W:W,O35),IF(GRAFICO!$B$4="PPA",COUNTIF('BD PPA'!AC:AC,O35),COUNTIF('BD FRESCOS'!AC:AC,O35)))),IF(GRAFICO!$B$4="TODOS",COUNTIFS('BD SECOS'!W:W,O35,'BD SECOS'!AE:AE,GRAFICO!$D$4)+COUNTIFS('BD PPA'!AC:AC,O35,'BD PPA'!AK:AK,GRAFICO!$D$4)+COUNTIFS('BD FRESCOS'!AC:AC,O35,'BD FRESCOS'!AK:AK,GRAFICO!$D$4),IF(GRAFICO!$B$4="SECOS",COUNTIFS('BD SECOS'!W:W,O35,'BD SECOS'!AE:AE,GRAFICO!$D$4),IF(GRAFICO!$B$4="PPA",COUNTIFS('BD PPA'!AC:AC,O35,'BD PPA'!AK:AK,GRAFICO!$D$4),COUNTIFS('BD FRESCOS'!AC:AC,O35,'BD FRESCOS'!AK:AK,GRAFICO!$D$4))))))</f>
        <v>2</v>
      </c>
      <c r="R35">
        <f t="shared" si="1"/>
        <v>18</v>
      </c>
    </row>
    <row r="36" spans="8:18" x14ac:dyDescent="0.35">
      <c r="H36" t="str">
        <v>San Juan De Miraflores</v>
      </c>
      <c r="I36">
        <v>4</v>
      </c>
      <c r="J36">
        <v>8.0002999999999993</v>
      </c>
      <c r="O36" t="s">
        <v>4298</v>
      </c>
      <c r="P36" t="s">
        <v>4296</v>
      </c>
      <c r="Q36">
        <f>IF(O36="",0,IF(GRAFICO!$D$4="TODOS",IF(GRAFICO!$B$4="TODOS",COUNTIF('BD SECOS'!W:W,O36)+COUNTIF('BD PPA'!AC:AC,O36)+COUNTIF('BD FRESCOS'!AC:AC,O36),IF(GRAFICO!$B$4="SECOS",COUNTIF('BD SECOS'!W:W,O36),IF(GRAFICO!$B$4="PPA",COUNTIF('BD PPA'!AC:AC,O36),COUNTIF('BD FRESCOS'!AC:AC,O36)))),IF(GRAFICO!$B$4="TODOS",COUNTIFS('BD SECOS'!W:W,O36,'BD SECOS'!AE:AE,GRAFICO!$D$4)+COUNTIFS('BD PPA'!AC:AC,O36,'BD PPA'!AK:AK,GRAFICO!$D$4)+COUNTIFS('BD FRESCOS'!AC:AC,O36,'BD FRESCOS'!AK:AK,GRAFICO!$D$4),IF(GRAFICO!$B$4="SECOS",COUNTIFS('BD SECOS'!W:W,O36,'BD SECOS'!AE:AE,GRAFICO!$D$4),IF(GRAFICO!$B$4="PPA",COUNTIFS('BD PPA'!AC:AC,O36,'BD PPA'!AK:AK,GRAFICO!$D$4),COUNTIFS('BD FRESCOS'!AC:AC,O36,'BD FRESCOS'!AK:AK,GRAFICO!$D$4))))))</f>
        <v>0</v>
      </c>
      <c r="R36">
        <f t="shared" si="1"/>
        <v>999</v>
      </c>
    </row>
    <row r="37" spans="8:18" x14ac:dyDescent="0.35">
      <c r="H37" t="str">
        <v>San Luis</v>
      </c>
      <c r="I37">
        <v>1</v>
      </c>
      <c r="J37">
        <v>25.000309999999999</v>
      </c>
      <c r="O37" t="s">
        <v>4300</v>
      </c>
      <c r="P37" t="s">
        <v>4299</v>
      </c>
      <c r="Q37">
        <f>IF(O37="",0,IF(GRAFICO!$D$4="TODOS",IF(GRAFICO!$B$4="TODOS",COUNTIF('BD SECOS'!W:W,O37)+COUNTIF('BD PPA'!AC:AC,O37)+COUNTIF('BD FRESCOS'!AC:AC,O37),IF(GRAFICO!$B$4="SECOS",COUNTIF('BD SECOS'!W:W,O37),IF(GRAFICO!$B$4="PPA",COUNTIF('BD PPA'!AC:AC,O37),COUNTIF('BD FRESCOS'!AC:AC,O37)))),IF(GRAFICO!$B$4="TODOS",COUNTIFS('BD SECOS'!W:W,O37,'BD SECOS'!AE:AE,GRAFICO!$D$4)+COUNTIFS('BD PPA'!AC:AC,O37,'BD PPA'!AK:AK,GRAFICO!$D$4)+COUNTIFS('BD FRESCOS'!AC:AC,O37,'BD FRESCOS'!AK:AK,GRAFICO!$D$4),IF(GRAFICO!$B$4="SECOS",COUNTIFS('BD SECOS'!W:W,O37,'BD SECOS'!AE:AE,GRAFICO!$D$4),IF(GRAFICO!$B$4="PPA",COUNTIFS('BD PPA'!AC:AC,O37,'BD PPA'!AK:AK,GRAFICO!$D$4),COUNTIFS('BD FRESCOS'!AC:AC,O37,'BD FRESCOS'!AK:AK,GRAFICO!$D$4))))))</f>
        <v>3</v>
      </c>
      <c r="R37">
        <f t="shared" si="1"/>
        <v>14</v>
      </c>
    </row>
    <row r="38" spans="8:18" x14ac:dyDescent="0.35">
      <c r="H38" t="str">
        <v>San Martin De Porres</v>
      </c>
      <c r="I38">
        <v>4</v>
      </c>
      <c r="J38">
        <v>8.0003200000000003</v>
      </c>
      <c r="O38" t="s">
        <v>4301</v>
      </c>
      <c r="P38" t="s">
        <v>4299</v>
      </c>
      <c r="Q38">
        <f>IF(O38="",0,IF(GRAFICO!$D$4="TODOS",IF(GRAFICO!$B$4="TODOS",COUNTIF('BD SECOS'!W:W,O38)+COUNTIF('BD PPA'!AC:AC,O38)+COUNTIF('BD FRESCOS'!AC:AC,O38),IF(GRAFICO!$B$4="SECOS",COUNTIF('BD SECOS'!W:W,O38),IF(GRAFICO!$B$4="PPA",COUNTIF('BD PPA'!AC:AC,O38),COUNTIF('BD FRESCOS'!AC:AC,O38)))),IF(GRAFICO!$B$4="TODOS",COUNTIFS('BD SECOS'!W:W,O38,'BD SECOS'!AE:AE,GRAFICO!$D$4)+COUNTIFS('BD PPA'!AC:AC,O38,'BD PPA'!AK:AK,GRAFICO!$D$4)+COUNTIFS('BD FRESCOS'!AC:AC,O38,'BD FRESCOS'!AK:AK,GRAFICO!$D$4),IF(GRAFICO!$B$4="SECOS",COUNTIFS('BD SECOS'!W:W,O38,'BD SECOS'!AE:AE,GRAFICO!$D$4),IF(GRAFICO!$B$4="PPA",COUNTIFS('BD PPA'!AC:AC,O38,'BD PPA'!AK:AK,GRAFICO!$D$4),COUNTIFS('BD FRESCOS'!AC:AC,O38,'BD FRESCOS'!AK:AK,GRAFICO!$D$4))))))</f>
        <v>4</v>
      </c>
      <c r="R38">
        <f t="shared" si="1"/>
        <v>6</v>
      </c>
    </row>
    <row r="39" spans="8:18" x14ac:dyDescent="0.35">
      <c r="H39" t="str">
        <v>San Miguel</v>
      </c>
      <c r="I39">
        <v>2</v>
      </c>
      <c r="J39">
        <v>16.000330000000002</v>
      </c>
      <c r="O39" t="s">
        <v>4304</v>
      </c>
      <c r="P39" t="s">
        <v>4302</v>
      </c>
      <c r="Q39">
        <f>IF(O39="",0,IF(GRAFICO!$D$4="TODOS",IF(GRAFICO!$B$4="TODOS",COUNTIF('BD SECOS'!W:W,O39)+COUNTIF('BD PPA'!AC:AC,O39)+COUNTIF('BD FRESCOS'!AC:AC,O39),IF(GRAFICO!$B$4="SECOS",COUNTIF('BD SECOS'!W:W,O39),IF(GRAFICO!$B$4="PPA",COUNTIF('BD PPA'!AC:AC,O39),COUNTIF('BD FRESCOS'!AC:AC,O39)))),IF(GRAFICO!$B$4="TODOS",COUNTIFS('BD SECOS'!W:W,O39,'BD SECOS'!AE:AE,GRAFICO!$D$4)+COUNTIFS('BD PPA'!AC:AC,O39,'BD PPA'!AK:AK,GRAFICO!$D$4)+COUNTIFS('BD FRESCOS'!AC:AC,O39,'BD FRESCOS'!AK:AK,GRAFICO!$D$4),IF(GRAFICO!$B$4="SECOS",COUNTIFS('BD SECOS'!W:W,O39,'BD SECOS'!AE:AE,GRAFICO!$D$4),IF(GRAFICO!$B$4="PPA",COUNTIFS('BD PPA'!AC:AC,O39,'BD PPA'!AK:AK,GRAFICO!$D$4),COUNTIFS('BD FRESCOS'!AC:AC,O39,'BD FRESCOS'!AK:AK,GRAFICO!$D$4))))))</f>
        <v>0</v>
      </c>
      <c r="R39">
        <f t="shared" si="1"/>
        <v>999</v>
      </c>
    </row>
    <row r="40" spans="8:18" x14ac:dyDescent="0.35">
      <c r="H40" t="str">
        <v>Santa Anita</v>
      </c>
      <c r="I40">
        <v>4</v>
      </c>
      <c r="J40">
        <v>8.0003399999999996</v>
      </c>
      <c r="O40" t="s">
        <v>4305</v>
      </c>
      <c r="P40" t="s">
        <v>4302</v>
      </c>
      <c r="Q40">
        <f>IF(O40="",0,IF(GRAFICO!$D$4="TODOS",IF(GRAFICO!$B$4="TODOS",COUNTIF('BD SECOS'!W:W,O40)+COUNTIF('BD PPA'!AC:AC,O40)+COUNTIF('BD FRESCOS'!AC:AC,O40),IF(GRAFICO!$B$4="SECOS",COUNTIF('BD SECOS'!W:W,O40),IF(GRAFICO!$B$4="PPA",COUNTIF('BD PPA'!AC:AC,O40),COUNTIF('BD FRESCOS'!AC:AC,O40)))),IF(GRAFICO!$B$4="TODOS",COUNTIFS('BD SECOS'!W:W,O40,'BD SECOS'!AE:AE,GRAFICO!$D$4)+COUNTIFS('BD PPA'!AC:AC,O40,'BD PPA'!AK:AK,GRAFICO!$D$4)+COUNTIFS('BD FRESCOS'!AC:AC,O40,'BD FRESCOS'!AK:AK,GRAFICO!$D$4),IF(GRAFICO!$B$4="SECOS",COUNTIFS('BD SECOS'!W:W,O40,'BD SECOS'!AE:AE,GRAFICO!$D$4),IF(GRAFICO!$B$4="PPA",COUNTIFS('BD PPA'!AC:AC,O40,'BD PPA'!AK:AK,GRAFICO!$D$4),COUNTIFS('BD FRESCOS'!AC:AC,O40,'BD FRESCOS'!AK:AK,GRAFICO!$D$4))))))</f>
        <v>4</v>
      </c>
      <c r="R40">
        <f t="shared" si="1"/>
        <v>6</v>
      </c>
    </row>
    <row r="41" spans="8:18" x14ac:dyDescent="0.35">
      <c r="H41" t="str">
        <v>Santa Eulalia</v>
      </c>
      <c r="I41">
        <v>0</v>
      </c>
      <c r="J41">
        <v>999.00350000000003</v>
      </c>
      <c r="O41" t="s">
        <v>4306</v>
      </c>
      <c r="P41" t="s">
        <v>4302</v>
      </c>
      <c r="Q41">
        <f>IF(O41="",0,IF(GRAFICO!$D$4="TODOS",IF(GRAFICO!$B$4="TODOS",COUNTIF('BD SECOS'!W:W,O41)+COUNTIF('BD PPA'!AC:AC,O41)+COUNTIF('BD FRESCOS'!AC:AC,O41),IF(GRAFICO!$B$4="SECOS",COUNTIF('BD SECOS'!W:W,O41),IF(GRAFICO!$B$4="PPA",COUNTIF('BD PPA'!AC:AC,O41),COUNTIF('BD FRESCOS'!AC:AC,O41)))),IF(GRAFICO!$B$4="TODOS",COUNTIFS('BD SECOS'!W:W,O41,'BD SECOS'!AE:AE,GRAFICO!$D$4)+COUNTIFS('BD PPA'!AC:AC,O41,'BD PPA'!AK:AK,GRAFICO!$D$4)+COUNTIFS('BD FRESCOS'!AC:AC,O41,'BD FRESCOS'!AK:AK,GRAFICO!$D$4),IF(GRAFICO!$B$4="SECOS",COUNTIFS('BD SECOS'!W:W,O41,'BD SECOS'!AE:AE,GRAFICO!$D$4),IF(GRAFICO!$B$4="PPA",COUNTIFS('BD PPA'!AC:AC,O41,'BD PPA'!AK:AK,GRAFICO!$D$4),COUNTIFS('BD FRESCOS'!AC:AC,O41,'BD FRESCOS'!AK:AK,GRAFICO!$D$4))))))</f>
        <v>0</v>
      </c>
      <c r="R41">
        <f t="shared" si="1"/>
        <v>999</v>
      </c>
    </row>
    <row r="42" spans="8:18" x14ac:dyDescent="0.35">
      <c r="H42" t="str">
        <v>Santa Rosa</v>
      </c>
      <c r="I42">
        <v>0</v>
      </c>
      <c r="J42">
        <v>999.00360000000001</v>
      </c>
      <c r="O42" t="s">
        <v>4307</v>
      </c>
      <c r="P42" t="s">
        <v>4302</v>
      </c>
      <c r="Q42">
        <f>IF(O42="",0,IF(GRAFICO!$D$4="TODOS",IF(GRAFICO!$B$4="TODOS",COUNTIF('BD SECOS'!W:W,O42)+COUNTIF('BD PPA'!AC:AC,O42)+COUNTIF('BD FRESCOS'!AC:AC,O42),IF(GRAFICO!$B$4="SECOS",COUNTIF('BD SECOS'!W:W,O42),IF(GRAFICO!$B$4="PPA",COUNTIF('BD PPA'!AC:AC,O42),COUNTIF('BD FRESCOS'!AC:AC,O42)))),IF(GRAFICO!$B$4="TODOS",COUNTIFS('BD SECOS'!W:W,O42,'BD SECOS'!AE:AE,GRAFICO!$D$4)+COUNTIFS('BD PPA'!AC:AC,O42,'BD PPA'!AK:AK,GRAFICO!$D$4)+COUNTIFS('BD FRESCOS'!AC:AC,O42,'BD FRESCOS'!AK:AK,GRAFICO!$D$4),IF(GRAFICO!$B$4="SECOS",COUNTIFS('BD SECOS'!W:W,O42,'BD SECOS'!AE:AE,GRAFICO!$D$4),IF(GRAFICO!$B$4="PPA",COUNTIFS('BD PPA'!AC:AC,O42,'BD PPA'!AK:AK,GRAFICO!$D$4),COUNTIFS('BD FRESCOS'!AC:AC,O42,'BD FRESCOS'!AK:AK,GRAFICO!$D$4))))))</f>
        <v>4</v>
      </c>
      <c r="R42">
        <f t="shared" si="1"/>
        <v>6</v>
      </c>
    </row>
    <row r="43" spans="8:18" x14ac:dyDescent="0.35">
      <c r="H43" t="str">
        <v>Santiago De Surco</v>
      </c>
      <c r="I43">
        <v>7</v>
      </c>
      <c r="J43">
        <v>5.0003700000000002</v>
      </c>
      <c r="O43" t="s">
        <v>4309</v>
      </c>
      <c r="P43" t="s">
        <v>4308</v>
      </c>
      <c r="Q43">
        <f>IF(O43="",0,IF(GRAFICO!$D$4="TODOS",IF(GRAFICO!$B$4="TODOS",COUNTIF('BD SECOS'!W:W,O43)+COUNTIF('BD PPA'!AC:AC,O43)+COUNTIF('BD FRESCOS'!AC:AC,O43),IF(GRAFICO!$B$4="SECOS",COUNTIF('BD SECOS'!W:W,O43),IF(GRAFICO!$B$4="PPA",COUNTIF('BD PPA'!AC:AC,O43),COUNTIF('BD FRESCOS'!AC:AC,O43)))),IF(GRAFICO!$B$4="TODOS",COUNTIFS('BD SECOS'!W:W,O43,'BD SECOS'!AE:AE,GRAFICO!$D$4)+COUNTIFS('BD PPA'!AC:AC,O43,'BD PPA'!AK:AK,GRAFICO!$D$4)+COUNTIFS('BD FRESCOS'!AC:AC,O43,'BD FRESCOS'!AK:AK,GRAFICO!$D$4),IF(GRAFICO!$B$4="SECOS",COUNTIFS('BD SECOS'!W:W,O43,'BD SECOS'!AE:AE,GRAFICO!$D$4),IF(GRAFICO!$B$4="PPA",COUNTIFS('BD PPA'!AC:AC,O43,'BD PPA'!AK:AK,GRAFICO!$D$4),COUNTIFS('BD FRESCOS'!AC:AC,O43,'BD FRESCOS'!AK:AK,GRAFICO!$D$4))))))</f>
        <v>1</v>
      </c>
      <c r="R43">
        <f t="shared" si="1"/>
        <v>23</v>
      </c>
    </row>
    <row r="44" spans="8:18" x14ac:dyDescent="0.35">
      <c r="H44" t="str">
        <v>Surquillo</v>
      </c>
      <c r="I44">
        <v>2</v>
      </c>
      <c r="J44">
        <v>16.00038</v>
      </c>
      <c r="O44" t="s">
        <v>4310</v>
      </c>
      <c r="P44" t="s">
        <v>4308</v>
      </c>
      <c r="Q44">
        <f>IF(O44="",0,IF(GRAFICO!$D$4="TODOS",IF(GRAFICO!$B$4="TODOS",COUNTIF('BD SECOS'!W:W,O44)+COUNTIF('BD PPA'!AC:AC,O44)+COUNTIF('BD FRESCOS'!AC:AC,O44),IF(GRAFICO!$B$4="SECOS",COUNTIF('BD SECOS'!W:W,O44),IF(GRAFICO!$B$4="PPA",COUNTIF('BD PPA'!AC:AC,O44),COUNTIF('BD FRESCOS'!AC:AC,O44)))),IF(GRAFICO!$B$4="TODOS",COUNTIFS('BD SECOS'!W:W,O44,'BD SECOS'!AE:AE,GRAFICO!$D$4)+COUNTIFS('BD PPA'!AC:AC,O44,'BD PPA'!AK:AK,GRAFICO!$D$4)+COUNTIFS('BD FRESCOS'!AC:AC,O44,'BD FRESCOS'!AK:AK,GRAFICO!$D$4),IF(GRAFICO!$B$4="SECOS",COUNTIFS('BD SECOS'!W:W,O44,'BD SECOS'!AE:AE,GRAFICO!$D$4),IF(GRAFICO!$B$4="PPA",COUNTIFS('BD PPA'!AC:AC,O44,'BD PPA'!AK:AK,GRAFICO!$D$4),COUNTIFS('BD FRESCOS'!AC:AC,O44,'BD FRESCOS'!AK:AK,GRAFICO!$D$4))))))</f>
        <v>2</v>
      </c>
      <c r="R44">
        <f t="shared" si="1"/>
        <v>18</v>
      </c>
    </row>
    <row r="45" spans="8:18" x14ac:dyDescent="0.35">
      <c r="H45" t="str">
        <v>Vegueta</v>
      </c>
      <c r="I45">
        <v>1</v>
      </c>
      <c r="J45">
        <v>25.000389999999999</v>
      </c>
      <c r="O45" t="s">
        <v>4311</v>
      </c>
      <c r="P45" t="s">
        <v>4336</v>
      </c>
      <c r="Q45">
        <f>IF(O45="",0,IF(GRAFICO!$D$4="TODOS",IF(GRAFICO!$B$4="TODOS",COUNTIF('BD SECOS'!W:W,O45)+COUNTIF('BD PPA'!AC:AC,O45)+COUNTIF('BD FRESCOS'!AC:AC,O45),IF(GRAFICO!$B$4="SECOS",COUNTIF('BD SECOS'!W:W,O45),IF(GRAFICO!$B$4="PPA",COUNTIF('BD PPA'!AC:AC,O45),COUNTIF('BD FRESCOS'!AC:AC,O45)))),IF(GRAFICO!$B$4="TODOS",COUNTIFS('BD SECOS'!W:W,O45,'BD SECOS'!AE:AE,GRAFICO!$D$4)+COUNTIFS('BD PPA'!AC:AC,O45,'BD PPA'!AK:AK,GRAFICO!$D$4)+COUNTIFS('BD FRESCOS'!AC:AC,O45,'BD FRESCOS'!AK:AK,GRAFICO!$D$4),IF(GRAFICO!$B$4="SECOS",COUNTIFS('BD SECOS'!W:W,O45,'BD SECOS'!AE:AE,GRAFICO!$D$4),IF(GRAFICO!$B$4="PPA",COUNTIFS('BD PPA'!AC:AC,O45,'BD PPA'!AK:AK,GRAFICO!$D$4),COUNTIFS('BD FRESCOS'!AC:AC,O45,'BD FRESCOS'!AK:AK,GRAFICO!$D$4))))))</f>
        <v>1</v>
      </c>
      <c r="R45">
        <f t="shared" si="1"/>
        <v>23</v>
      </c>
    </row>
    <row r="46" spans="8:18" x14ac:dyDescent="0.35">
      <c r="H46" t="str">
        <v>Ventanilla</v>
      </c>
      <c r="I46">
        <v>1</v>
      </c>
      <c r="J46">
        <v>25.000399999999999</v>
      </c>
      <c r="O46" t="s">
        <v>4313</v>
      </c>
      <c r="P46" t="s">
        <v>4336</v>
      </c>
      <c r="Q46">
        <f>IF(O46="",0,IF(GRAFICO!$D$4="TODOS",IF(GRAFICO!$B$4="TODOS",COUNTIF('BD SECOS'!W:W,O46)+COUNTIF('BD PPA'!AC:AC,O46)+COUNTIF('BD FRESCOS'!AC:AC,O46),IF(GRAFICO!$B$4="SECOS",COUNTIF('BD SECOS'!W:W,O46),IF(GRAFICO!$B$4="PPA",COUNTIF('BD PPA'!AC:AC,O46),COUNTIF('BD FRESCOS'!AC:AC,O46)))),IF(GRAFICO!$B$4="TODOS",COUNTIFS('BD SECOS'!W:W,O46,'BD SECOS'!AE:AE,GRAFICO!$D$4)+COUNTIFS('BD PPA'!AC:AC,O46,'BD PPA'!AK:AK,GRAFICO!$D$4)+COUNTIFS('BD FRESCOS'!AC:AC,O46,'BD FRESCOS'!AK:AK,GRAFICO!$D$4),IF(GRAFICO!$B$4="SECOS",COUNTIFS('BD SECOS'!W:W,O46,'BD SECOS'!AE:AE,GRAFICO!$D$4),IF(GRAFICO!$B$4="PPA",COUNTIFS('BD PPA'!AC:AC,O46,'BD PPA'!AK:AK,GRAFICO!$D$4),COUNTIFS('BD FRESCOS'!AC:AC,O46,'BD FRESCOS'!AK:AK,GRAFICO!$D$4))))))</f>
        <v>1</v>
      </c>
      <c r="R46">
        <f t="shared" si="1"/>
        <v>23</v>
      </c>
    </row>
    <row r="47" spans="8:18" x14ac:dyDescent="0.35">
      <c r="H47" t="str">
        <v>Villa El Salvador</v>
      </c>
      <c r="I47">
        <v>2</v>
      </c>
      <c r="J47">
        <v>16.000409999999999</v>
      </c>
    </row>
    <row r="48" spans="8:18" x14ac:dyDescent="0.35">
      <c r="H48" t="str">
        <v>Villa Maria Del Triunfo</v>
      </c>
      <c r="I48">
        <v>1</v>
      </c>
      <c r="J48">
        <v>25.000419999999998</v>
      </c>
    </row>
  </sheetData>
  <autoFilter ref="H6:J66" xr:uid="{4E7BCA91-5E25-4EE6-88AE-4E03C9ED854E}"/>
  <mergeCells count="3">
    <mergeCell ref="H5:J5"/>
    <mergeCell ref="L5:M5"/>
    <mergeCell ref="O5:Q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0C088-347A-461A-8C57-07EE620C1241}">
  <dimension ref="A1:G15"/>
  <sheetViews>
    <sheetView workbookViewId="0">
      <selection activeCell="C8" sqref="C8"/>
    </sheetView>
  </sheetViews>
  <sheetFormatPr baseColWidth="10" defaultRowHeight="14.5" x14ac:dyDescent="0.35"/>
  <cols>
    <col min="3" max="3" width="12.81640625" customWidth="1"/>
    <col min="4" max="4" width="14.54296875" hidden="1" customWidth="1"/>
    <col min="5" max="5" width="12.7265625" hidden="1" customWidth="1"/>
    <col min="6" max="6" width="13.36328125" hidden="1" customWidth="1"/>
    <col min="7" max="7" width="17.453125" bestFit="1" customWidth="1"/>
  </cols>
  <sheetData>
    <row r="1" spans="1:7" x14ac:dyDescent="0.35">
      <c r="A1" t="s">
        <v>4235</v>
      </c>
      <c r="B1" t="s">
        <v>4639</v>
      </c>
      <c r="C1" t="s">
        <v>4633</v>
      </c>
      <c r="D1" t="s">
        <v>4640</v>
      </c>
      <c r="E1" t="s">
        <v>4641</v>
      </c>
      <c r="F1" t="s">
        <v>4642</v>
      </c>
      <c r="G1" t="s">
        <v>4649</v>
      </c>
    </row>
    <row r="2" spans="1:7" x14ac:dyDescent="0.35">
      <c r="A2" t="s">
        <v>4237</v>
      </c>
      <c r="B2" t="s">
        <v>4631</v>
      </c>
      <c r="C2">
        <v>30</v>
      </c>
      <c r="D2">
        <v>30</v>
      </c>
      <c r="E2">
        <v>20</v>
      </c>
      <c r="F2">
        <v>8</v>
      </c>
      <c r="G2" s="144">
        <v>3720</v>
      </c>
    </row>
    <row r="3" spans="1:7" x14ac:dyDescent="0.35">
      <c r="A3" t="s">
        <v>4246</v>
      </c>
      <c r="B3" t="s">
        <v>4628</v>
      </c>
      <c r="C3">
        <v>10</v>
      </c>
      <c r="D3">
        <v>5</v>
      </c>
      <c r="E3">
        <v>5</v>
      </c>
      <c r="F3">
        <v>3</v>
      </c>
      <c r="G3" s="144">
        <v>3720</v>
      </c>
    </row>
    <row r="4" spans="1:7" x14ac:dyDescent="0.35">
      <c r="A4" t="s">
        <v>4250</v>
      </c>
      <c r="B4" t="s">
        <v>4632</v>
      </c>
      <c r="C4">
        <v>50</v>
      </c>
      <c r="D4">
        <v>35</v>
      </c>
      <c r="E4">
        <v>15</v>
      </c>
      <c r="F4">
        <v>22</v>
      </c>
      <c r="G4" s="144">
        <v>4080</v>
      </c>
    </row>
    <row r="5" spans="1:7" x14ac:dyDescent="0.35">
      <c r="A5" t="s">
        <v>4261</v>
      </c>
      <c r="B5" t="s">
        <v>4631</v>
      </c>
      <c r="C5">
        <v>30</v>
      </c>
      <c r="D5">
        <v>12</v>
      </c>
      <c r="E5">
        <v>9</v>
      </c>
      <c r="F5">
        <v>4</v>
      </c>
      <c r="G5" s="144">
        <v>3900</v>
      </c>
    </row>
    <row r="6" spans="1:7" x14ac:dyDescent="0.35">
      <c r="A6" t="s">
        <v>4273</v>
      </c>
      <c r="B6" t="s">
        <v>4631</v>
      </c>
      <c r="C6">
        <v>30</v>
      </c>
      <c r="D6">
        <v>9</v>
      </c>
      <c r="E6">
        <v>20</v>
      </c>
      <c r="F6">
        <v>18</v>
      </c>
      <c r="G6" s="144">
        <v>3620</v>
      </c>
    </row>
    <row r="7" spans="1:7" x14ac:dyDescent="0.35">
      <c r="A7" t="s">
        <v>4281</v>
      </c>
      <c r="B7" t="s">
        <v>4632</v>
      </c>
      <c r="C7">
        <v>50</v>
      </c>
      <c r="D7">
        <v>40</v>
      </c>
      <c r="E7">
        <v>21</v>
      </c>
      <c r="F7">
        <v>14</v>
      </c>
      <c r="G7" s="144">
        <v>4440</v>
      </c>
    </row>
    <row r="8" spans="1:7" x14ac:dyDescent="0.35">
      <c r="A8" t="s">
        <v>4289</v>
      </c>
      <c r="B8" t="s">
        <v>4632</v>
      </c>
      <c r="C8">
        <v>50</v>
      </c>
      <c r="D8">
        <v>27</v>
      </c>
      <c r="E8">
        <v>15</v>
      </c>
      <c r="F8">
        <v>23</v>
      </c>
      <c r="G8" s="144">
        <v>3720</v>
      </c>
    </row>
    <row r="9" spans="1:7" x14ac:dyDescent="0.35">
      <c r="A9" t="s">
        <v>4296</v>
      </c>
      <c r="B9" t="s">
        <v>4632</v>
      </c>
      <c r="C9">
        <v>50</v>
      </c>
      <c r="D9">
        <v>22</v>
      </c>
      <c r="E9">
        <v>11</v>
      </c>
      <c r="F9">
        <v>9</v>
      </c>
      <c r="G9" s="144">
        <v>3720</v>
      </c>
    </row>
    <row r="10" spans="1:7" x14ac:dyDescent="0.35">
      <c r="A10" t="s">
        <v>4299</v>
      </c>
      <c r="B10" t="s">
        <v>4631</v>
      </c>
      <c r="C10">
        <v>30</v>
      </c>
      <c r="D10">
        <v>18</v>
      </c>
      <c r="E10">
        <v>8</v>
      </c>
      <c r="F10">
        <v>12</v>
      </c>
      <c r="G10" s="144">
        <v>3720</v>
      </c>
    </row>
    <row r="11" spans="1:7" x14ac:dyDescent="0.35">
      <c r="A11" t="s">
        <v>4302</v>
      </c>
      <c r="B11" t="s">
        <v>4632</v>
      </c>
      <c r="C11">
        <v>50</v>
      </c>
      <c r="D11">
        <v>26</v>
      </c>
      <c r="E11">
        <v>18</v>
      </c>
      <c r="F11">
        <v>15</v>
      </c>
      <c r="G11" s="144">
        <v>4080</v>
      </c>
    </row>
    <row r="12" spans="1:7" x14ac:dyDescent="0.35">
      <c r="A12" t="s">
        <v>4308</v>
      </c>
      <c r="B12" t="s">
        <v>4631</v>
      </c>
      <c r="C12">
        <v>30</v>
      </c>
      <c r="D12">
        <v>19</v>
      </c>
      <c r="E12">
        <v>15</v>
      </c>
      <c r="F12">
        <v>6</v>
      </c>
      <c r="G12" s="144">
        <v>3720</v>
      </c>
    </row>
    <row r="13" spans="1:7" x14ac:dyDescent="0.35">
      <c r="A13" t="s">
        <v>4316</v>
      </c>
      <c r="B13" t="s">
        <v>4632</v>
      </c>
      <c r="C13">
        <v>50</v>
      </c>
      <c r="D13">
        <v>31</v>
      </c>
      <c r="E13">
        <v>24</v>
      </c>
      <c r="F13">
        <v>21</v>
      </c>
      <c r="G13" s="144">
        <v>4560</v>
      </c>
    </row>
    <row r="14" spans="1:7" x14ac:dyDescent="0.35">
      <c r="A14" t="s">
        <v>4336</v>
      </c>
      <c r="B14" t="s">
        <v>4631</v>
      </c>
      <c r="C14">
        <v>30</v>
      </c>
      <c r="D14">
        <v>18</v>
      </c>
      <c r="E14">
        <v>14</v>
      </c>
      <c r="F14">
        <v>13</v>
      </c>
      <c r="G14" s="144">
        <v>3720</v>
      </c>
    </row>
    <row r="15" spans="1:7" x14ac:dyDescent="0.35">
      <c r="A15" t="s">
        <v>4349</v>
      </c>
      <c r="B15" t="s">
        <v>4628</v>
      </c>
      <c r="C15">
        <v>10</v>
      </c>
      <c r="D15">
        <v>5</v>
      </c>
      <c r="E15">
        <v>4</v>
      </c>
      <c r="F15">
        <v>4</v>
      </c>
      <c r="G15" s="144">
        <v>3360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94264-7AEB-441C-84D3-40F2F678CF23}">
  <dimension ref="A1:AE455"/>
  <sheetViews>
    <sheetView zoomScale="85" zoomScaleNormal="85" workbookViewId="0">
      <selection activeCell="C195" sqref="C195"/>
    </sheetView>
  </sheetViews>
  <sheetFormatPr baseColWidth="10" defaultRowHeight="14.5" x14ac:dyDescent="0.35"/>
  <cols>
    <col min="1" max="1" width="9.54296875" bestFit="1" customWidth="1"/>
    <col min="2" max="2" width="36.26953125" bestFit="1" customWidth="1"/>
    <col min="3" max="3" width="35.6328125" bestFit="1" customWidth="1"/>
    <col min="4" max="4" width="17.7265625" bestFit="1" customWidth="1"/>
    <col min="5" max="5" width="20.7265625" bestFit="1" customWidth="1"/>
    <col min="6" max="6" width="14.7265625" bestFit="1" customWidth="1"/>
    <col min="7" max="7" width="47.36328125" bestFit="1" customWidth="1"/>
    <col min="8" max="8" width="11.08984375" bestFit="1" customWidth="1"/>
    <col min="9" max="9" width="14.54296875" bestFit="1" customWidth="1"/>
    <col min="10" max="10" width="9.81640625" bestFit="1" customWidth="1"/>
    <col min="11" max="11" width="7.36328125" bestFit="1" customWidth="1"/>
    <col min="12" max="12" width="11" bestFit="1" customWidth="1"/>
    <col min="13" max="13" width="23.81640625" bestFit="1" customWidth="1"/>
    <col min="14" max="14" width="36.90625" bestFit="1" customWidth="1"/>
    <col min="15" max="15" width="15.7265625" bestFit="1" customWidth="1"/>
    <col min="16" max="16" width="12.6328125" bestFit="1" customWidth="1"/>
    <col min="17" max="17" width="20.6328125" bestFit="1" customWidth="1"/>
    <col min="18" max="18" width="135.08984375" bestFit="1" customWidth="1"/>
    <col min="19" max="19" width="12.26953125" bestFit="1" customWidth="1"/>
    <col min="20" max="20" width="12.6328125" bestFit="1" customWidth="1"/>
    <col min="21" max="21" width="20.1796875" bestFit="1" customWidth="1"/>
    <col min="22" max="22" width="22.08984375" bestFit="1" customWidth="1"/>
    <col min="23" max="23" width="67.453125" bestFit="1" customWidth="1"/>
    <col min="24" max="24" width="20.7265625" bestFit="1" customWidth="1"/>
    <col min="25" max="25" width="24.81640625" bestFit="1" customWidth="1"/>
    <col min="26" max="26" width="27.453125" bestFit="1" customWidth="1"/>
    <col min="27" max="27" width="20.7265625" bestFit="1" customWidth="1"/>
    <col min="28" max="28" width="48.453125" bestFit="1" customWidth="1"/>
    <col min="29" max="29" width="11.81640625" bestFit="1" customWidth="1"/>
    <col min="30" max="30" width="12.36328125" bestFit="1" customWidth="1"/>
    <col min="31" max="31" width="17.08984375" bestFit="1" customWidth="1"/>
  </cols>
  <sheetData>
    <row r="1" spans="1:31" x14ac:dyDescent="0.35">
      <c r="A1" s="12" t="s">
        <v>1957</v>
      </c>
      <c r="B1" s="13" t="s">
        <v>1958</v>
      </c>
      <c r="C1" s="13" t="s">
        <v>9</v>
      </c>
      <c r="D1" s="14" t="s">
        <v>10</v>
      </c>
      <c r="E1" s="13" t="s">
        <v>11</v>
      </c>
      <c r="F1" s="13" t="s">
        <v>14</v>
      </c>
      <c r="G1" s="13" t="s">
        <v>15</v>
      </c>
      <c r="H1" s="13" t="s">
        <v>1959</v>
      </c>
      <c r="I1" s="13" t="s">
        <v>1960</v>
      </c>
      <c r="J1" s="13" t="s">
        <v>1961</v>
      </c>
      <c r="K1" s="13" t="s">
        <v>1962</v>
      </c>
      <c r="L1" s="13" t="s">
        <v>1963</v>
      </c>
      <c r="M1" s="13" t="s">
        <v>16</v>
      </c>
      <c r="N1" s="13" t="s">
        <v>17</v>
      </c>
      <c r="O1" s="13" t="s">
        <v>19</v>
      </c>
      <c r="P1" s="13" t="s">
        <v>20</v>
      </c>
      <c r="Q1" s="15" t="s">
        <v>21</v>
      </c>
      <c r="R1" s="20" t="s">
        <v>4231</v>
      </c>
      <c r="S1" s="20" t="s">
        <v>4232</v>
      </c>
      <c r="T1" s="20" t="s">
        <v>4233</v>
      </c>
      <c r="U1" s="23" t="s">
        <v>4355</v>
      </c>
      <c r="V1" s="23" t="s">
        <v>4356</v>
      </c>
      <c r="W1" s="23" t="s">
        <v>4357</v>
      </c>
      <c r="X1" s="23" t="s">
        <v>4358</v>
      </c>
      <c r="Y1" s="23" t="s">
        <v>4359</v>
      </c>
      <c r="Z1" s="23" t="s">
        <v>4360</v>
      </c>
      <c r="AA1" s="23" t="s">
        <v>4451</v>
      </c>
      <c r="AB1" s="23" t="s">
        <v>4457</v>
      </c>
      <c r="AC1" s="20" t="s">
        <v>4469</v>
      </c>
      <c r="AD1" s="20" t="s">
        <v>4470</v>
      </c>
      <c r="AE1" s="80" t="s">
        <v>4537</v>
      </c>
    </row>
    <row r="2" spans="1:31" hidden="1" x14ac:dyDescent="0.35">
      <c r="A2" s="8">
        <v>60073662</v>
      </c>
      <c r="B2" s="4" t="s">
        <v>1970</v>
      </c>
      <c r="C2" s="4" t="s">
        <v>1971</v>
      </c>
      <c r="D2" s="5">
        <v>45964</v>
      </c>
      <c r="E2" s="4" t="s">
        <v>31</v>
      </c>
      <c r="F2" s="4" t="s">
        <v>36</v>
      </c>
      <c r="G2" s="4" t="s">
        <v>1972</v>
      </c>
      <c r="H2" s="4" t="s">
        <v>1973</v>
      </c>
      <c r="I2" s="4" t="s">
        <v>1968</v>
      </c>
      <c r="J2" s="4" t="s">
        <v>1968</v>
      </c>
      <c r="K2" s="4" t="s">
        <v>1973</v>
      </c>
      <c r="L2" s="4" t="s">
        <v>1974</v>
      </c>
      <c r="M2" s="4" t="s">
        <v>36</v>
      </c>
      <c r="N2" s="4" t="s">
        <v>1975</v>
      </c>
      <c r="O2" s="4" t="s">
        <v>37</v>
      </c>
      <c r="P2" s="4" t="s">
        <v>37</v>
      </c>
      <c r="Q2" s="10" t="s">
        <v>76</v>
      </c>
      <c r="R2" s="19" t="str">
        <f t="shared" ref="R2:R33" si="0">_xlfn.LET(_xlpm.parte1,TRIM(IF(F2="Otros / No aplica","",F2&amp;" ")&amp;G2&amp;IF(AND(H2&lt;&gt;"",H2&lt;&gt;"0",H2&lt;&gt;0)," "&amp;H2,"")&amp;IF(I2&lt;&gt;"",", Apt. "&amp;I2,"")&amp;IF(J2&lt;&gt;"",", Int. "&amp;J2,"")&amp;IF(AND(K2&lt;&gt;"",K2&lt;&gt;0),", Lote "&amp;K2,"")&amp;IF(L2&lt;&gt;"",", Mz. "&amp;L2,"")&amp;IF(AND(M2&lt;&gt;"",M2&lt;&gt;"Otros / No aplica"),", "&amp;M2,"")&amp;IF(AND(N2&lt;&gt;"",N2&lt;&gt;"0",N2&lt;&gt;0)," "&amp;N2,"")),_xlpm.parte2,Q2&amp;", "&amp;P2&amp;", "&amp;O2&amp;", Perú",IF(LEFT(_xlpm.parte1,1)=",",TRIM(MID(_xlpm.parte1,2,255))&amp;", "&amp;_xlpm.parte2,IF(_xlpm.parte1="",_xlpm.parte2,_xlpm.parte1&amp;", "&amp;_xlpm.parte2)))</f>
        <v>Asoc Esmeralda De Jicamarca 15, Lote 15, Mz. B San Francisco, Lurigancho, Lima, Lima, Perú</v>
      </c>
      <c r="S2" s="19">
        <v>-11.9783613</v>
      </c>
      <c r="T2" s="19">
        <v>-76.925780799999998</v>
      </c>
      <c r="U2" s="29">
        <f t="shared" ref="U2:U65" si="1">IF(OR(S2="",T2=""),"Sin coordenadas",ROUND(6371*ACOS(COS(RADIANS(90-S2))*COS(RADIANS(90-(-11.997563)))+SIN(RADIANS(90-S2))*SIN(RADIANS(90-(-11.997563)))*COS(RADIANS(T2-(-76.900062)))),2))</f>
        <v>3.52</v>
      </c>
      <c r="V2" s="19" t="str">
        <f t="shared" ref="V2:V65" si="2">IF(U2="Sin coordenadas","N/A",IF(U2&lt;=5,"🟢 Muy Cerca (0-5 km)",IF(U2&lt;=10,"🟡 Cerca (5-10 km)",IF(U2&lt;=20,"🟠 Moderada (10-20 km)","🔴 Lejos (&gt;20 km)"))))</f>
        <v>🟢 Muy Cerca (0-5 km)</v>
      </c>
      <c r="W2" s="19" t="str" cm="1">
        <f t="array" ref="W2">_xlfn.LET(_xlpm.lat_emp,S2,_xlpm.lon_emp,T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2" s="19" t="str">
        <f>_xlfn.LET(_xlpm.paradero,W2,INDEX(PARADEROS_VALIDOS!$A$2:$A$67,MATCH(_xlpm.paradero,PARADEROS_VALIDOS!$C$2:$C$67,0)))</f>
        <v>RUTA 2</v>
      </c>
      <c r="Y2" s="29" cm="1">
        <f t="array" ref="Y2">_xlfn.LET(_xlpm.lat_emp,S2,_xlpm.lon_emp,T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2.98</v>
      </c>
      <c r="Z2" s="19" t="str">
        <f t="shared" ref="Z2:Z65" si="3">IF(Y2&lt;=1,"🟢 Muy Cerca (0-1 km)",IF(Y2&lt;=3,"🟡 Cerca (1-3 km)",IF(Y2&lt;=5,"🟠 Moderada (3-5 km)","🔴 Lejos (&gt;5 km)")))</f>
        <v>🟡 Cerca (1-3 km)</v>
      </c>
      <c r="AA2" s="19"/>
      <c r="AB2" s="19"/>
      <c r="AC2" s="48">
        <v>-11.997563</v>
      </c>
      <c r="AD2" s="48">
        <v>-76.900062000000005</v>
      </c>
      <c r="AE2" s="19" t="str">
        <f>IFERROR(VLOOKUP(C2,tdcargo[],2,FALSE),"DESCONOCIDO")</f>
        <v>OPERARIO</v>
      </c>
    </row>
    <row r="3" spans="1:31" hidden="1" x14ac:dyDescent="0.35">
      <c r="A3" s="8">
        <v>60842568</v>
      </c>
      <c r="B3" s="4" t="s">
        <v>1979</v>
      </c>
      <c r="C3" s="4" t="s">
        <v>1971</v>
      </c>
      <c r="D3" s="5">
        <v>46083</v>
      </c>
      <c r="E3" s="4" t="s">
        <v>31</v>
      </c>
      <c r="F3" s="4" t="s">
        <v>36</v>
      </c>
      <c r="G3" s="4" t="s">
        <v>1980</v>
      </c>
      <c r="H3" s="4" t="s">
        <v>1956</v>
      </c>
      <c r="I3" s="4" t="s">
        <v>1968</v>
      </c>
      <c r="J3" s="4" t="s">
        <v>1968</v>
      </c>
      <c r="K3" s="4" t="s">
        <v>1981</v>
      </c>
      <c r="L3" s="4" t="s">
        <v>1982</v>
      </c>
      <c r="M3" s="4" t="s">
        <v>36</v>
      </c>
      <c r="N3" s="4" t="s">
        <v>1983</v>
      </c>
      <c r="O3" s="4" t="s">
        <v>37</v>
      </c>
      <c r="P3" s="4" t="s">
        <v>37</v>
      </c>
      <c r="Q3" s="10" t="s">
        <v>76</v>
      </c>
      <c r="R3" s="4" t="str">
        <f t="shared" si="0"/>
        <v>Huarangos, Lote 6, Mz. S1 CASA HUAERTA LA CAMP, Lurigancho, Lima, Lima, Perú</v>
      </c>
      <c r="S3" s="4">
        <v>-11.928603499999999</v>
      </c>
      <c r="T3" s="4">
        <v>-76.683861399999998</v>
      </c>
      <c r="U3" s="30">
        <f t="shared" si="1"/>
        <v>24.74</v>
      </c>
      <c r="V3" s="4" t="str">
        <f t="shared" si="2"/>
        <v>🔴 Lejos (&gt;20 km)</v>
      </c>
      <c r="W3" s="19" t="str" cm="1">
        <f t="array" ref="W3">_xlfn.LET(_xlpm.lat_emp,S3,_xlpm.lon_emp,T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3" s="19" t="str">
        <f>_xlfn.LET(_xlpm.paradero,W3,INDEX(PARADEROS_VALIDOS!$A$2:$A$67,MATCH(_xlpm.paradero,PARADEROS_VALIDOS!$C$2:$C$67,0)))</f>
        <v>RUTA 5A</v>
      </c>
      <c r="Y3" s="29" cm="1">
        <f t="array" ref="Y3">_xlfn.LET(_xlpm.lat_emp,S3,_xlpm.lon_emp,T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11.01</v>
      </c>
      <c r="Z3" s="4" t="str">
        <f t="shared" si="3"/>
        <v>🔴 Lejos (&gt;5 km)</v>
      </c>
      <c r="AA3" s="4"/>
      <c r="AB3" s="4"/>
      <c r="AC3" s="49">
        <v>-11.997563</v>
      </c>
      <c r="AD3" s="49">
        <v>-76.900062000000005</v>
      </c>
      <c r="AE3" s="19" t="str">
        <f>IFERROR(VLOOKUP(C3,tdcargo[],2,FALSE),"DESCONOCIDO")</f>
        <v>OPERARIO</v>
      </c>
    </row>
    <row r="4" spans="1:31" hidden="1" x14ac:dyDescent="0.35">
      <c r="A4" s="8">
        <v>72595857</v>
      </c>
      <c r="B4" s="4" t="s">
        <v>1984</v>
      </c>
      <c r="C4" s="4" t="s">
        <v>1971</v>
      </c>
      <c r="D4" s="5">
        <v>46083</v>
      </c>
      <c r="E4" s="4" t="s">
        <v>31</v>
      </c>
      <c r="F4" s="4" t="s">
        <v>82</v>
      </c>
      <c r="G4" s="4" t="s">
        <v>1234</v>
      </c>
      <c r="H4" s="4" t="s">
        <v>1985</v>
      </c>
      <c r="I4" s="4" t="s">
        <v>1968</v>
      </c>
      <c r="J4" s="4" t="s">
        <v>1968</v>
      </c>
      <c r="K4" s="4" t="s">
        <v>1986</v>
      </c>
      <c r="L4" s="4" t="s">
        <v>1987</v>
      </c>
      <c r="M4" s="4" t="s">
        <v>36</v>
      </c>
      <c r="N4" s="4" t="s">
        <v>1988</v>
      </c>
      <c r="O4" s="4" t="s">
        <v>37</v>
      </c>
      <c r="P4" s="4" t="s">
        <v>37</v>
      </c>
      <c r="Q4" s="10" t="s">
        <v>57</v>
      </c>
      <c r="R4" s="4" t="str">
        <f t="shared" si="0"/>
        <v>Calle Trujillo 123, Lote 20, Mz. J VILLA LETICIA, Ate, Lima, Lima, Perú</v>
      </c>
      <c r="S4" s="4">
        <v>-11.987445299999999</v>
      </c>
      <c r="T4" s="4">
        <v>-76.8995958</v>
      </c>
      <c r="U4" s="30">
        <f t="shared" si="1"/>
        <v>1.1299999999999999</v>
      </c>
      <c r="V4" s="4" t="str">
        <f t="shared" si="2"/>
        <v>🟢 Muy Cerca (0-5 km)</v>
      </c>
      <c r="W4" s="19" t="str" cm="1">
        <f t="array" ref="W4">_xlfn.LET(_xlpm.lat_emp,S4,_xlpm.lon_emp,T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4" s="19" t="str">
        <f>_xlfn.LET(_xlpm.paradero,W4,INDEX(PARADEROS_VALIDOS!$A$2:$A$67,MATCH(_xlpm.paradero,PARADEROS_VALIDOS!$C$2:$C$67,0)))</f>
        <v>RUTA 2</v>
      </c>
      <c r="Y4" s="29" cm="1">
        <f t="array" ref="Y4">_xlfn.LET(_xlpm.lat_emp,S4,_xlpm.lon_emp,T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0.78</v>
      </c>
      <c r="Z4" s="4" t="str">
        <f t="shared" si="3"/>
        <v>🟢 Muy Cerca (0-1 km)</v>
      </c>
      <c r="AA4" s="4"/>
      <c r="AB4" s="4"/>
      <c r="AC4" s="49">
        <v>-11.997563</v>
      </c>
      <c r="AD4" s="49">
        <v>-76.900062000000005</v>
      </c>
      <c r="AE4" s="19" t="str">
        <f>IFERROR(VLOOKUP(C4,tdcargo[],2,FALSE),"DESCONOCIDO")</f>
        <v>OPERARIO</v>
      </c>
    </row>
    <row r="5" spans="1:31" hidden="1" x14ac:dyDescent="0.35">
      <c r="A5" s="8">
        <v>46683880</v>
      </c>
      <c r="B5" s="4" t="s">
        <v>1989</v>
      </c>
      <c r="C5" s="4" t="s">
        <v>1971</v>
      </c>
      <c r="D5" s="5">
        <v>45989</v>
      </c>
      <c r="E5" s="4" t="s">
        <v>31</v>
      </c>
      <c r="F5" s="4" t="s">
        <v>82</v>
      </c>
      <c r="G5" s="4" t="s">
        <v>1990</v>
      </c>
      <c r="H5" s="4" t="s">
        <v>1991</v>
      </c>
      <c r="I5" s="4" t="s">
        <v>1968</v>
      </c>
      <c r="J5" s="4" t="s">
        <v>1968</v>
      </c>
      <c r="K5" s="4" t="s">
        <v>1992</v>
      </c>
      <c r="L5" s="4" t="s">
        <v>1993</v>
      </c>
      <c r="M5" s="4" t="s">
        <v>186</v>
      </c>
      <c r="N5" s="4" t="s">
        <v>141</v>
      </c>
      <c r="O5" s="4" t="s">
        <v>37</v>
      </c>
      <c r="P5" s="4" t="s">
        <v>37</v>
      </c>
      <c r="Q5" s="10" t="s">
        <v>76</v>
      </c>
      <c r="R5" s="4" t="str">
        <f t="shared" si="0"/>
        <v>Calle Mariscal Caceres 4613, Lote 36, Mz. F11, Urb. Urbanización MARISCAL CACERES, Lurigancho, Lima, Lima, Perú</v>
      </c>
      <c r="S5" s="4">
        <v>-11.947525199999999</v>
      </c>
      <c r="T5" s="4">
        <v>-76.980099100000004</v>
      </c>
      <c r="U5" s="30">
        <f t="shared" si="1"/>
        <v>10.33</v>
      </c>
      <c r="V5" s="4" t="str">
        <f t="shared" si="2"/>
        <v>🟠 Moderada (10-20 km)</v>
      </c>
      <c r="W5" s="19" t="str" cm="1">
        <f t="array" ref="W5">_xlfn.LET(_xlpm.lat_emp,S5,_xlpm.lon_emp,T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5" s="19" t="str">
        <f>_xlfn.LET(_xlpm.paradero,W5,INDEX(PARADEROS_VALIDOS!$A$2:$A$67,MATCH(_xlpm.paradero,PARADEROS_VALIDOS!$C$2:$C$67,0)))</f>
        <v>RUTA 6A</v>
      </c>
      <c r="Y5" s="29" cm="1">
        <f t="array" ref="Y5">_xlfn.LET(_xlpm.lat_emp,S5,_xlpm.lon_emp,T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3.75</v>
      </c>
      <c r="Z5" s="4" t="str">
        <f t="shared" si="3"/>
        <v>🟠 Moderada (3-5 km)</v>
      </c>
      <c r="AA5" s="4"/>
      <c r="AB5" s="4"/>
      <c r="AC5" s="49">
        <v>-11.997563</v>
      </c>
      <c r="AD5" s="49">
        <v>-76.900062000000005</v>
      </c>
      <c r="AE5" s="19" t="str">
        <f>IFERROR(VLOOKUP(C5,tdcargo[],2,FALSE),"DESCONOCIDO")</f>
        <v>OPERARIO</v>
      </c>
    </row>
    <row r="6" spans="1:31" hidden="1" x14ac:dyDescent="0.35">
      <c r="A6" s="8">
        <v>76252309</v>
      </c>
      <c r="B6" s="4" t="s">
        <v>1994</v>
      </c>
      <c r="C6" s="4" t="s">
        <v>1971</v>
      </c>
      <c r="D6" s="5">
        <v>46006</v>
      </c>
      <c r="E6" s="4" t="s">
        <v>31</v>
      </c>
      <c r="F6" s="4" t="s">
        <v>34</v>
      </c>
      <c r="G6" s="4" t="s">
        <v>1017</v>
      </c>
      <c r="H6" s="4" t="s">
        <v>1995</v>
      </c>
      <c r="I6" s="4" t="s">
        <v>1968</v>
      </c>
      <c r="J6" s="4" t="s">
        <v>1995</v>
      </c>
      <c r="K6" s="4" t="s">
        <v>1996</v>
      </c>
      <c r="L6" s="4" t="s">
        <v>1461</v>
      </c>
      <c r="M6" s="4" t="s">
        <v>36</v>
      </c>
      <c r="N6" s="4" t="s">
        <v>1997</v>
      </c>
      <c r="O6" s="4" t="s">
        <v>37</v>
      </c>
      <c r="P6" s="4" t="s">
        <v>37</v>
      </c>
      <c r="Q6" s="10" t="s">
        <v>76</v>
      </c>
      <c r="R6" s="4" t="str">
        <f t="shared" si="0"/>
        <v>Avenida Cajamarquilla 1, Int. 1, Lote 2, Mz. C CAJA DE AGUA, Lurigancho, Lima, Lima, Perú</v>
      </c>
      <c r="S6" s="4">
        <v>-12.027405999999999</v>
      </c>
      <c r="T6" s="4">
        <v>-77.014703999999995</v>
      </c>
      <c r="U6" s="30">
        <f t="shared" si="1"/>
        <v>12.9</v>
      </c>
      <c r="V6" s="4" t="str">
        <f t="shared" si="2"/>
        <v>🟠 Moderada (10-20 km)</v>
      </c>
      <c r="W6" s="19" t="str" cm="1">
        <f t="array" ref="W6">_xlfn.LET(_xlpm.lat_emp,S6,_xlpm.lon_emp,T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Mercado Las Flores</v>
      </c>
      <c r="X6" s="19" t="str">
        <f>_xlfn.LET(_xlpm.paradero,W6,INDEX(PARADEROS_VALIDOS!$A$2:$A$67,MATCH(_xlpm.paradero,PARADEROS_VALIDOS!$C$2:$C$67,0)))</f>
        <v>RUTA 8</v>
      </c>
      <c r="Y6" s="29" cm="1">
        <f t="array" ref="Y6">_xlfn.LET(_xlpm.lat_emp,S6,_xlpm.lon_emp,T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1.53</v>
      </c>
      <c r="Z6" s="4" t="str">
        <f t="shared" si="3"/>
        <v>🟡 Cerca (1-3 km)</v>
      </c>
      <c r="AA6" s="4"/>
      <c r="AB6" s="4"/>
      <c r="AC6" s="49">
        <v>-11.997563</v>
      </c>
      <c r="AD6" s="49">
        <v>-76.900062000000005</v>
      </c>
      <c r="AE6" s="19" t="str">
        <f>IFERROR(VLOOKUP(C6,tdcargo[],2,FALSE),"DESCONOCIDO")</f>
        <v>OPERARIO</v>
      </c>
    </row>
    <row r="7" spans="1:31" hidden="1" x14ac:dyDescent="0.35">
      <c r="A7" s="8">
        <v>75177213</v>
      </c>
      <c r="B7" s="4" t="s">
        <v>1998</v>
      </c>
      <c r="C7" s="4" t="s">
        <v>1971</v>
      </c>
      <c r="D7" s="5">
        <v>45555</v>
      </c>
      <c r="E7" s="4" t="s">
        <v>31</v>
      </c>
      <c r="F7" s="4" t="s">
        <v>36</v>
      </c>
      <c r="G7" s="4" t="s">
        <v>1999</v>
      </c>
      <c r="H7" s="4" t="s">
        <v>1956</v>
      </c>
      <c r="I7" s="4" t="s">
        <v>1968</v>
      </c>
      <c r="J7" s="4" t="s">
        <v>1968</v>
      </c>
      <c r="K7" s="4" t="s">
        <v>1968</v>
      </c>
      <c r="L7" s="4" t="s">
        <v>1968</v>
      </c>
      <c r="M7" s="4" t="s">
        <v>36</v>
      </c>
      <c r="N7" s="4" t="s">
        <v>1956</v>
      </c>
      <c r="O7" s="4" t="s">
        <v>37</v>
      </c>
      <c r="P7" s="4" t="s">
        <v>37</v>
      </c>
      <c r="Q7" s="10" t="s">
        <v>57</v>
      </c>
      <c r="R7" s="4" t="str">
        <f t="shared" si="0"/>
        <v>Asociacion Nueva America, Ate, Lima, Lima, Perú</v>
      </c>
      <c r="S7" s="4">
        <v>-12.0400016</v>
      </c>
      <c r="T7" s="4">
        <v>-76.892822699999996</v>
      </c>
      <c r="U7" s="30">
        <f t="shared" si="1"/>
        <v>4.78</v>
      </c>
      <c r="V7" s="4" t="str">
        <f t="shared" si="2"/>
        <v>🟢 Muy Cerca (0-5 km)</v>
      </c>
      <c r="W7" s="19" t="str" cm="1">
        <f t="array" ref="W7">_xlfn.LET(_xlpm.lat_emp,S7,_xlpm.lon_emp,T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Esperanza</v>
      </c>
      <c r="X7" s="19" t="str">
        <f>_xlfn.LET(_xlpm.paradero,W7,INDEX(PARADEROS_VALIDOS!$A$2:$A$67,MATCH(_xlpm.paradero,PARADEROS_VALIDOS!$C$2:$C$67,0)))</f>
        <v>RUTA 4B</v>
      </c>
      <c r="Y7" s="29" cm="1">
        <f t="array" ref="Y7">_xlfn.LET(_xlpm.lat_emp,S7,_xlpm.lon_emp,T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2.54</v>
      </c>
      <c r="Z7" s="4" t="str">
        <f t="shared" si="3"/>
        <v>🟡 Cerca (1-3 km)</v>
      </c>
      <c r="AA7" s="4"/>
      <c r="AB7" s="4"/>
      <c r="AC7" s="49">
        <v>-11.997563</v>
      </c>
      <c r="AD7" s="49">
        <v>-76.900062000000005</v>
      </c>
      <c r="AE7" s="19" t="str">
        <f>IFERROR(VLOOKUP(C7,tdcargo[],2,FALSE),"DESCONOCIDO")</f>
        <v>OPERARIO</v>
      </c>
    </row>
    <row r="8" spans="1:31" hidden="1" x14ac:dyDescent="0.35">
      <c r="A8" s="8">
        <v>76206649</v>
      </c>
      <c r="B8" s="4" t="s">
        <v>2000</v>
      </c>
      <c r="C8" s="4" t="s">
        <v>2001</v>
      </c>
      <c r="D8" s="5">
        <v>44228</v>
      </c>
      <c r="E8" s="4" t="s">
        <v>31</v>
      </c>
      <c r="F8" s="4" t="s">
        <v>148</v>
      </c>
      <c r="G8" s="4" t="s">
        <v>2002</v>
      </c>
      <c r="H8" s="4" t="s">
        <v>2003</v>
      </c>
      <c r="I8" s="4" t="s">
        <v>1968</v>
      </c>
      <c r="J8" s="4" t="s">
        <v>1968</v>
      </c>
      <c r="K8" s="4" t="s">
        <v>1968</v>
      </c>
      <c r="L8" s="4" t="s">
        <v>1968</v>
      </c>
      <c r="M8" s="4" t="s">
        <v>609</v>
      </c>
      <c r="N8" s="4" t="s">
        <v>2004</v>
      </c>
      <c r="O8" s="4" t="s">
        <v>37</v>
      </c>
      <c r="P8" s="4" t="s">
        <v>37</v>
      </c>
      <c r="Q8" s="10" t="s">
        <v>38</v>
      </c>
      <c r="R8" s="4" t="str">
        <f t="shared" si="0"/>
        <v>Pasaje San Hilarion Alto 27, P.J. Pueblo Joven Comite 60, San Juan De Lurigancho, Lima, Lima, Perú</v>
      </c>
      <c r="S8" s="4">
        <v>-11.9970301</v>
      </c>
      <c r="T8" s="4">
        <v>-77.019653500000004</v>
      </c>
      <c r="U8" s="30">
        <f t="shared" si="1"/>
        <v>13.01</v>
      </c>
      <c r="V8" s="4" t="str">
        <f t="shared" si="2"/>
        <v>🟠 Moderada (10-20 km)</v>
      </c>
      <c r="W8" s="19" t="str" cm="1">
        <f t="array" ref="W8">_xlfn.LET(_xlpm.lat_emp,S8,_xlpm.lon_emp,T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Carlos</v>
      </c>
      <c r="X8" s="19" t="str">
        <f>_xlfn.LET(_xlpm.paradero,W8,INDEX(PARADEROS_VALIDOS!$A$2:$A$67,MATCH(_xlpm.paradero,PARADEROS_VALIDOS!$C$2:$C$67,0)))</f>
        <v>RUTA 6B</v>
      </c>
      <c r="Y8" s="29" cm="1">
        <f t="array" ref="Y8">_xlfn.LET(_xlpm.lat_emp,S8,_xlpm.lon_emp,T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1.33</v>
      </c>
      <c r="Z8" s="4" t="str">
        <f t="shared" si="3"/>
        <v>🟡 Cerca (1-3 km)</v>
      </c>
      <c r="AA8" s="4"/>
      <c r="AB8" s="4"/>
      <c r="AC8" s="49">
        <v>-11.997563</v>
      </c>
      <c r="AD8" s="49">
        <v>-76.900062000000005</v>
      </c>
      <c r="AE8" s="19" t="str">
        <f>IFERROR(VLOOKUP(C8,tdcargo[],2,FALSE),"DESCONOCIDO")</f>
        <v>OPERARIO</v>
      </c>
    </row>
    <row r="9" spans="1:31" hidden="1" x14ac:dyDescent="0.35">
      <c r="A9" s="8">
        <v>47969258</v>
      </c>
      <c r="B9" s="4" t="s">
        <v>2005</v>
      </c>
      <c r="C9" s="4" t="s">
        <v>2006</v>
      </c>
      <c r="D9" s="5">
        <v>44956</v>
      </c>
      <c r="E9" s="4" t="s">
        <v>31</v>
      </c>
      <c r="F9" s="4" t="s">
        <v>53</v>
      </c>
      <c r="G9" s="4" t="s">
        <v>2007</v>
      </c>
      <c r="H9" s="4" t="s">
        <v>2008</v>
      </c>
      <c r="I9" s="4" t="s">
        <v>1968</v>
      </c>
      <c r="J9" s="4" t="s">
        <v>1968</v>
      </c>
      <c r="K9" s="4" t="s">
        <v>1968</v>
      </c>
      <c r="L9" s="4" t="s">
        <v>1968</v>
      </c>
      <c r="M9" s="4" t="s">
        <v>186</v>
      </c>
      <c r="N9" s="4" t="s">
        <v>2009</v>
      </c>
      <c r="O9" s="4" t="s">
        <v>37</v>
      </c>
      <c r="P9" s="4" t="s">
        <v>37</v>
      </c>
      <c r="Q9" s="10" t="s">
        <v>76</v>
      </c>
      <c r="R9" s="4" t="str">
        <f t="shared" si="0"/>
        <v>Jirón Las Galaxias 2558, Urb. Urbanización Av Los Angeles, Lurigancho, Lima, Lima, Perú</v>
      </c>
      <c r="S9" s="4">
        <v>-11.987671799999999</v>
      </c>
      <c r="T9" s="4">
        <v>-77.011297600000006</v>
      </c>
      <c r="U9" s="30">
        <f t="shared" si="1"/>
        <v>12.15</v>
      </c>
      <c r="V9" s="4" t="str">
        <f t="shared" si="2"/>
        <v>🟠 Moderada (10-20 km)</v>
      </c>
      <c r="W9" s="19" t="str" cm="1">
        <f t="array" ref="W9">_xlfn.LET(_xlpm.lat_emp,S9,_xlpm.lon_emp,T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Carlos</v>
      </c>
      <c r="X9" s="19" t="str">
        <f>_xlfn.LET(_xlpm.paradero,W9,INDEX(PARADEROS_VALIDOS!$A$2:$A$67,MATCH(_xlpm.paradero,PARADEROS_VALIDOS!$C$2:$C$67,0)))</f>
        <v>RUTA 6B</v>
      </c>
      <c r="Y9" s="29" cm="1">
        <f t="array" ref="Y9">_xlfn.LET(_xlpm.lat_emp,S9,_xlpm.lon_emp,T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0.16</v>
      </c>
      <c r="Z9" s="4" t="str">
        <f t="shared" si="3"/>
        <v>🟢 Muy Cerca (0-1 km)</v>
      </c>
      <c r="AA9" s="4"/>
      <c r="AB9" s="4"/>
      <c r="AC9" s="49">
        <v>-11.997563</v>
      </c>
      <c r="AD9" s="49">
        <v>-76.900062000000005</v>
      </c>
      <c r="AE9" s="19" t="str">
        <f>IFERROR(VLOOKUP(C9,tdcargo[],2,FALSE),"DESCONOCIDO")</f>
        <v>OPERARIO</v>
      </c>
    </row>
    <row r="10" spans="1:31" hidden="1" x14ac:dyDescent="0.35">
      <c r="A10" s="8">
        <v>41212949</v>
      </c>
      <c r="B10" s="4" t="s">
        <v>2010</v>
      </c>
      <c r="C10" s="4" t="s">
        <v>2001</v>
      </c>
      <c r="D10" s="5">
        <v>42068</v>
      </c>
      <c r="E10" s="4" t="s">
        <v>31</v>
      </c>
      <c r="F10" s="4" t="s">
        <v>36</v>
      </c>
      <c r="G10" s="4" t="s">
        <v>1017</v>
      </c>
      <c r="H10" s="4" t="s">
        <v>1956</v>
      </c>
      <c r="I10" s="4" t="s">
        <v>1968</v>
      </c>
      <c r="J10" s="4" t="s">
        <v>1968</v>
      </c>
      <c r="K10" s="4" t="s">
        <v>1968</v>
      </c>
      <c r="L10" s="4" t="s">
        <v>1968</v>
      </c>
      <c r="M10" s="4" t="s">
        <v>88</v>
      </c>
      <c r="N10" s="4" t="s">
        <v>2011</v>
      </c>
      <c r="O10" s="4" t="s">
        <v>37</v>
      </c>
      <c r="P10" s="4" t="s">
        <v>37</v>
      </c>
      <c r="Q10" s="10" t="s">
        <v>76</v>
      </c>
      <c r="R10" s="4" t="str">
        <f t="shared" si="0"/>
        <v>Cajamarquilla, A.H. Asentamiento Humano Union Santa Cruz, Lurigancho, Lima, Lima, Perú</v>
      </c>
      <c r="S10" s="4">
        <v>-11.984105100000001</v>
      </c>
      <c r="T10" s="4">
        <v>-76.9183594</v>
      </c>
      <c r="U10" s="30">
        <f t="shared" si="1"/>
        <v>2.4900000000000002</v>
      </c>
      <c r="V10" s="4" t="str">
        <f t="shared" si="2"/>
        <v>🟢 Muy Cerca (0-5 km)</v>
      </c>
      <c r="W10" s="19" t="str" cm="1">
        <f t="array" ref="W10">_xlfn.LET(_xlpm.lat_emp,S10,_xlpm.lon_emp,T10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10" s="19" t="str">
        <f>_xlfn.LET(_xlpm.paradero,W10,INDEX(PARADEROS_VALIDOS!$A$2:$A$67,MATCH(_xlpm.paradero,PARADEROS_VALIDOS!$C$2:$C$67,0)))</f>
        <v>RUTA 2</v>
      </c>
      <c r="Y10" s="29" cm="1">
        <f t="array" ref="Y10">_xlfn.LET(_xlpm.lat_emp,S10,_xlpm.lon_emp,T10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1.96</v>
      </c>
      <c r="Z10" s="4" t="str">
        <f t="shared" si="3"/>
        <v>🟡 Cerca (1-3 km)</v>
      </c>
      <c r="AA10" s="4"/>
      <c r="AB10" s="4"/>
      <c r="AC10" s="49">
        <v>-11.997563</v>
      </c>
      <c r="AD10" s="49">
        <v>-76.900062000000005</v>
      </c>
      <c r="AE10" s="19" t="str">
        <f>IFERROR(VLOOKUP(C10,tdcargo[],2,FALSE),"DESCONOCIDO")</f>
        <v>OPERARIO</v>
      </c>
    </row>
    <row r="11" spans="1:31" hidden="1" x14ac:dyDescent="0.35">
      <c r="A11" s="8">
        <v>75869963</v>
      </c>
      <c r="B11" s="4" t="s">
        <v>2012</v>
      </c>
      <c r="C11" s="4" t="s">
        <v>1971</v>
      </c>
      <c r="D11" s="5">
        <v>45418</v>
      </c>
      <c r="E11" s="4" t="s">
        <v>31</v>
      </c>
      <c r="F11" s="4" t="s">
        <v>82</v>
      </c>
      <c r="G11" s="4" t="s">
        <v>2013</v>
      </c>
      <c r="H11" s="4" t="s">
        <v>1956</v>
      </c>
      <c r="I11" s="4" t="s">
        <v>1968</v>
      </c>
      <c r="J11" s="4" t="s">
        <v>1968</v>
      </c>
      <c r="K11" s="4" t="s">
        <v>1968</v>
      </c>
      <c r="L11" s="4" t="s">
        <v>1968</v>
      </c>
      <c r="M11" s="4" t="s">
        <v>36</v>
      </c>
      <c r="N11" s="4" t="s">
        <v>74</v>
      </c>
      <c r="O11" s="4" t="s">
        <v>37</v>
      </c>
      <c r="P11" s="4" t="s">
        <v>37</v>
      </c>
      <c r="Q11" s="10" t="s">
        <v>76</v>
      </c>
      <c r="R11" s="4" t="str">
        <f t="shared" si="0"/>
        <v>Calle Rosas De Saraon La Campiã‘A, Lurigancho, Lima, Lima, Perú</v>
      </c>
      <c r="S11" s="4">
        <v>-12.009696699999999</v>
      </c>
      <c r="T11" s="4">
        <v>-76.905361299999996</v>
      </c>
      <c r="U11" s="30">
        <f t="shared" si="1"/>
        <v>1.47</v>
      </c>
      <c r="V11" s="4" t="str">
        <f t="shared" si="2"/>
        <v>🟢 Muy Cerca (0-5 km)</v>
      </c>
      <c r="W11" s="19" t="str" cm="1">
        <f t="array" ref="W11">_xlfn.LET(_xlpm.lat_emp,S11,_xlpm.lon_emp,T11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Tottus Huachipa</v>
      </c>
      <c r="X11" s="19" t="str">
        <f>_xlfn.LET(_xlpm.paradero,W11,INDEX(PARADEROS_VALIDOS!$A$2:$A$67,MATCH(_xlpm.paradero,PARADEROS_VALIDOS!$C$2:$C$67,0)))</f>
        <v>RUTA 1</v>
      </c>
      <c r="Y11" s="29" cm="1">
        <f t="array" ref="Y11">_xlfn.LET(_xlpm.lat_emp,S11,_xlpm.lon_emp,T11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1.18</v>
      </c>
      <c r="Z11" s="4" t="str">
        <f t="shared" si="3"/>
        <v>🟡 Cerca (1-3 km)</v>
      </c>
      <c r="AA11" s="4"/>
      <c r="AB11" s="4"/>
      <c r="AC11" s="49">
        <v>-11.997563</v>
      </c>
      <c r="AD11" s="49">
        <v>-76.900062000000005</v>
      </c>
      <c r="AE11" s="19" t="str">
        <f>IFERROR(VLOOKUP(C11,tdcargo[],2,FALSE),"DESCONOCIDO")</f>
        <v>OPERARIO</v>
      </c>
    </row>
    <row r="12" spans="1:31" hidden="1" x14ac:dyDescent="0.35">
      <c r="A12" s="8">
        <v>73434574</v>
      </c>
      <c r="B12" s="4" t="s">
        <v>2014</v>
      </c>
      <c r="C12" s="4" t="s">
        <v>1971</v>
      </c>
      <c r="D12" s="5">
        <v>45505</v>
      </c>
      <c r="E12" s="4" t="s">
        <v>31</v>
      </c>
      <c r="F12" s="4" t="s">
        <v>82</v>
      </c>
      <c r="G12" s="4" t="s">
        <v>2015</v>
      </c>
      <c r="H12" s="4" t="s">
        <v>1956</v>
      </c>
      <c r="I12" s="4" t="s">
        <v>1968</v>
      </c>
      <c r="J12" s="4" t="s">
        <v>1968</v>
      </c>
      <c r="K12" s="4" t="s">
        <v>1968</v>
      </c>
      <c r="L12" s="4" t="s">
        <v>1968</v>
      </c>
      <c r="M12" s="4" t="s">
        <v>36</v>
      </c>
      <c r="N12" s="4" t="s">
        <v>1012</v>
      </c>
      <c r="O12" s="4" t="s">
        <v>37</v>
      </c>
      <c r="P12" s="4" t="s">
        <v>37</v>
      </c>
      <c r="Q12" s="10" t="s">
        <v>57</v>
      </c>
      <c r="R12" s="4" t="str">
        <f t="shared" si="0"/>
        <v>Calle Asoc Portales De Basilio Auqui Poblete Vidal Basilio Auqui, Ate, Lima, Lima, Perú</v>
      </c>
      <c r="S12" s="4">
        <v>-12.0180407</v>
      </c>
      <c r="T12" s="4">
        <v>-76.875830500000006</v>
      </c>
      <c r="U12" s="30">
        <f t="shared" si="1"/>
        <v>3.48</v>
      </c>
      <c r="V12" s="4" t="str">
        <f t="shared" si="2"/>
        <v>🟢 Muy Cerca (0-5 km)</v>
      </c>
      <c r="W12" s="19" t="str" cm="1">
        <f t="array" ref="W12">_xlfn.LET(_xlpm.lat_emp,S12,_xlpm.lon_emp,T12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la Cruz</v>
      </c>
      <c r="X12" s="19" t="str">
        <f>_xlfn.LET(_xlpm.paradero,W12,INDEX(PARADEROS_VALIDOS!$A$2:$A$67,MATCH(_xlpm.paradero,PARADEROS_VALIDOS!$C$2:$C$67,0)))</f>
        <v>RUTA 4B</v>
      </c>
      <c r="Y12" s="29" cm="1">
        <f t="array" ref="Y12">_xlfn.LET(_xlpm.lat_emp,S12,_xlpm.lon_emp,T12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1.07</v>
      </c>
      <c r="Z12" s="4" t="str">
        <f t="shared" si="3"/>
        <v>🟡 Cerca (1-3 km)</v>
      </c>
      <c r="AA12" s="4"/>
      <c r="AB12" s="4"/>
      <c r="AC12" s="49">
        <v>-11.997563</v>
      </c>
      <c r="AD12" s="49">
        <v>-76.900062000000005</v>
      </c>
      <c r="AE12" s="19" t="str">
        <f>IFERROR(VLOOKUP(C12,tdcargo[],2,FALSE),"DESCONOCIDO")</f>
        <v>OPERARIO</v>
      </c>
    </row>
    <row r="13" spans="1:31" hidden="1" x14ac:dyDescent="0.35">
      <c r="A13" s="8">
        <v>48087965</v>
      </c>
      <c r="B13" s="4" t="s">
        <v>2016</v>
      </c>
      <c r="C13" s="4" t="s">
        <v>1971</v>
      </c>
      <c r="D13" s="5">
        <v>44980</v>
      </c>
      <c r="E13" s="4" t="s">
        <v>31</v>
      </c>
      <c r="F13" s="4" t="s">
        <v>34</v>
      </c>
      <c r="G13" s="4" t="s">
        <v>412</v>
      </c>
      <c r="H13" s="4" t="s">
        <v>1956</v>
      </c>
      <c r="I13" s="4" t="s">
        <v>1968</v>
      </c>
      <c r="J13" s="4" t="s">
        <v>1968</v>
      </c>
      <c r="K13" s="4" t="s">
        <v>1968</v>
      </c>
      <c r="L13" s="4" t="s">
        <v>1968</v>
      </c>
      <c r="M13" s="4" t="s">
        <v>186</v>
      </c>
      <c r="N13" s="4" t="s">
        <v>1990</v>
      </c>
      <c r="O13" s="4" t="s">
        <v>37</v>
      </c>
      <c r="P13" s="4" t="s">
        <v>37</v>
      </c>
      <c r="Q13" s="10" t="s">
        <v>38</v>
      </c>
      <c r="R13" s="4" t="str">
        <f t="shared" si="0"/>
        <v>Avenida Circunvalacion, Urb. Urbanización Mariscal Caceres, San Juan De Lurigancho, Lima, Lima, Perú</v>
      </c>
      <c r="S13" s="4">
        <v>-11.948111000000001</v>
      </c>
      <c r="T13" s="4">
        <v>-76.977114200000003</v>
      </c>
      <c r="U13" s="30">
        <f t="shared" si="1"/>
        <v>10.02</v>
      </c>
      <c r="V13" s="4" t="str">
        <f t="shared" si="2"/>
        <v>🟠 Moderada (10-20 km)</v>
      </c>
      <c r="W13" s="19" t="str" cm="1">
        <f t="array" ref="W13">_xlfn.LET(_xlpm.lat_emp,S13,_xlpm.lon_emp,T13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13" s="19" t="str">
        <f>_xlfn.LET(_xlpm.paradero,W13,INDEX(PARADEROS_VALIDOS!$A$2:$A$67,MATCH(_xlpm.paradero,PARADEROS_VALIDOS!$C$2:$C$67,0)))</f>
        <v>RUTA 6A</v>
      </c>
      <c r="Y13" s="29" cm="1">
        <f t="array" ref="Y13">_xlfn.LET(_xlpm.lat_emp,S13,_xlpm.lon_emp,T13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3.9</v>
      </c>
      <c r="Z13" s="4" t="str">
        <f t="shared" si="3"/>
        <v>🟠 Moderada (3-5 km)</v>
      </c>
      <c r="AA13" s="4"/>
      <c r="AB13" s="4"/>
      <c r="AC13" s="49">
        <v>-11.997563</v>
      </c>
      <c r="AD13" s="49">
        <v>-76.900062000000005</v>
      </c>
      <c r="AE13" s="19" t="str">
        <f>IFERROR(VLOOKUP(C13,tdcargo[],2,FALSE),"DESCONOCIDO")</f>
        <v>OPERARIO</v>
      </c>
    </row>
    <row r="14" spans="1:31" hidden="1" x14ac:dyDescent="0.35">
      <c r="A14" s="8">
        <v>70696461</v>
      </c>
      <c r="B14" s="4" t="s">
        <v>2017</v>
      </c>
      <c r="C14" s="4" t="s">
        <v>1971</v>
      </c>
      <c r="D14" s="5">
        <v>45881</v>
      </c>
      <c r="E14" s="4" t="s">
        <v>31</v>
      </c>
      <c r="F14" s="4" t="s">
        <v>36</v>
      </c>
      <c r="G14" s="4" t="s">
        <v>2018</v>
      </c>
      <c r="H14" s="4" t="s">
        <v>1956</v>
      </c>
      <c r="I14" s="4" t="s">
        <v>1968</v>
      </c>
      <c r="J14" s="4" t="s">
        <v>1968</v>
      </c>
      <c r="K14" s="4" t="s">
        <v>1995</v>
      </c>
      <c r="L14" s="4" t="s">
        <v>2019</v>
      </c>
      <c r="M14" s="4" t="s">
        <v>36</v>
      </c>
      <c r="N14" s="4" t="s">
        <v>2020</v>
      </c>
      <c r="O14" s="4" t="s">
        <v>37</v>
      </c>
      <c r="P14" s="4" t="s">
        <v>37</v>
      </c>
      <c r="Q14" s="10" t="s">
        <v>76</v>
      </c>
      <c r="R14" s="4" t="str">
        <f t="shared" si="0"/>
        <v>Asoc De De Prop De Viv Esmeralda De Jicamarca, Lote 1, Mz. E Asoc De De Prop De V, Lurigancho, Lima, Lima, Perú</v>
      </c>
      <c r="S14" s="4">
        <v>-11.9783613</v>
      </c>
      <c r="T14" s="4">
        <v>-76.925780799999998</v>
      </c>
      <c r="U14" s="30">
        <f t="shared" si="1"/>
        <v>3.52</v>
      </c>
      <c r="V14" s="4" t="str">
        <f t="shared" si="2"/>
        <v>🟢 Muy Cerca (0-5 km)</v>
      </c>
      <c r="W14" s="19" t="str" cm="1">
        <f t="array" ref="W14">_xlfn.LET(_xlpm.lat_emp,S14,_xlpm.lon_emp,T14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14" s="19" t="str">
        <f>_xlfn.LET(_xlpm.paradero,W14,INDEX(PARADEROS_VALIDOS!$A$2:$A$67,MATCH(_xlpm.paradero,PARADEROS_VALIDOS!$C$2:$C$67,0)))</f>
        <v>RUTA 2</v>
      </c>
      <c r="Y14" s="29" cm="1">
        <f t="array" ref="Y14">_xlfn.LET(_xlpm.lat_emp,S14,_xlpm.lon_emp,T14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2.98</v>
      </c>
      <c r="Z14" s="4" t="str">
        <f t="shared" si="3"/>
        <v>🟡 Cerca (1-3 km)</v>
      </c>
      <c r="AA14" s="4"/>
      <c r="AB14" s="4"/>
      <c r="AC14" s="49">
        <v>-11.997563</v>
      </c>
      <c r="AD14" s="49">
        <v>-76.900062000000005</v>
      </c>
      <c r="AE14" s="19" t="str">
        <f>IFERROR(VLOOKUP(C14,tdcargo[],2,FALSE),"DESCONOCIDO")</f>
        <v>OPERARIO</v>
      </c>
    </row>
    <row r="15" spans="1:31" hidden="1" x14ac:dyDescent="0.35">
      <c r="A15" s="8">
        <v>75099622</v>
      </c>
      <c r="B15" s="4" t="s">
        <v>2021</v>
      </c>
      <c r="C15" s="4" t="s">
        <v>1971</v>
      </c>
      <c r="D15" s="5">
        <v>45540</v>
      </c>
      <c r="E15" s="4" t="s">
        <v>31</v>
      </c>
      <c r="F15" s="4" t="s">
        <v>34</v>
      </c>
      <c r="G15" s="4" t="s">
        <v>2022</v>
      </c>
      <c r="H15" s="4" t="s">
        <v>1956</v>
      </c>
      <c r="I15" s="4" t="s">
        <v>1968</v>
      </c>
      <c r="J15" s="4" t="s">
        <v>1968</v>
      </c>
      <c r="K15" s="4" t="s">
        <v>1968</v>
      </c>
      <c r="L15" s="4" t="s">
        <v>1968</v>
      </c>
      <c r="M15" s="4" t="s">
        <v>36</v>
      </c>
      <c r="N15" s="4" t="s">
        <v>2011</v>
      </c>
      <c r="O15" s="4" t="s">
        <v>37</v>
      </c>
      <c r="P15" s="4" t="s">
        <v>37</v>
      </c>
      <c r="Q15" s="10" t="s">
        <v>76</v>
      </c>
      <c r="R15" s="4" t="str">
        <f t="shared" si="0"/>
        <v>Avenida Union Santa Cruz De Cajamarquilla Union Santa Cruz, Lurigancho, Lima, Lima, Perú</v>
      </c>
      <c r="S15" s="4">
        <v>-11.9810269</v>
      </c>
      <c r="T15" s="4">
        <v>-76.910819900000007</v>
      </c>
      <c r="U15" s="30">
        <f t="shared" si="1"/>
        <v>2.1800000000000002</v>
      </c>
      <c r="V15" s="4" t="str">
        <f t="shared" si="2"/>
        <v>🟢 Muy Cerca (0-5 km)</v>
      </c>
      <c r="W15" s="19" t="str" cm="1">
        <f t="array" ref="W15">_xlfn.LET(_xlpm.lat_emp,S15,_xlpm.lon_emp,T15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15" s="19" t="str">
        <f>_xlfn.LET(_xlpm.paradero,W15,INDEX(PARADEROS_VALIDOS!$A$2:$A$67,MATCH(_xlpm.paradero,PARADEROS_VALIDOS!$C$2:$C$67,0)))</f>
        <v>RUTA 2</v>
      </c>
      <c r="Y15" s="29" cm="1">
        <f t="array" ref="Y15">_xlfn.LET(_xlpm.lat_emp,S15,_xlpm.lon_emp,T15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1.62</v>
      </c>
      <c r="Z15" s="4" t="str">
        <f t="shared" si="3"/>
        <v>🟡 Cerca (1-3 km)</v>
      </c>
      <c r="AA15" s="4"/>
      <c r="AB15" s="4"/>
      <c r="AC15" s="49">
        <v>-11.997563</v>
      </c>
      <c r="AD15" s="49">
        <v>-76.900062000000005</v>
      </c>
      <c r="AE15" s="19" t="str">
        <f>IFERROR(VLOOKUP(C15,tdcargo[],2,FALSE),"DESCONOCIDO")</f>
        <v>OPERARIO</v>
      </c>
    </row>
    <row r="16" spans="1:31" hidden="1" x14ac:dyDescent="0.35">
      <c r="A16" s="8">
        <v>48600372</v>
      </c>
      <c r="B16" s="4" t="s">
        <v>2023</v>
      </c>
      <c r="C16" s="4" t="s">
        <v>2001</v>
      </c>
      <c r="D16" s="5">
        <v>44973</v>
      </c>
      <c r="E16" s="4" t="s">
        <v>31</v>
      </c>
      <c r="F16" s="4" t="s">
        <v>36</v>
      </c>
      <c r="G16" s="4" t="s">
        <v>255</v>
      </c>
      <c r="H16" s="4" t="s">
        <v>1956</v>
      </c>
      <c r="I16" s="4" t="s">
        <v>1968</v>
      </c>
      <c r="J16" s="4" t="s">
        <v>1968</v>
      </c>
      <c r="K16" s="4" t="s">
        <v>1968</v>
      </c>
      <c r="L16" s="4" t="s">
        <v>1968</v>
      </c>
      <c r="M16" s="4" t="s">
        <v>66</v>
      </c>
      <c r="N16" s="4" t="s">
        <v>2024</v>
      </c>
      <c r="O16" s="4" t="s">
        <v>37</v>
      </c>
      <c r="P16" s="4" t="s">
        <v>37</v>
      </c>
      <c r="Q16" s="10" t="s">
        <v>76</v>
      </c>
      <c r="R16" s="4" t="str">
        <f t="shared" si="0"/>
        <v>Asociacion, U.V. Unidad Vecinal Pobladores La Huerta, Lurigancho, Lima, Lima, Perú</v>
      </c>
      <c r="S16" s="4">
        <v>-12.009696699999999</v>
      </c>
      <c r="T16" s="4">
        <v>-76.905361299999996</v>
      </c>
      <c r="U16" s="30">
        <f t="shared" si="1"/>
        <v>1.47</v>
      </c>
      <c r="V16" s="4" t="str">
        <f t="shared" si="2"/>
        <v>🟢 Muy Cerca (0-5 km)</v>
      </c>
      <c r="W16" s="19" t="str" cm="1">
        <f t="array" ref="W16">_xlfn.LET(_xlpm.lat_emp,S16,_xlpm.lon_emp,T16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Tottus Huachipa</v>
      </c>
      <c r="X16" s="19" t="str">
        <f>_xlfn.LET(_xlpm.paradero,W16,INDEX(PARADEROS_VALIDOS!$A$2:$A$67,MATCH(_xlpm.paradero,PARADEROS_VALIDOS!$C$2:$C$67,0)))</f>
        <v>RUTA 1</v>
      </c>
      <c r="Y16" s="29" cm="1">
        <f t="array" ref="Y16">_xlfn.LET(_xlpm.lat_emp,S16,_xlpm.lon_emp,T16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1.18</v>
      </c>
      <c r="Z16" s="4" t="str">
        <f t="shared" si="3"/>
        <v>🟡 Cerca (1-3 km)</v>
      </c>
      <c r="AA16" s="4"/>
      <c r="AB16" s="4"/>
      <c r="AC16" s="49">
        <v>-11.997563</v>
      </c>
      <c r="AD16" s="49">
        <v>-76.900062000000005</v>
      </c>
      <c r="AE16" s="19" t="str">
        <f>IFERROR(VLOOKUP(C16,tdcargo[],2,FALSE),"DESCONOCIDO")</f>
        <v>OPERARIO</v>
      </c>
    </row>
    <row r="17" spans="1:31" x14ac:dyDescent="0.35">
      <c r="A17" s="8">
        <v>75693754</v>
      </c>
      <c r="B17" s="4" t="s">
        <v>2025</v>
      </c>
      <c r="C17" s="4" t="s">
        <v>1971</v>
      </c>
      <c r="D17" s="5">
        <v>44966</v>
      </c>
      <c r="E17" s="4" t="s">
        <v>31</v>
      </c>
      <c r="F17" s="4" t="s">
        <v>82</v>
      </c>
      <c r="G17" s="4" t="s">
        <v>2026</v>
      </c>
      <c r="H17" s="4" t="s">
        <v>1956</v>
      </c>
      <c r="I17" s="4" t="s">
        <v>1968</v>
      </c>
      <c r="J17" s="4" t="s">
        <v>1968</v>
      </c>
      <c r="K17" s="4" t="s">
        <v>1968</v>
      </c>
      <c r="L17" s="4" t="s">
        <v>1968</v>
      </c>
      <c r="M17" s="4" t="s">
        <v>88</v>
      </c>
      <c r="N17" s="4" t="s">
        <v>46</v>
      </c>
      <c r="O17" s="4" t="s">
        <v>37</v>
      </c>
      <c r="P17" s="4" t="s">
        <v>37</v>
      </c>
      <c r="Q17" s="10" t="s">
        <v>57</v>
      </c>
      <c r="R17" s="4" t="str">
        <f t="shared" si="0"/>
        <v>Calle Javier Heraud Ii Etapa, A.H. Asentamiento Humano Nd, Ate, Lima, Lima, Perú</v>
      </c>
      <c r="S17" s="4">
        <v>-12.1557908</v>
      </c>
      <c r="T17" s="4">
        <v>-76.987830500000001</v>
      </c>
      <c r="U17" s="30">
        <f t="shared" si="1"/>
        <v>20.02</v>
      </c>
      <c r="V17" s="4" t="str">
        <f t="shared" si="2"/>
        <v>🔴 Lejos (&gt;20 km)</v>
      </c>
      <c r="W17" s="19" t="str" cm="1">
        <f t="array" ref="W17">_xlfn.LET(_xlpm.lat_emp,S17,_xlpm.lon_emp,T17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Amauta</v>
      </c>
      <c r="X17" s="19" t="str">
        <f>_xlfn.LET(_xlpm.paradero,W17,INDEX(PARADEROS_VALIDOS!$A$2:$A$67,MATCH(_xlpm.paradero,PARADEROS_VALIDOS!$C$2:$C$67,0)))</f>
        <v>RUTA 7</v>
      </c>
      <c r="Y17" s="29" cm="1">
        <f t="array" ref="Y17">_xlfn.LET(_xlpm.lat_emp,S17,_xlpm.lon_emp,T17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0.95</v>
      </c>
      <c r="Z17" s="4" t="str">
        <f t="shared" si="3"/>
        <v>🟢 Muy Cerca (0-1 km)</v>
      </c>
      <c r="AA17" s="4"/>
      <c r="AB17" s="4"/>
      <c r="AC17" s="49">
        <v>-11.997563</v>
      </c>
      <c r="AD17" s="49">
        <v>-76.900062000000005</v>
      </c>
      <c r="AE17" s="19" t="str">
        <f>IFERROR(VLOOKUP(C17,tdcargo[],2,FALSE),"DESCONOCIDO")</f>
        <v>OPERARIO</v>
      </c>
    </row>
    <row r="18" spans="1:31" hidden="1" x14ac:dyDescent="0.35">
      <c r="A18" s="8">
        <v>46855002</v>
      </c>
      <c r="B18" s="4" t="s">
        <v>2027</v>
      </c>
      <c r="C18" s="4" t="s">
        <v>1971</v>
      </c>
      <c r="D18" s="5">
        <v>44956</v>
      </c>
      <c r="E18" s="4" t="s">
        <v>31</v>
      </c>
      <c r="F18" s="4" t="s">
        <v>36</v>
      </c>
      <c r="G18" s="4" t="s">
        <v>2028</v>
      </c>
      <c r="H18" s="4" t="s">
        <v>1956</v>
      </c>
      <c r="I18" s="4" t="s">
        <v>1968</v>
      </c>
      <c r="J18" s="4" t="s">
        <v>1968</v>
      </c>
      <c r="K18" s="4" t="s">
        <v>1968</v>
      </c>
      <c r="L18" s="4" t="s">
        <v>1968</v>
      </c>
      <c r="M18" s="4" t="s">
        <v>66</v>
      </c>
      <c r="N18" s="4" t="s">
        <v>2029</v>
      </c>
      <c r="O18" s="4" t="s">
        <v>37</v>
      </c>
      <c r="P18" s="4" t="s">
        <v>195</v>
      </c>
      <c r="Q18" s="10" t="s">
        <v>196</v>
      </c>
      <c r="R18" s="4" t="str">
        <f t="shared" si="0"/>
        <v>Mz. F1 Lt. 32 Asoc De Vivienda Union Rpogreso Caja, U.V. Unidad Vecinal Union Progreso Cajamarquilla, San Antonio, Huarochiri, Lima, Perú</v>
      </c>
      <c r="S18" s="4">
        <v>-11.919997800000001</v>
      </c>
      <c r="T18" s="4">
        <v>-76.951703300000005</v>
      </c>
      <c r="U18" s="30">
        <f t="shared" si="1"/>
        <v>10.29</v>
      </c>
      <c r="V18" s="4" t="str">
        <f t="shared" si="2"/>
        <v>🟠 Moderada (10-20 km)</v>
      </c>
      <c r="W18" s="19" t="str" cm="1">
        <f t="array" ref="W18">_xlfn.LET(_xlpm.lat_emp,S18,_xlpm.lon_emp,T18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18" s="19" t="str">
        <f>_xlfn.LET(_xlpm.paradero,W18,INDEX(PARADEROS_VALIDOS!$A$2:$A$67,MATCH(_xlpm.paradero,PARADEROS_VALIDOS!$C$2:$C$67,0)))</f>
        <v>RUTA 6A</v>
      </c>
      <c r="Y18" s="29" cm="1">
        <f t="array" ref="Y18">_xlfn.LET(_xlpm.lat_emp,S18,_xlpm.lon_emp,T18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8.07</v>
      </c>
      <c r="Z18" s="4" t="str">
        <f t="shared" si="3"/>
        <v>🔴 Lejos (&gt;5 km)</v>
      </c>
      <c r="AA18" s="4"/>
      <c r="AB18" s="4"/>
      <c r="AC18" s="49">
        <v>-11.997563</v>
      </c>
      <c r="AD18" s="49">
        <v>-76.900062000000005</v>
      </c>
      <c r="AE18" s="19" t="str">
        <f>IFERROR(VLOOKUP(C18,tdcargo[],2,FALSE),"DESCONOCIDO")</f>
        <v>OPERARIO</v>
      </c>
    </row>
    <row r="19" spans="1:31" hidden="1" x14ac:dyDescent="0.35">
      <c r="A19" s="8">
        <v>76775338</v>
      </c>
      <c r="B19" s="4" t="s">
        <v>2035</v>
      </c>
      <c r="C19" s="4" t="s">
        <v>1971</v>
      </c>
      <c r="D19" s="5">
        <v>45677</v>
      </c>
      <c r="E19" s="4" t="s">
        <v>31</v>
      </c>
      <c r="F19" s="4" t="s">
        <v>34</v>
      </c>
      <c r="G19" s="4" t="s">
        <v>2036</v>
      </c>
      <c r="H19" s="4" t="s">
        <v>1956</v>
      </c>
      <c r="I19" s="4" t="s">
        <v>1968</v>
      </c>
      <c r="J19" s="4" t="s">
        <v>1968</v>
      </c>
      <c r="K19" s="4" t="s">
        <v>1968</v>
      </c>
      <c r="L19" s="4" t="s">
        <v>1968</v>
      </c>
      <c r="M19" s="4" t="s">
        <v>36</v>
      </c>
      <c r="N19" s="4" t="s">
        <v>2037</v>
      </c>
      <c r="O19" s="4" t="s">
        <v>37</v>
      </c>
      <c r="P19" s="4" t="s">
        <v>37</v>
      </c>
      <c r="Q19" s="10" t="s">
        <v>76</v>
      </c>
      <c r="R19" s="4" t="str">
        <f t="shared" si="0"/>
        <v>Avenida Arequipa Santa Rosa De Huachipa, Lurigancho, Lima, Lima, Perú</v>
      </c>
      <c r="S19" s="4">
        <v>-12.0063742</v>
      </c>
      <c r="T19" s="4">
        <v>-76.948276800000002</v>
      </c>
      <c r="U19" s="30">
        <f t="shared" si="1"/>
        <v>5.33</v>
      </c>
      <c r="V19" s="4" t="str">
        <f t="shared" si="2"/>
        <v>🟡 Cerca (5-10 km)</v>
      </c>
      <c r="W19" s="19" t="str" cm="1">
        <f t="array" ref="W19">_xlfn.LET(_xlpm.lat_emp,S19,_xlpm.lon_emp,T19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Bayóvar</v>
      </c>
      <c r="X19" s="19" t="str">
        <f>_xlfn.LET(_xlpm.paradero,W19,INDEX(PARADEROS_VALIDOS!$A$2:$A$67,MATCH(_xlpm.paradero,PARADEROS_VALIDOS!$C$2:$C$67,0)))</f>
        <v>RUTA 6A</v>
      </c>
      <c r="Y19" s="29" cm="1">
        <f t="array" ref="Y19">_xlfn.LET(_xlpm.lat_emp,S19,_xlpm.lon_emp,T19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2.93</v>
      </c>
      <c r="Z19" s="4" t="str">
        <f t="shared" si="3"/>
        <v>🟡 Cerca (1-3 km)</v>
      </c>
      <c r="AA19" s="4"/>
      <c r="AB19" s="4"/>
      <c r="AC19" s="49">
        <v>-11.997563</v>
      </c>
      <c r="AD19" s="49">
        <v>-76.900062000000005</v>
      </c>
      <c r="AE19" s="19" t="str">
        <f>IFERROR(VLOOKUP(C19,tdcargo[],2,FALSE),"DESCONOCIDO")</f>
        <v>OPERARIO</v>
      </c>
    </row>
    <row r="20" spans="1:31" hidden="1" x14ac:dyDescent="0.35">
      <c r="A20" s="8">
        <v>74596135</v>
      </c>
      <c r="B20" s="4" t="s">
        <v>2038</v>
      </c>
      <c r="C20" s="4" t="s">
        <v>1971</v>
      </c>
      <c r="D20" s="5">
        <v>45881</v>
      </c>
      <c r="E20" s="4" t="s">
        <v>31</v>
      </c>
      <c r="F20" s="4" t="s">
        <v>36</v>
      </c>
      <c r="G20" s="4" t="s">
        <v>1938</v>
      </c>
      <c r="H20" s="4" t="s">
        <v>1956</v>
      </c>
      <c r="I20" s="4" t="s">
        <v>1968</v>
      </c>
      <c r="J20" s="4" t="s">
        <v>1968</v>
      </c>
      <c r="K20" s="4" t="s">
        <v>1968</v>
      </c>
      <c r="L20" s="4" t="s">
        <v>1968</v>
      </c>
      <c r="M20" s="4" t="s">
        <v>36</v>
      </c>
      <c r="N20" s="4" t="s">
        <v>2039</v>
      </c>
      <c r="O20" s="4" t="s">
        <v>37</v>
      </c>
      <c r="P20" s="4" t="s">
        <v>37</v>
      </c>
      <c r="Q20" s="10" t="s">
        <v>37</v>
      </c>
      <c r="R20" s="4" t="str">
        <f t="shared" si="0"/>
        <v>San Juan De Lurigancho De Canto Chico Agrp.Fm.06 De Febrer, Lima, Lima, Lima, Perú</v>
      </c>
      <c r="S20" s="4">
        <v>-12.0027539</v>
      </c>
      <c r="T20" s="4">
        <v>-77.0177604</v>
      </c>
      <c r="U20" s="30">
        <f t="shared" si="1"/>
        <v>12.81</v>
      </c>
      <c r="V20" s="4" t="str">
        <f t="shared" si="2"/>
        <v>🟠 Moderada (10-20 km)</v>
      </c>
      <c r="W20" s="19" t="str" cm="1">
        <f t="array" ref="W20">_xlfn.LET(_xlpm.lat_emp,S20,_xlpm.lon_emp,T20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Metro Hacienda</v>
      </c>
      <c r="X20" s="19" t="str">
        <f>_xlfn.LET(_xlpm.paradero,W20,INDEX(PARADEROS_VALIDOS!$A$2:$A$67,MATCH(_xlpm.paradero,PARADEROS_VALIDOS!$C$2:$C$67,0)))</f>
        <v>RUTA 6B</v>
      </c>
      <c r="Y20" s="29" cm="1">
        <f t="array" ref="Y20">_xlfn.LET(_xlpm.lat_emp,S20,_xlpm.lon_emp,T20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1.28</v>
      </c>
      <c r="Z20" s="4" t="str">
        <f t="shared" si="3"/>
        <v>🟡 Cerca (1-3 km)</v>
      </c>
      <c r="AA20" s="4"/>
      <c r="AB20" s="4"/>
      <c r="AC20" s="49">
        <v>-11.997563</v>
      </c>
      <c r="AD20" s="49">
        <v>-76.900062000000005</v>
      </c>
      <c r="AE20" s="19" t="str">
        <f>IFERROR(VLOOKUP(C20,tdcargo[],2,FALSE),"DESCONOCIDO")</f>
        <v>OPERARIO</v>
      </c>
    </row>
    <row r="21" spans="1:31" hidden="1" x14ac:dyDescent="0.35">
      <c r="A21" s="8">
        <v>72875928</v>
      </c>
      <c r="B21" s="4" t="s">
        <v>2051</v>
      </c>
      <c r="C21" s="4" t="s">
        <v>1971</v>
      </c>
      <c r="D21" s="5">
        <v>46055</v>
      </c>
      <c r="E21" s="4" t="s">
        <v>31</v>
      </c>
      <c r="F21" s="4" t="s">
        <v>34</v>
      </c>
      <c r="G21" s="4" t="s">
        <v>1017</v>
      </c>
      <c r="H21" s="4" t="s">
        <v>2052</v>
      </c>
      <c r="I21" s="4" t="s">
        <v>1968</v>
      </c>
      <c r="J21" s="4" t="s">
        <v>1995</v>
      </c>
      <c r="K21" s="4" t="s">
        <v>2053</v>
      </c>
      <c r="L21" s="4" t="s">
        <v>1461</v>
      </c>
      <c r="M21" s="4" t="s">
        <v>186</v>
      </c>
      <c r="N21" s="4" t="s">
        <v>2054</v>
      </c>
      <c r="O21" s="4" t="s">
        <v>37</v>
      </c>
      <c r="P21" s="4" t="s">
        <v>37</v>
      </c>
      <c r="Q21" s="10" t="s">
        <v>76</v>
      </c>
      <c r="R21" s="4" t="str">
        <f t="shared" si="0"/>
        <v>Avenida Cajamarquilla 12, Int. 1, Lote 21, Mz. C, Urb. Urbanización SOL DE CHAMBALA, Lurigancho, Lima, Lima, Perú</v>
      </c>
      <c r="S21" s="4">
        <v>-11.998999700000001</v>
      </c>
      <c r="T21" s="4">
        <v>-76.907456499999995</v>
      </c>
      <c r="U21" s="30">
        <f t="shared" si="1"/>
        <v>0.82</v>
      </c>
      <c r="V21" s="4" t="str">
        <f t="shared" si="2"/>
        <v>🟢 Muy Cerca (0-5 km)</v>
      </c>
      <c r="W21" s="19" t="str" cm="1">
        <f t="array" ref="W21">_xlfn.LET(_xlpm.lat_emp,S21,_xlpm.lon_emp,T21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21" s="19" t="str">
        <f>_xlfn.LET(_xlpm.paradero,W21,INDEX(PARADEROS_VALIDOS!$A$2:$A$67,MATCH(_xlpm.paradero,PARADEROS_VALIDOS!$C$2:$C$67,0)))</f>
        <v>RUTA 2</v>
      </c>
      <c r="Y21" s="29" cm="1">
        <f t="array" ref="Y21">_xlfn.LET(_xlpm.lat_emp,S21,_xlpm.lon_emp,T21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0.77</v>
      </c>
      <c r="Z21" s="4" t="str">
        <f t="shared" si="3"/>
        <v>🟢 Muy Cerca (0-1 km)</v>
      </c>
      <c r="AA21" s="4"/>
      <c r="AB21" s="4"/>
      <c r="AC21" s="49">
        <v>-11.997563</v>
      </c>
      <c r="AD21" s="49">
        <v>-76.900062000000005</v>
      </c>
      <c r="AE21" s="19" t="str">
        <f>IFERROR(VLOOKUP(C21,tdcargo[],2,FALSE),"DESCONOCIDO")</f>
        <v>OPERARIO</v>
      </c>
    </row>
    <row r="22" spans="1:31" hidden="1" x14ac:dyDescent="0.35">
      <c r="A22" s="8">
        <v>45859800</v>
      </c>
      <c r="B22" s="4" t="s">
        <v>2055</v>
      </c>
      <c r="C22" s="4" t="s">
        <v>1971</v>
      </c>
      <c r="D22" s="5">
        <v>45537</v>
      </c>
      <c r="E22" s="4" t="s">
        <v>31</v>
      </c>
      <c r="F22" s="4" t="s">
        <v>148</v>
      </c>
      <c r="G22" s="4" t="s">
        <v>845</v>
      </c>
      <c r="H22" s="4" t="s">
        <v>1956</v>
      </c>
      <c r="I22" s="4" t="s">
        <v>1968</v>
      </c>
      <c r="J22" s="4" t="s">
        <v>1968</v>
      </c>
      <c r="K22" s="4" t="s">
        <v>1968</v>
      </c>
      <c r="L22" s="4" t="s">
        <v>1968</v>
      </c>
      <c r="M22" s="4" t="s">
        <v>36</v>
      </c>
      <c r="N22" s="4" t="s">
        <v>1573</v>
      </c>
      <c r="O22" s="4" t="s">
        <v>37</v>
      </c>
      <c r="P22" s="4" t="s">
        <v>195</v>
      </c>
      <c r="Q22" s="10" t="s">
        <v>196</v>
      </c>
      <c r="R22" s="4" t="str">
        <f t="shared" si="0"/>
        <v>Pasaje Ceres Villa Esperanza, San Antonio, Huarochiri, Lima, Perú</v>
      </c>
      <c r="S22" s="4">
        <v>-11.909913899999999</v>
      </c>
      <c r="T22" s="4">
        <v>-76.953495599999997</v>
      </c>
      <c r="U22" s="30">
        <f t="shared" si="1"/>
        <v>11.35</v>
      </c>
      <c r="V22" s="4" t="str">
        <f t="shared" si="2"/>
        <v>🟠 Moderada (10-20 km)</v>
      </c>
      <c r="W22" s="19" t="str" cm="1">
        <f t="array" ref="W22">_xlfn.LET(_xlpm.lat_emp,S22,_xlpm.lon_emp,T22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22" s="19" t="str">
        <f>_xlfn.LET(_xlpm.paradero,W22,INDEX(PARADEROS_VALIDOS!$A$2:$A$67,MATCH(_xlpm.paradero,PARADEROS_VALIDOS!$C$2:$C$67,0)))</f>
        <v>RUTA 6A</v>
      </c>
      <c r="Y22" s="29" cm="1">
        <f t="array" ref="Y22">_xlfn.LET(_xlpm.lat_emp,S22,_xlpm.lon_emp,T22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8.84</v>
      </c>
      <c r="Z22" s="4" t="str">
        <f t="shared" si="3"/>
        <v>🔴 Lejos (&gt;5 km)</v>
      </c>
      <c r="AA22" s="4"/>
      <c r="AB22" s="4"/>
      <c r="AC22" s="49">
        <v>-11.997563</v>
      </c>
      <c r="AD22" s="49">
        <v>-76.900062000000005</v>
      </c>
      <c r="AE22" s="19" t="str">
        <f>IFERROR(VLOOKUP(C22,tdcargo[],2,FALSE),"DESCONOCIDO")</f>
        <v>OPERARIO</v>
      </c>
    </row>
    <row r="23" spans="1:31" hidden="1" x14ac:dyDescent="0.35">
      <c r="A23" s="8">
        <v>42284166</v>
      </c>
      <c r="B23" s="4" t="s">
        <v>2056</v>
      </c>
      <c r="C23" s="4" t="s">
        <v>1971</v>
      </c>
      <c r="D23" s="5">
        <v>46083</v>
      </c>
      <c r="E23" s="4" t="s">
        <v>31</v>
      </c>
      <c r="F23" s="4" t="s">
        <v>36</v>
      </c>
      <c r="G23" s="4" t="s">
        <v>2057</v>
      </c>
      <c r="H23" s="4" t="s">
        <v>1995</v>
      </c>
      <c r="I23" s="4" t="s">
        <v>1968</v>
      </c>
      <c r="J23" s="4" t="s">
        <v>1995</v>
      </c>
      <c r="K23" s="4" t="s">
        <v>2058</v>
      </c>
      <c r="L23" s="4" t="s">
        <v>1987</v>
      </c>
      <c r="M23" s="4" t="s">
        <v>36</v>
      </c>
      <c r="N23" s="4" t="s">
        <v>2059</v>
      </c>
      <c r="O23" s="4" t="s">
        <v>37</v>
      </c>
      <c r="P23" s="4" t="s">
        <v>37</v>
      </c>
      <c r="Q23" s="10" t="s">
        <v>57</v>
      </c>
      <c r="R23" s="4" t="str">
        <f t="shared" si="0"/>
        <v>Andres A. Caceres 1, Int. 1, Lote 7, Mz. J PRIALE, Ate, Lima, Lima, Perú</v>
      </c>
      <c r="S23" s="4">
        <v>-12.046391</v>
      </c>
      <c r="T23" s="4">
        <v>-76.890085200000001</v>
      </c>
      <c r="U23" s="30">
        <f t="shared" si="1"/>
        <v>5.54</v>
      </c>
      <c r="V23" s="4" t="str">
        <f t="shared" si="2"/>
        <v>🟡 Cerca (5-10 km)</v>
      </c>
      <c r="W23" s="19" t="str" cm="1">
        <f t="array" ref="W23">_xlfn.LET(_xlpm.lat_emp,S23,_xlpm.lon_emp,T23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Esperanza</v>
      </c>
      <c r="X23" s="19" t="str">
        <f>_xlfn.LET(_xlpm.paradero,W23,INDEX(PARADEROS_VALIDOS!$A$2:$A$67,MATCH(_xlpm.paradero,PARADEROS_VALIDOS!$C$2:$C$67,0)))</f>
        <v>RUTA 4B</v>
      </c>
      <c r="Y23" s="29" cm="1">
        <f t="array" ref="Y23">_xlfn.LET(_xlpm.lat_emp,S23,_xlpm.lon_emp,T23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3.29</v>
      </c>
      <c r="Z23" s="4" t="str">
        <f t="shared" si="3"/>
        <v>🟠 Moderada (3-5 km)</v>
      </c>
      <c r="AA23" s="4"/>
      <c r="AB23" s="4"/>
      <c r="AC23" s="49">
        <v>-11.997563</v>
      </c>
      <c r="AD23" s="49">
        <v>-76.900062000000005</v>
      </c>
      <c r="AE23" s="19" t="str">
        <f>IFERROR(VLOOKUP(C23,tdcargo[],2,FALSE),"DESCONOCIDO")</f>
        <v>OPERARIO</v>
      </c>
    </row>
    <row r="24" spans="1:31" hidden="1" x14ac:dyDescent="0.35">
      <c r="A24" s="8">
        <v>71404505</v>
      </c>
      <c r="B24" s="4" t="s">
        <v>2060</v>
      </c>
      <c r="C24" s="4" t="s">
        <v>1971</v>
      </c>
      <c r="D24" s="5">
        <v>46083</v>
      </c>
      <c r="E24" s="4" t="s">
        <v>31</v>
      </c>
      <c r="F24" s="4" t="s">
        <v>34</v>
      </c>
      <c r="G24" s="4" t="s">
        <v>644</v>
      </c>
      <c r="H24" s="4" t="s">
        <v>2061</v>
      </c>
      <c r="I24" s="4" t="s">
        <v>1968</v>
      </c>
      <c r="J24" s="4" t="s">
        <v>2062</v>
      </c>
      <c r="K24" s="4" t="s">
        <v>1968</v>
      </c>
      <c r="L24" s="4" t="s">
        <v>1974</v>
      </c>
      <c r="M24" s="4" t="s">
        <v>36</v>
      </c>
      <c r="N24" s="4" t="s">
        <v>727</v>
      </c>
      <c r="O24" s="4" t="s">
        <v>37</v>
      </c>
      <c r="P24" s="4" t="s">
        <v>37</v>
      </c>
      <c r="Q24" s="10" t="s">
        <v>57</v>
      </c>
      <c r="R24" s="4" t="str">
        <f t="shared" si="0"/>
        <v>Avenida Los Girasoles 29, Int. 47, Mz. B HUAYCAN, Ate, Lima, Lima, Perú</v>
      </c>
      <c r="S24" s="4">
        <v>-12.0201464</v>
      </c>
      <c r="T24" s="4">
        <v>-76.8175454</v>
      </c>
      <c r="U24" s="30">
        <f t="shared" si="1"/>
        <v>9.32</v>
      </c>
      <c r="V24" s="4" t="str">
        <f t="shared" si="2"/>
        <v>🟡 Cerca (5-10 km)</v>
      </c>
      <c r="W24" s="19" t="str" cm="1">
        <f t="array" ref="W24">_xlfn.LET(_xlpm.lat_emp,S24,_xlpm.lon_emp,T24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24" s="19" t="str">
        <f>_xlfn.LET(_xlpm.paradero,W24,INDEX(PARADEROS_VALIDOS!$A$2:$A$67,MATCH(_xlpm.paradero,PARADEROS_VALIDOS!$C$2:$C$67,0)))</f>
        <v>RUTA 3</v>
      </c>
      <c r="Y24" s="29" cm="1">
        <f t="array" ref="Y24">_xlfn.LET(_xlpm.lat_emp,S24,_xlpm.lon_emp,T24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0.84</v>
      </c>
      <c r="Z24" s="4" t="str">
        <f t="shared" si="3"/>
        <v>🟢 Muy Cerca (0-1 km)</v>
      </c>
      <c r="AA24" s="4"/>
      <c r="AB24" s="4"/>
      <c r="AC24" s="49">
        <v>-11.997563</v>
      </c>
      <c r="AD24" s="49">
        <v>-76.900062000000005</v>
      </c>
      <c r="AE24" s="19" t="str">
        <f>IFERROR(VLOOKUP(C24,tdcargo[],2,FALSE),"DESCONOCIDO")</f>
        <v>OPERARIO</v>
      </c>
    </row>
    <row r="25" spans="1:31" hidden="1" x14ac:dyDescent="0.35">
      <c r="A25" s="8">
        <v>70956608</v>
      </c>
      <c r="B25" s="4" t="s">
        <v>2067</v>
      </c>
      <c r="C25" s="4" t="s">
        <v>2001</v>
      </c>
      <c r="D25" s="5">
        <v>44714</v>
      </c>
      <c r="E25" s="4" t="s">
        <v>31</v>
      </c>
      <c r="F25" s="4" t="s">
        <v>36</v>
      </c>
      <c r="G25" s="4" t="s">
        <v>2068</v>
      </c>
      <c r="H25" s="4" t="s">
        <v>1956</v>
      </c>
      <c r="I25" s="4" t="s">
        <v>1968</v>
      </c>
      <c r="J25" s="4" t="s">
        <v>1968</v>
      </c>
      <c r="K25" s="4" t="s">
        <v>1968</v>
      </c>
      <c r="L25" s="4" t="s">
        <v>1968</v>
      </c>
      <c r="M25" s="4" t="s">
        <v>36</v>
      </c>
      <c r="N25" s="4" t="s">
        <v>2068</v>
      </c>
      <c r="O25" s="4" t="s">
        <v>37</v>
      </c>
      <c r="P25" s="4" t="s">
        <v>37</v>
      </c>
      <c r="Q25" s="10" t="s">
        <v>57</v>
      </c>
      <c r="R25" s="4" t="str">
        <f t="shared" si="0"/>
        <v>Aa.Hh Cerro Cruz Santa Elena Aa.Hh Cerro Cruz Santa Elena, Ate, Lima, Lima, Perú</v>
      </c>
      <c r="S25" s="4">
        <v>-12.022109199999999</v>
      </c>
      <c r="T25" s="4">
        <v>-76.880383399999999</v>
      </c>
      <c r="U25" s="30">
        <f t="shared" si="1"/>
        <v>3.47</v>
      </c>
      <c r="V25" s="4" t="str">
        <f t="shared" si="2"/>
        <v>🟢 Muy Cerca (0-5 km)</v>
      </c>
      <c r="W25" s="19" t="str" cm="1">
        <f t="array" ref="W25">_xlfn.LET(_xlpm.lat_emp,S25,_xlpm.lon_emp,T25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la Cruz</v>
      </c>
      <c r="X25" s="19" t="str">
        <f>_xlfn.LET(_xlpm.paradero,W25,INDEX(PARADEROS_VALIDOS!$A$2:$A$67,MATCH(_xlpm.paradero,PARADEROS_VALIDOS!$C$2:$C$67,0)))</f>
        <v>RUTA 4B</v>
      </c>
      <c r="Y25" s="29" cm="1">
        <f t="array" ref="Y25">_xlfn.LET(_xlpm.lat_emp,S25,_xlpm.lon_emp,T25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0.96</v>
      </c>
      <c r="Z25" s="4" t="str">
        <f t="shared" si="3"/>
        <v>🟢 Muy Cerca (0-1 km)</v>
      </c>
      <c r="AA25" s="4"/>
      <c r="AB25" s="4"/>
      <c r="AC25" s="49">
        <v>-11.997563</v>
      </c>
      <c r="AD25" s="49">
        <v>-76.900062000000005</v>
      </c>
      <c r="AE25" s="19" t="str">
        <f>IFERROR(VLOOKUP(C25,tdcargo[],2,FALSE),"DESCONOCIDO")</f>
        <v>OPERARIO</v>
      </c>
    </row>
    <row r="26" spans="1:31" hidden="1" x14ac:dyDescent="0.35">
      <c r="A26" s="8">
        <v>72491155</v>
      </c>
      <c r="B26" s="4" t="s">
        <v>2073</v>
      </c>
      <c r="C26" s="4" t="s">
        <v>1971</v>
      </c>
      <c r="D26" s="5">
        <v>45260</v>
      </c>
      <c r="E26" s="4" t="s">
        <v>31</v>
      </c>
      <c r="F26" s="4" t="s">
        <v>82</v>
      </c>
      <c r="G26" s="4" t="s">
        <v>2074</v>
      </c>
      <c r="H26" s="4" t="s">
        <v>1956</v>
      </c>
      <c r="I26" s="4" t="s">
        <v>1968</v>
      </c>
      <c r="J26" s="4" t="s">
        <v>1968</v>
      </c>
      <c r="K26" s="4" t="s">
        <v>1968</v>
      </c>
      <c r="L26" s="4" t="s">
        <v>1968</v>
      </c>
      <c r="M26" s="4" t="s">
        <v>36</v>
      </c>
      <c r="N26" s="4" t="s">
        <v>2075</v>
      </c>
      <c r="O26" s="4" t="s">
        <v>37</v>
      </c>
      <c r="P26" s="4" t="s">
        <v>37</v>
      </c>
      <c r="Q26" s="10" t="s">
        <v>367</v>
      </c>
      <c r="R26" s="4" t="str">
        <f t="shared" si="0"/>
        <v>Calle Espaã‘A Coop. San Jose De Mangomarca, Santa Anita, Lima, Lima, Perú</v>
      </c>
      <c r="S26" s="4">
        <v>-12.0325384</v>
      </c>
      <c r="T26" s="4">
        <v>-76.947472099999999</v>
      </c>
      <c r="U26" s="30">
        <f t="shared" si="1"/>
        <v>6.46</v>
      </c>
      <c r="V26" s="4" t="str">
        <f t="shared" si="2"/>
        <v>🟡 Cerca (5-10 km)</v>
      </c>
      <c r="W26" s="19" t="str" cm="1">
        <f t="array" ref="W26">_xlfn.LET(_xlpm.lat_emp,S26,_xlpm.lon_emp,T26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Av. Huarochirí con Metropolitana</v>
      </c>
      <c r="X26" s="19" t="str">
        <f>_xlfn.LET(_xlpm.paradero,W26,INDEX(PARADEROS_VALIDOS!$A$2:$A$67,MATCH(_xlpm.paradero,PARADEROS_VALIDOS!$C$2:$C$67,0)))</f>
        <v>RUTA 4A</v>
      </c>
      <c r="Y26" s="29" cm="1">
        <f t="array" ref="Y26">_xlfn.LET(_xlpm.lat_emp,S26,_xlpm.lon_emp,T26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0.92</v>
      </c>
      <c r="Z26" s="4" t="str">
        <f t="shared" si="3"/>
        <v>🟢 Muy Cerca (0-1 km)</v>
      </c>
      <c r="AA26" s="4"/>
      <c r="AB26" s="4"/>
      <c r="AC26" s="49">
        <v>-11.997563</v>
      </c>
      <c r="AD26" s="49">
        <v>-76.900062000000005</v>
      </c>
      <c r="AE26" s="19" t="str">
        <f>IFERROR(VLOOKUP(C26,tdcargo[],2,FALSE),"DESCONOCIDO")</f>
        <v>OPERARIO</v>
      </c>
    </row>
    <row r="27" spans="1:31" hidden="1" x14ac:dyDescent="0.35">
      <c r="A27" s="8">
        <v>40904983</v>
      </c>
      <c r="B27" s="4" t="s">
        <v>2076</v>
      </c>
      <c r="C27" s="4" t="s">
        <v>1971</v>
      </c>
      <c r="D27" s="5">
        <v>46006</v>
      </c>
      <c r="E27" s="4" t="s">
        <v>31</v>
      </c>
      <c r="F27" s="4" t="s">
        <v>82</v>
      </c>
      <c r="G27" s="4" t="s">
        <v>2077</v>
      </c>
      <c r="H27" s="4" t="s">
        <v>1956</v>
      </c>
      <c r="I27" s="4" t="s">
        <v>1968</v>
      </c>
      <c r="J27" s="4" t="s">
        <v>1968</v>
      </c>
      <c r="K27" s="4" t="s">
        <v>1986</v>
      </c>
      <c r="L27" s="4" t="s">
        <v>1974</v>
      </c>
      <c r="M27" s="4" t="s">
        <v>36</v>
      </c>
      <c r="N27" s="4" t="s">
        <v>2078</v>
      </c>
      <c r="O27" s="4" t="s">
        <v>37</v>
      </c>
      <c r="P27" s="4" t="s">
        <v>37</v>
      </c>
      <c r="Q27" s="10" t="s">
        <v>57</v>
      </c>
      <c r="R27" s="4" t="str">
        <f t="shared" si="0"/>
        <v>Calle Las Nieves, Lote 20, Mz. B HUBERT LANSSIER, Ate, Lima, Lima, Perú</v>
      </c>
      <c r="S27" s="4">
        <v>-11.993723599999999</v>
      </c>
      <c r="T27" s="4">
        <v>-76.902010300000001</v>
      </c>
      <c r="U27" s="30">
        <f t="shared" si="1"/>
        <v>0.48</v>
      </c>
      <c r="V27" s="4" t="str">
        <f t="shared" si="2"/>
        <v>🟢 Muy Cerca (0-5 km)</v>
      </c>
      <c r="W27" s="19" t="str" cm="1">
        <f t="array" ref="W27">_xlfn.LET(_xlpm.lat_emp,S27,_xlpm.lon_emp,T27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27" s="19" t="str">
        <f>_xlfn.LET(_xlpm.paradero,W27,INDEX(PARADEROS_VALIDOS!$A$2:$A$67,MATCH(_xlpm.paradero,PARADEROS_VALIDOS!$C$2:$C$67,0)))</f>
        <v>RUTA 2</v>
      </c>
      <c r="Y27" s="29" cm="1">
        <f t="array" ref="Y27">_xlfn.LET(_xlpm.lat_emp,S27,_xlpm.lon_emp,T27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0.12</v>
      </c>
      <c r="Z27" s="4" t="str">
        <f t="shared" si="3"/>
        <v>🟢 Muy Cerca (0-1 km)</v>
      </c>
      <c r="AA27" s="4"/>
      <c r="AB27" s="4"/>
      <c r="AC27" s="49">
        <v>-11.997563</v>
      </c>
      <c r="AD27" s="49">
        <v>-76.900062000000005</v>
      </c>
      <c r="AE27" s="19" t="str">
        <f>IFERROR(VLOOKUP(C27,tdcargo[],2,FALSE),"DESCONOCIDO")</f>
        <v>OPERARIO</v>
      </c>
    </row>
    <row r="28" spans="1:31" hidden="1" x14ac:dyDescent="0.35">
      <c r="A28" s="8">
        <v>76231057</v>
      </c>
      <c r="B28" s="4" t="s">
        <v>2079</v>
      </c>
      <c r="C28" s="4" t="s">
        <v>1971</v>
      </c>
      <c r="D28" s="5">
        <v>46045</v>
      </c>
      <c r="E28" s="4" t="s">
        <v>31</v>
      </c>
      <c r="F28" s="4" t="s">
        <v>36</v>
      </c>
      <c r="G28" s="4" t="s">
        <v>2080</v>
      </c>
      <c r="H28" s="4" t="s">
        <v>2081</v>
      </c>
      <c r="I28" s="4" t="s">
        <v>1968</v>
      </c>
      <c r="J28" s="4" t="s">
        <v>1968</v>
      </c>
      <c r="K28" s="4" t="s">
        <v>1992</v>
      </c>
      <c r="L28" s="4" t="s">
        <v>2082</v>
      </c>
      <c r="M28" s="4" t="s">
        <v>36</v>
      </c>
      <c r="N28" s="4" t="s">
        <v>2083</v>
      </c>
      <c r="O28" s="4" t="s">
        <v>37</v>
      </c>
      <c r="P28" s="4" t="s">
        <v>37</v>
      </c>
      <c r="Q28" s="10" t="s">
        <v>57</v>
      </c>
      <c r="R28" s="4" t="str">
        <f t="shared" si="0"/>
        <v>La Pradera Pariachi 1056, Lote 36, Mz. G ENTRADA HUAYCAN, Ate, Lima, Lima, Perú</v>
      </c>
      <c r="S28" s="4">
        <v>-12.011298399999999</v>
      </c>
      <c r="T28" s="4">
        <v>-76.823775900000001</v>
      </c>
      <c r="U28" s="30">
        <f t="shared" si="1"/>
        <v>8.44</v>
      </c>
      <c r="V28" s="4" t="str">
        <f t="shared" si="2"/>
        <v>🟡 Cerca (5-10 km)</v>
      </c>
      <c r="W28" s="19" t="str" cm="1">
        <f t="array" ref="W28">_xlfn.LET(_xlpm.lat_emp,S28,_xlpm.lon_emp,T28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28" s="19" t="str">
        <f>_xlfn.LET(_xlpm.paradero,W28,INDEX(PARADEROS_VALIDOS!$A$2:$A$67,MATCH(_xlpm.paradero,PARADEROS_VALIDOS!$C$2:$C$67,0)))</f>
        <v>RUTA 3</v>
      </c>
      <c r="Y28" s="29" cm="1">
        <f t="array" ref="Y28">_xlfn.LET(_xlpm.lat_emp,S28,_xlpm.lon_emp,T28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1.62</v>
      </c>
      <c r="Z28" s="4" t="str">
        <f t="shared" si="3"/>
        <v>🟡 Cerca (1-3 km)</v>
      </c>
      <c r="AA28" s="4"/>
      <c r="AB28" s="4"/>
      <c r="AC28" s="49">
        <v>-11.997563</v>
      </c>
      <c r="AD28" s="49">
        <v>-76.900062000000005</v>
      </c>
      <c r="AE28" s="19" t="str">
        <f>IFERROR(VLOOKUP(C28,tdcargo[],2,FALSE),"DESCONOCIDO")</f>
        <v>OPERARIO</v>
      </c>
    </row>
    <row r="29" spans="1:31" hidden="1" x14ac:dyDescent="0.35">
      <c r="A29" s="8">
        <v>70127645</v>
      </c>
      <c r="B29" s="4" t="s">
        <v>2084</v>
      </c>
      <c r="C29" s="4" t="s">
        <v>1971</v>
      </c>
      <c r="D29" s="5">
        <v>45915</v>
      </c>
      <c r="E29" s="4" t="s">
        <v>31</v>
      </c>
      <c r="F29" s="4" t="s">
        <v>82</v>
      </c>
      <c r="G29" s="4" t="s">
        <v>2085</v>
      </c>
      <c r="H29" s="4" t="s">
        <v>2086</v>
      </c>
      <c r="I29" s="4" t="s">
        <v>1968</v>
      </c>
      <c r="J29" s="4" t="s">
        <v>1968</v>
      </c>
      <c r="K29" s="4" t="s">
        <v>1968</v>
      </c>
      <c r="L29" s="4" t="s">
        <v>2087</v>
      </c>
      <c r="M29" s="4" t="s">
        <v>36</v>
      </c>
      <c r="N29" s="4" t="s">
        <v>2088</v>
      </c>
      <c r="O29" s="4" t="s">
        <v>37</v>
      </c>
      <c r="P29" s="4" t="s">
        <v>37</v>
      </c>
      <c r="Q29" s="10" t="s">
        <v>76</v>
      </c>
      <c r="R29" s="4" t="str">
        <f t="shared" si="0"/>
        <v>Calle 2Da Etapa, Virgen Del Carmen 9, Mz. A1 Virgen Del Carmen La, Lurigancho, Lima, Lima, Perú</v>
      </c>
      <c r="S29" s="4">
        <v>-11.993711899999999</v>
      </c>
      <c r="T29" s="4">
        <v>-76.936071299999995</v>
      </c>
      <c r="U29" s="30">
        <f t="shared" si="1"/>
        <v>3.94</v>
      </c>
      <c r="V29" s="4" t="str">
        <f t="shared" si="2"/>
        <v>🟢 Muy Cerca (0-5 km)</v>
      </c>
      <c r="W29" s="19" t="str" cm="1">
        <f t="array" ref="W29">_xlfn.LET(_xlpm.lat_emp,S29,_xlpm.lon_emp,T29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Estadio Huachipa</v>
      </c>
      <c r="X29" s="19" t="str">
        <f>_xlfn.LET(_xlpm.paradero,W29,INDEX(PARADEROS_VALIDOS!$A$2:$A$67,MATCH(_xlpm.paradero,PARADEROS_VALIDOS!$C$2:$C$67,0)))</f>
        <v>RUTA 5C</v>
      </c>
      <c r="Y29" s="29" cm="1">
        <f t="array" ref="Y29">_xlfn.LET(_xlpm.lat_emp,S29,_xlpm.lon_emp,T29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3.12</v>
      </c>
      <c r="Z29" s="4" t="str">
        <f t="shared" si="3"/>
        <v>🟠 Moderada (3-5 km)</v>
      </c>
      <c r="AA29" s="4"/>
      <c r="AB29" s="4"/>
      <c r="AC29" s="49">
        <v>-11.997563</v>
      </c>
      <c r="AD29" s="49">
        <v>-76.900062000000005</v>
      </c>
      <c r="AE29" s="19" t="str">
        <f>IFERROR(VLOOKUP(C29,tdcargo[],2,FALSE),"DESCONOCIDO")</f>
        <v>OPERARIO</v>
      </c>
    </row>
    <row r="30" spans="1:31" hidden="1" x14ac:dyDescent="0.35">
      <c r="A30" s="8">
        <v>41372978</v>
      </c>
      <c r="B30" s="4" t="s">
        <v>2089</v>
      </c>
      <c r="C30" s="4" t="s">
        <v>2001</v>
      </c>
      <c r="D30" s="5">
        <v>42205</v>
      </c>
      <c r="E30" s="4" t="s">
        <v>31</v>
      </c>
      <c r="F30" s="4" t="s">
        <v>36</v>
      </c>
      <c r="G30" s="4" t="s">
        <v>46</v>
      </c>
      <c r="H30" s="4" t="s">
        <v>1956</v>
      </c>
      <c r="I30" s="4" t="s">
        <v>1968</v>
      </c>
      <c r="J30" s="4" t="s">
        <v>1968</v>
      </c>
      <c r="K30" s="4" t="s">
        <v>1968</v>
      </c>
      <c r="L30" s="4" t="s">
        <v>1968</v>
      </c>
      <c r="M30" s="4" t="s">
        <v>66</v>
      </c>
      <c r="N30" s="4" t="s">
        <v>2090</v>
      </c>
      <c r="O30" s="4" t="s">
        <v>37</v>
      </c>
      <c r="P30" s="4" t="s">
        <v>37</v>
      </c>
      <c r="Q30" s="10" t="s">
        <v>57</v>
      </c>
      <c r="R30" s="4" t="str">
        <f t="shared" si="0"/>
        <v>Nd, U.V. Unidad Vecinal Niño Jesus Ii Etapa, Ate, Lima, Lima, Perú</v>
      </c>
      <c r="S30" s="4">
        <v>-12.022354999999999</v>
      </c>
      <c r="T30" s="4">
        <v>-76.892030500000004</v>
      </c>
      <c r="U30" s="30">
        <f t="shared" si="1"/>
        <v>2.89</v>
      </c>
      <c r="V30" s="4" t="str">
        <f t="shared" si="2"/>
        <v>🟢 Muy Cerca (0-5 km)</v>
      </c>
      <c r="W30" s="19" t="str" cm="1">
        <f t="array" ref="W30">_xlfn.LET(_xlpm.lat_emp,S30,_xlpm.lon_emp,T30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Sta. Clara</v>
      </c>
      <c r="X30" s="19" t="str">
        <f>_xlfn.LET(_xlpm.paradero,W30,INDEX(PARADEROS_VALIDOS!$A$2:$A$67,MATCH(_xlpm.paradero,PARADEROS_VALIDOS!$C$2:$C$67,0)))</f>
        <v>RUTA 5C</v>
      </c>
      <c r="Y30" s="29" cm="1">
        <f t="array" ref="Y30">_xlfn.LET(_xlpm.lat_emp,S30,_xlpm.lon_emp,T30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1.1200000000000001</v>
      </c>
      <c r="Z30" s="4" t="str">
        <f t="shared" si="3"/>
        <v>🟡 Cerca (1-3 km)</v>
      </c>
      <c r="AA30" s="4"/>
      <c r="AB30" s="4"/>
      <c r="AC30" s="49">
        <v>-11.997563</v>
      </c>
      <c r="AD30" s="49">
        <v>-76.900062000000005</v>
      </c>
      <c r="AE30" s="19" t="str">
        <f>IFERROR(VLOOKUP(C30,tdcargo[],2,FALSE),"DESCONOCIDO")</f>
        <v>OPERARIO</v>
      </c>
    </row>
    <row r="31" spans="1:31" hidden="1" x14ac:dyDescent="0.35">
      <c r="A31" s="8">
        <v>70588532</v>
      </c>
      <c r="B31" s="4" t="s">
        <v>2091</v>
      </c>
      <c r="C31" s="4" t="s">
        <v>1971</v>
      </c>
      <c r="D31" s="5">
        <v>46069</v>
      </c>
      <c r="E31" s="4" t="s">
        <v>31</v>
      </c>
      <c r="F31" s="4" t="s">
        <v>82</v>
      </c>
      <c r="G31" s="4" t="s">
        <v>2092</v>
      </c>
      <c r="H31" s="4" t="s">
        <v>1973</v>
      </c>
      <c r="I31" s="4" t="s">
        <v>1968</v>
      </c>
      <c r="J31" s="4" t="s">
        <v>1968</v>
      </c>
      <c r="K31" s="4" t="s">
        <v>2093</v>
      </c>
      <c r="L31" s="4" t="s">
        <v>1982</v>
      </c>
      <c r="M31" s="4" t="s">
        <v>36</v>
      </c>
      <c r="N31" s="4" t="s">
        <v>2094</v>
      </c>
      <c r="O31" s="4" t="s">
        <v>37</v>
      </c>
      <c r="P31" s="4" t="s">
        <v>37</v>
      </c>
      <c r="Q31" s="10" t="s">
        <v>76</v>
      </c>
      <c r="R31" s="4" t="str">
        <f t="shared" si="0"/>
        <v>Calle Etapa 2 15, Lote 56, Mz. S1 TERRAZAS CARAPONGUIL, Lurigancho, Lima, Lima, Perú</v>
      </c>
      <c r="S31" s="4">
        <v>-11.9984625</v>
      </c>
      <c r="T31" s="4">
        <v>-76.853484399999999</v>
      </c>
      <c r="U31" s="30">
        <f t="shared" si="1"/>
        <v>5.07</v>
      </c>
      <c r="V31" s="4" t="str">
        <f t="shared" si="2"/>
        <v>🟡 Cerca (5-10 km)</v>
      </c>
      <c r="W31" s="19" t="str" cm="1">
        <f t="array" ref="W31">_xlfn.LET(_xlpm.lat_emp,S31,_xlpm.lon_emp,T31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Gloria Grande</v>
      </c>
      <c r="X31" s="19" t="str">
        <f>_xlfn.LET(_xlpm.paradero,W31,INDEX(PARADEROS_VALIDOS!$A$2:$A$67,MATCH(_xlpm.paradero,PARADEROS_VALIDOS!$C$2:$C$67,0)))</f>
        <v>RUTA 5B</v>
      </c>
      <c r="Y31" s="29" cm="1">
        <f t="array" ref="Y31">_xlfn.LET(_xlpm.lat_emp,S31,_xlpm.lon_emp,T31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1.02</v>
      </c>
      <c r="Z31" s="4" t="str">
        <f t="shared" si="3"/>
        <v>🟡 Cerca (1-3 km)</v>
      </c>
      <c r="AA31" s="4"/>
      <c r="AB31" s="4"/>
      <c r="AC31" s="49">
        <v>-11.997563</v>
      </c>
      <c r="AD31" s="49">
        <v>-76.900062000000005</v>
      </c>
      <c r="AE31" s="19" t="str">
        <f>IFERROR(VLOOKUP(C31,tdcargo[],2,FALSE),"DESCONOCIDO")</f>
        <v>OPERARIO</v>
      </c>
    </row>
    <row r="32" spans="1:31" hidden="1" x14ac:dyDescent="0.35">
      <c r="A32" s="8">
        <v>60436435</v>
      </c>
      <c r="B32" s="4" t="s">
        <v>2101</v>
      </c>
      <c r="C32" s="4" t="s">
        <v>1971</v>
      </c>
      <c r="D32" s="5">
        <v>45796</v>
      </c>
      <c r="E32" s="4" t="s">
        <v>31</v>
      </c>
      <c r="F32" s="4" t="s">
        <v>34</v>
      </c>
      <c r="G32" s="4" t="s">
        <v>1135</v>
      </c>
      <c r="H32" s="4" t="s">
        <v>2058</v>
      </c>
      <c r="I32" s="4" t="s">
        <v>1968</v>
      </c>
      <c r="J32" s="4" t="s">
        <v>1968</v>
      </c>
      <c r="K32" s="4" t="s">
        <v>2058</v>
      </c>
      <c r="L32" s="4" t="s">
        <v>2102</v>
      </c>
      <c r="M32" s="4" t="s">
        <v>36</v>
      </c>
      <c r="N32" s="4" t="s">
        <v>1012</v>
      </c>
      <c r="O32" s="4" t="s">
        <v>37</v>
      </c>
      <c r="P32" s="4" t="s">
        <v>37</v>
      </c>
      <c r="Q32" s="10" t="s">
        <v>76</v>
      </c>
      <c r="R32" s="4" t="str">
        <f t="shared" si="0"/>
        <v>Avenida 16 De Mayo 7, Lote 7, Mz. O2 Basilio Auqui, Lurigancho, Lima, Lima, Perú</v>
      </c>
      <c r="S32" s="4">
        <v>-11.993431599999999</v>
      </c>
      <c r="T32" s="4">
        <v>-76.951778399999995</v>
      </c>
      <c r="U32" s="30">
        <f t="shared" si="1"/>
        <v>5.64</v>
      </c>
      <c r="V32" s="4" t="str">
        <f t="shared" si="2"/>
        <v>🟡 Cerca (5-10 km)</v>
      </c>
      <c r="W32" s="19" t="str" cm="1">
        <f t="array" ref="W32">_xlfn.LET(_xlpm.lat_emp,S32,_xlpm.lon_emp,T32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Saracoto</v>
      </c>
      <c r="X32" s="19" t="str">
        <f>_xlfn.LET(_xlpm.paradero,W32,INDEX(PARADEROS_VALIDOS!$A$2:$A$67,MATCH(_xlpm.paradero,PARADEROS_VALIDOS!$C$2:$C$67,0)))</f>
        <v>RUTA 1</v>
      </c>
      <c r="Y32" s="29" cm="1">
        <f t="array" ref="Y32">_xlfn.LET(_xlpm.lat_emp,S32,_xlpm.lon_emp,T32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3.87</v>
      </c>
      <c r="Z32" s="4" t="str">
        <f t="shared" si="3"/>
        <v>🟠 Moderada (3-5 km)</v>
      </c>
      <c r="AA32" s="4"/>
      <c r="AB32" s="4"/>
      <c r="AC32" s="49">
        <v>-11.997563</v>
      </c>
      <c r="AD32" s="49">
        <v>-76.900062000000005</v>
      </c>
      <c r="AE32" s="19" t="str">
        <f>IFERROR(VLOOKUP(C32,tdcargo[],2,FALSE),"DESCONOCIDO")</f>
        <v>OPERARIO</v>
      </c>
    </row>
    <row r="33" spans="1:31" hidden="1" x14ac:dyDescent="0.35">
      <c r="A33" s="8">
        <v>48941400</v>
      </c>
      <c r="B33" s="4" t="s">
        <v>2103</v>
      </c>
      <c r="C33" s="4" t="s">
        <v>1971</v>
      </c>
      <c r="D33" s="5">
        <v>44259</v>
      </c>
      <c r="E33" s="4" t="s">
        <v>31</v>
      </c>
      <c r="F33" s="4" t="s">
        <v>36</v>
      </c>
      <c r="G33" s="4" t="s">
        <v>2104</v>
      </c>
      <c r="H33" s="4" t="s">
        <v>1995</v>
      </c>
      <c r="I33" s="4" t="s">
        <v>1968</v>
      </c>
      <c r="J33" s="4" t="s">
        <v>1968</v>
      </c>
      <c r="K33" s="4" t="s">
        <v>1968</v>
      </c>
      <c r="L33" s="4" t="s">
        <v>1968</v>
      </c>
      <c r="M33" s="4" t="s">
        <v>88</v>
      </c>
      <c r="N33" s="4" t="s">
        <v>2105</v>
      </c>
      <c r="O33" s="4" t="s">
        <v>37</v>
      </c>
      <c r="P33" s="4" t="s">
        <v>37</v>
      </c>
      <c r="Q33" s="10" t="s">
        <v>76</v>
      </c>
      <c r="R33" s="4" t="str">
        <f t="shared" si="0"/>
        <v>Asent. H. Las Casuarinas De Jicamarca Mz. D1 Lt. 0 1, A.H. Asentamiento Humano Las Casuarinas De Jicamarca, Lurigancho, Lima, Lima, Perú</v>
      </c>
      <c r="S33" s="4">
        <v>-11.934393999999999</v>
      </c>
      <c r="T33" s="4">
        <v>-76.938900000000004</v>
      </c>
      <c r="U33" s="30">
        <f t="shared" si="1"/>
        <v>8.1999999999999993</v>
      </c>
      <c r="V33" s="4" t="str">
        <f t="shared" si="2"/>
        <v>🟡 Cerca (5-10 km)</v>
      </c>
      <c r="W33" s="19" t="str" cm="1">
        <f t="array" ref="W33">_xlfn.LET(_xlpm.lat_emp,S33,_xlpm.lon_emp,T33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33" s="19" t="str">
        <f>_xlfn.LET(_xlpm.paradero,W33,INDEX(PARADEROS_VALIDOS!$A$2:$A$67,MATCH(_xlpm.paradero,PARADEROS_VALIDOS!$C$2:$C$67,0)))</f>
        <v>RUTA 2</v>
      </c>
      <c r="Y33" s="29" cm="1">
        <f t="array" ref="Y33">_xlfn.LET(_xlpm.lat_emp,S33,_xlpm.lon_emp,T33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7.64</v>
      </c>
      <c r="Z33" s="4" t="str">
        <f t="shared" si="3"/>
        <v>🔴 Lejos (&gt;5 km)</v>
      </c>
      <c r="AA33" s="4"/>
      <c r="AB33" s="4"/>
      <c r="AC33" s="49">
        <v>-11.997563</v>
      </c>
      <c r="AD33" s="49">
        <v>-76.900062000000005</v>
      </c>
      <c r="AE33" s="19" t="str">
        <f>IFERROR(VLOOKUP(C33,tdcargo[],2,FALSE),"DESCONOCIDO")</f>
        <v>OPERARIO</v>
      </c>
    </row>
    <row r="34" spans="1:31" hidden="1" x14ac:dyDescent="0.35">
      <c r="A34" s="8">
        <v>47557490</v>
      </c>
      <c r="B34" s="4" t="s">
        <v>2106</v>
      </c>
      <c r="C34" s="4" t="s">
        <v>1971</v>
      </c>
      <c r="D34" s="5">
        <v>45183</v>
      </c>
      <c r="E34" s="4" t="s">
        <v>31</v>
      </c>
      <c r="F34" s="4" t="s">
        <v>36</v>
      </c>
      <c r="G34" s="4" t="s">
        <v>2107</v>
      </c>
      <c r="H34" s="4" t="s">
        <v>2108</v>
      </c>
      <c r="I34" s="4" t="s">
        <v>1968</v>
      </c>
      <c r="J34" s="4" t="s">
        <v>1968</v>
      </c>
      <c r="K34" s="4" t="s">
        <v>1968</v>
      </c>
      <c r="L34" s="4" t="s">
        <v>1968</v>
      </c>
      <c r="M34" s="4" t="s">
        <v>36</v>
      </c>
      <c r="N34" s="4" t="s">
        <v>705</v>
      </c>
      <c r="O34" s="4" t="s">
        <v>37</v>
      </c>
      <c r="P34" s="4" t="s">
        <v>37</v>
      </c>
      <c r="Q34" s="10" t="s">
        <v>57</v>
      </c>
      <c r="R34" s="4" t="str">
        <f t="shared" ref="R34:R65" si="4">_xlfn.LET(_xlpm.parte1,TRIM(IF(F34="Otros / No aplica","",F34&amp;" ")&amp;G34&amp;IF(AND(H34&lt;&gt;"",H34&lt;&gt;"0",H34&lt;&gt;0)," "&amp;H34,"")&amp;IF(I34&lt;&gt;"",", Apt. "&amp;I34,"")&amp;IF(J34&lt;&gt;"",", Int. "&amp;J34,"")&amp;IF(AND(K34&lt;&gt;"",K34&lt;&gt;0),", Lote "&amp;K34,"")&amp;IF(L34&lt;&gt;"",", Mz. "&amp;L34,"")&amp;IF(AND(M34&lt;&gt;"",M34&lt;&gt;"Otros / No aplica"),", "&amp;M34,"")&amp;IF(AND(N34&lt;&gt;"",N34&lt;&gt;"0",N34&lt;&gt;0)," "&amp;N34,"")),_xlpm.parte2,Q34&amp;", "&amp;P34&amp;", "&amp;O34&amp;", Perú",IF(LEFT(_xlpm.parte1,1)=",",TRIM(MID(_xlpm.parte1,2,255))&amp;", "&amp;_xlpm.parte2,IF(_xlpm.parte1="",_xlpm.parte2,_xlpm.parte1&amp;", "&amp;_xlpm.parte2)))</f>
        <v>Ucv 189 Lt 19 Zona P Huaycan 19 Huaycan, Ate, Lima, Lima, Perú</v>
      </c>
      <c r="S34" s="4">
        <v>-12.0100821</v>
      </c>
      <c r="T34" s="4">
        <v>-76.827851499999994</v>
      </c>
      <c r="U34" s="30">
        <f t="shared" si="1"/>
        <v>7.98</v>
      </c>
      <c r="V34" s="4" t="str">
        <f t="shared" si="2"/>
        <v>🟡 Cerca (5-10 km)</v>
      </c>
      <c r="W34" s="19" t="str" cm="1">
        <f t="array" ref="W34">_xlfn.LET(_xlpm.lat_emp,S34,_xlpm.lon_emp,T34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Horacio</v>
      </c>
      <c r="X34" s="19" t="str">
        <f>_xlfn.LET(_xlpm.paradero,W34,INDEX(PARADEROS_VALIDOS!$A$2:$A$67,MATCH(_xlpm.paradero,PARADEROS_VALIDOS!$C$2:$C$67,0)))</f>
        <v>RUTA 5B</v>
      </c>
      <c r="Y34" s="29" cm="1">
        <f t="array" ref="Y34">_xlfn.LET(_xlpm.lat_emp,S34,_xlpm.lon_emp,T34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1.55</v>
      </c>
      <c r="Z34" s="4" t="str">
        <f t="shared" si="3"/>
        <v>🟡 Cerca (1-3 km)</v>
      </c>
      <c r="AA34" s="4"/>
      <c r="AB34" s="4"/>
      <c r="AC34" s="49">
        <v>-11.997563</v>
      </c>
      <c r="AD34" s="49">
        <v>-76.900062000000005</v>
      </c>
      <c r="AE34" s="19" t="str">
        <f>IFERROR(VLOOKUP(C34,tdcargo[],2,FALSE),"DESCONOCIDO")</f>
        <v>OPERARIO</v>
      </c>
    </row>
    <row r="35" spans="1:31" hidden="1" x14ac:dyDescent="0.35">
      <c r="A35" s="8">
        <v>44433453</v>
      </c>
      <c r="B35" s="4" t="s">
        <v>2109</v>
      </c>
      <c r="C35" s="4" t="s">
        <v>1971</v>
      </c>
      <c r="D35" s="5">
        <v>45616</v>
      </c>
      <c r="E35" s="4" t="s">
        <v>31</v>
      </c>
      <c r="F35" s="4" t="s">
        <v>148</v>
      </c>
      <c r="G35" s="4" t="s">
        <v>2110</v>
      </c>
      <c r="H35" s="4" t="s">
        <v>1956</v>
      </c>
      <c r="I35" s="4" t="s">
        <v>1968</v>
      </c>
      <c r="J35" s="4" t="s">
        <v>1968</v>
      </c>
      <c r="K35" s="4" t="s">
        <v>1968</v>
      </c>
      <c r="L35" s="4" t="s">
        <v>1968</v>
      </c>
      <c r="M35" s="4" t="s">
        <v>36</v>
      </c>
      <c r="N35" s="4" t="s">
        <v>2111</v>
      </c>
      <c r="O35" s="4" t="s">
        <v>37</v>
      </c>
      <c r="P35" s="4" t="s">
        <v>37</v>
      </c>
      <c r="Q35" s="10" t="s">
        <v>347</v>
      </c>
      <c r="R35" s="4" t="str">
        <f t="shared" si="4"/>
        <v>Pasaje Sin Nombre La Rivera, El Agustino, Lima, Lima, Perú</v>
      </c>
      <c r="S35" s="4">
        <v>-12.0238084</v>
      </c>
      <c r="T35" s="4">
        <v>-76.951891700000004</v>
      </c>
      <c r="U35" s="30">
        <f t="shared" si="1"/>
        <v>6.35</v>
      </c>
      <c r="V35" s="4" t="str">
        <f t="shared" si="2"/>
        <v>🟡 Cerca (5-10 km)</v>
      </c>
      <c r="W35" s="19" t="str" cm="1">
        <f t="array" ref="W35">_xlfn.LET(_xlpm.lat_emp,S35,_xlpm.lon_emp,T35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Bayóvar</v>
      </c>
      <c r="X35" s="19" t="str">
        <f>_xlfn.LET(_xlpm.paradero,W35,INDEX(PARADEROS_VALIDOS!$A$2:$A$67,MATCH(_xlpm.paradero,PARADEROS_VALIDOS!$C$2:$C$67,0)))</f>
        <v>RUTA 6A</v>
      </c>
      <c r="Y35" s="29" cm="1">
        <f t="array" ref="Y35">_xlfn.LET(_xlpm.lat_emp,S35,_xlpm.lon_emp,T35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1.1299999999999999</v>
      </c>
      <c r="Z35" s="4" t="str">
        <f t="shared" si="3"/>
        <v>🟡 Cerca (1-3 km)</v>
      </c>
      <c r="AA35" s="4"/>
      <c r="AB35" s="4"/>
      <c r="AC35" s="49">
        <v>-11.997563</v>
      </c>
      <c r="AD35" s="49">
        <v>-76.900062000000005</v>
      </c>
      <c r="AE35" s="19" t="str">
        <f>IFERROR(VLOOKUP(C35,tdcargo[],2,FALSE),"DESCONOCIDO")</f>
        <v>OPERARIO</v>
      </c>
    </row>
    <row r="36" spans="1:31" hidden="1" x14ac:dyDescent="0.35">
      <c r="A36" s="8">
        <v>40832820</v>
      </c>
      <c r="B36" s="4" t="s">
        <v>2112</v>
      </c>
      <c r="C36" s="4" t="s">
        <v>1971</v>
      </c>
      <c r="D36" s="5">
        <v>45931</v>
      </c>
      <c r="E36" s="4" t="s">
        <v>31</v>
      </c>
      <c r="F36" s="4" t="s">
        <v>34</v>
      </c>
      <c r="G36" s="4" t="s">
        <v>2113</v>
      </c>
      <c r="H36" s="4" t="s">
        <v>2114</v>
      </c>
      <c r="I36" s="4" t="s">
        <v>1968</v>
      </c>
      <c r="J36" s="4" t="s">
        <v>1968</v>
      </c>
      <c r="K36" s="4" t="s">
        <v>1995</v>
      </c>
      <c r="L36" s="4" t="s">
        <v>1278</v>
      </c>
      <c r="M36" s="4" t="s">
        <v>36</v>
      </c>
      <c r="N36" s="4" t="s">
        <v>2115</v>
      </c>
      <c r="O36" s="4" t="s">
        <v>37</v>
      </c>
      <c r="P36" s="4" t="s">
        <v>37</v>
      </c>
      <c r="Q36" s="10" t="s">
        <v>76</v>
      </c>
      <c r="R36" s="4" t="str">
        <f t="shared" si="4"/>
        <v>Avenida Chosica San Antonio 10, Lote 1, Mz. A Olivos, Lurigancho, Lima, Lima, Perú</v>
      </c>
      <c r="S36" s="4">
        <v>-11.983504999999999</v>
      </c>
      <c r="T36" s="4">
        <v>-76.893615600000004</v>
      </c>
      <c r="U36" s="30">
        <f t="shared" si="1"/>
        <v>1.71</v>
      </c>
      <c r="V36" s="4" t="str">
        <f t="shared" si="2"/>
        <v>🟢 Muy Cerca (0-5 km)</v>
      </c>
      <c r="W36" s="19" t="str" cm="1">
        <f t="array" ref="W36">_xlfn.LET(_xlpm.lat_emp,S36,_xlpm.lon_emp,T36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36" s="19" t="str">
        <f>_xlfn.LET(_xlpm.paradero,W36,INDEX(PARADEROS_VALIDOS!$A$2:$A$67,MATCH(_xlpm.paradero,PARADEROS_VALIDOS!$C$2:$C$67,0)))</f>
        <v>RUTA 2</v>
      </c>
      <c r="Y36" s="29" cm="1">
        <f t="array" ref="Y36">_xlfn.LET(_xlpm.lat_emp,S36,_xlpm.lon_emp,T36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1.52</v>
      </c>
      <c r="Z36" s="4" t="str">
        <f t="shared" si="3"/>
        <v>🟡 Cerca (1-3 km)</v>
      </c>
      <c r="AA36" s="4"/>
      <c r="AB36" s="4"/>
      <c r="AC36" s="49">
        <v>-11.997563</v>
      </c>
      <c r="AD36" s="49">
        <v>-76.900062000000005</v>
      </c>
      <c r="AE36" s="19" t="str">
        <f>IFERROR(VLOOKUP(C36,tdcargo[],2,FALSE),"DESCONOCIDO")</f>
        <v>OPERARIO</v>
      </c>
    </row>
    <row r="37" spans="1:31" hidden="1" x14ac:dyDescent="0.35">
      <c r="A37" s="8">
        <v>75415254</v>
      </c>
      <c r="B37" s="4" t="s">
        <v>2116</v>
      </c>
      <c r="C37" s="4" t="s">
        <v>1971</v>
      </c>
      <c r="D37" s="5">
        <v>45852</v>
      </c>
      <c r="E37" s="4" t="s">
        <v>31</v>
      </c>
      <c r="F37" s="4" t="s">
        <v>82</v>
      </c>
      <c r="G37" s="4" t="s">
        <v>2117</v>
      </c>
      <c r="H37" s="4" t="s">
        <v>1956</v>
      </c>
      <c r="I37" s="4" t="s">
        <v>1968</v>
      </c>
      <c r="J37" s="4" t="s">
        <v>1968</v>
      </c>
      <c r="K37" s="4" t="s">
        <v>2118</v>
      </c>
      <c r="L37" s="4" t="s">
        <v>202</v>
      </c>
      <c r="M37" s="4" t="s">
        <v>88</v>
      </c>
      <c r="N37" s="4" t="s">
        <v>2119</v>
      </c>
      <c r="O37" s="4" t="s">
        <v>37</v>
      </c>
      <c r="P37" s="4" t="s">
        <v>37</v>
      </c>
      <c r="Q37" s="10" t="s">
        <v>76</v>
      </c>
      <c r="R37" s="4" t="str">
        <f t="shared" si="4"/>
        <v>Calle Magnolias, Lote 5, Mz. L, A.H. Asentamiento Humano Paraiso De Cajamarqu, Lurigancho, Lima, Lima, Perú</v>
      </c>
      <c r="S37" s="4">
        <v>-12.009696699999999</v>
      </c>
      <c r="T37" s="4">
        <v>-76.905361299999996</v>
      </c>
      <c r="U37" s="30">
        <f t="shared" si="1"/>
        <v>1.47</v>
      </c>
      <c r="V37" s="4" t="str">
        <f t="shared" si="2"/>
        <v>🟢 Muy Cerca (0-5 km)</v>
      </c>
      <c r="W37" s="19" t="str" cm="1">
        <f t="array" ref="W37">_xlfn.LET(_xlpm.lat_emp,S37,_xlpm.lon_emp,T37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Tottus Huachipa</v>
      </c>
      <c r="X37" s="19" t="str">
        <f>_xlfn.LET(_xlpm.paradero,W37,INDEX(PARADEROS_VALIDOS!$A$2:$A$67,MATCH(_xlpm.paradero,PARADEROS_VALIDOS!$C$2:$C$67,0)))</f>
        <v>RUTA 1</v>
      </c>
      <c r="Y37" s="29" cm="1">
        <f t="array" ref="Y37">_xlfn.LET(_xlpm.lat_emp,S37,_xlpm.lon_emp,T37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1.18</v>
      </c>
      <c r="Z37" s="4" t="str">
        <f t="shared" si="3"/>
        <v>🟡 Cerca (1-3 km)</v>
      </c>
      <c r="AA37" s="4"/>
      <c r="AB37" s="4"/>
      <c r="AC37" s="49">
        <v>-11.997563</v>
      </c>
      <c r="AD37" s="49">
        <v>-76.900062000000005</v>
      </c>
      <c r="AE37" s="19" t="str">
        <f>IFERROR(VLOOKUP(C37,tdcargo[],2,FALSE),"DESCONOCIDO")</f>
        <v>OPERARIO</v>
      </c>
    </row>
    <row r="38" spans="1:31" hidden="1" x14ac:dyDescent="0.35">
      <c r="A38" s="8">
        <v>74216341</v>
      </c>
      <c r="B38" s="4" t="s">
        <v>2120</v>
      </c>
      <c r="C38" s="4" t="s">
        <v>1971</v>
      </c>
      <c r="D38" s="5">
        <v>45218</v>
      </c>
      <c r="E38" s="4" t="s">
        <v>31</v>
      </c>
      <c r="F38" s="4" t="s">
        <v>36</v>
      </c>
      <c r="G38" s="4" t="s">
        <v>46</v>
      </c>
      <c r="H38" s="4" t="s">
        <v>1956</v>
      </c>
      <c r="I38" s="4" t="s">
        <v>1968</v>
      </c>
      <c r="J38" s="4" t="s">
        <v>1968</v>
      </c>
      <c r="K38" s="4" t="s">
        <v>1968</v>
      </c>
      <c r="L38" s="4" t="s">
        <v>1968</v>
      </c>
      <c r="M38" s="4" t="s">
        <v>36</v>
      </c>
      <c r="N38" s="4" t="s">
        <v>38</v>
      </c>
      <c r="O38" s="4" t="s">
        <v>37</v>
      </c>
      <c r="P38" s="4" t="s">
        <v>37</v>
      </c>
      <c r="Q38" s="10" t="s">
        <v>38</v>
      </c>
      <c r="R38" s="4" t="str">
        <f t="shared" si="4"/>
        <v>Nd San Juan De Lurigancho, San Juan De Lurigancho, Lima, Lima, Perú</v>
      </c>
      <c r="S38" s="4">
        <v>-11.968179599999999</v>
      </c>
      <c r="T38" s="4">
        <v>-77.004263699999996</v>
      </c>
      <c r="U38" s="30">
        <f t="shared" si="1"/>
        <v>11.8</v>
      </c>
      <c r="V38" s="4" t="str">
        <f t="shared" si="2"/>
        <v>🟠 Moderada (10-20 km)</v>
      </c>
      <c r="W38" s="19" t="str" cm="1">
        <f t="array" ref="W38">_xlfn.LET(_xlpm.lat_emp,S38,_xlpm.lon_emp,T38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Acho</v>
      </c>
      <c r="X38" s="19" t="str">
        <f>_xlfn.LET(_xlpm.paradero,W38,INDEX(PARADEROS_VALIDOS!$A$2:$A$67,MATCH(_xlpm.paradero,PARADEROS_VALIDOS!$C$2:$C$67,0)))</f>
        <v>RUTA 8</v>
      </c>
      <c r="Y38" s="29" cm="1">
        <f t="array" ref="Y38">_xlfn.LET(_xlpm.lat_emp,S38,_xlpm.lon_emp,T38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0.46</v>
      </c>
      <c r="Z38" s="4" t="str">
        <f t="shared" si="3"/>
        <v>🟢 Muy Cerca (0-1 km)</v>
      </c>
      <c r="AA38" s="4"/>
      <c r="AB38" s="4"/>
      <c r="AC38" s="49">
        <v>-11.997563</v>
      </c>
      <c r="AD38" s="49">
        <v>-76.900062000000005</v>
      </c>
      <c r="AE38" s="19" t="str">
        <f>IFERROR(VLOOKUP(C38,tdcargo[],2,FALSE),"DESCONOCIDO")</f>
        <v>OPERARIO</v>
      </c>
    </row>
    <row r="39" spans="1:31" hidden="1" x14ac:dyDescent="0.35">
      <c r="A39" s="8">
        <v>41835896</v>
      </c>
      <c r="B39" s="4" t="s">
        <v>2121</v>
      </c>
      <c r="C39" s="4" t="s">
        <v>1971</v>
      </c>
      <c r="D39" s="5">
        <v>45901</v>
      </c>
      <c r="E39" s="4" t="s">
        <v>31</v>
      </c>
      <c r="F39" s="4" t="s">
        <v>36</v>
      </c>
      <c r="G39" s="4" t="s">
        <v>1725</v>
      </c>
      <c r="H39" s="4" t="s">
        <v>1973</v>
      </c>
      <c r="I39" s="4" t="s">
        <v>1968</v>
      </c>
      <c r="J39" s="4" t="s">
        <v>1968</v>
      </c>
      <c r="K39" s="4" t="s">
        <v>1973</v>
      </c>
      <c r="L39" s="4" t="s">
        <v>1461</v>
      </c>
      <c r="M39" s="4" t="s">
        <v>36</v>
      </c>
      <c r="N39" s="4" t="s">
        <v>1313</v>
      </c>
      <c r="O39" s="4" t="s">
        <v>37</v>
      </c>
      <c r="P39" s="4" t="s">
        <v>37</v>
      </c>
      <c r="Q39" s="10" t="s">
        <v>76</v>
      </c>
      <c r="R39" s="4" t="str">
        <f t="shared" si="4"/>
        <v>Chosica 15, Lote 15, Mz. C Las Palmeras, Lurigancho, Lima, Lima, Perú</v>
      </c>
      <c r="S39" s="4">
        <v>-12.009696699999999</v>
      </c>
      <c r="T39" s="4">
        <v>-76.905361299999996</v>
      </c>
      <c r="U39" s="30">
        <f t="shared" si="1"/>
        <v>1.47</v>
      </c>
      <c r="V39" s="4" t="str">
        <f t="shared" si="2"/>
        <v>🟢 Muy Cerca (0-5 km)</v>
      </c>
      <c r="W39" s="19" t="str" cm="1">
        <f t="array" ref="W39">_xlfn.LET(_xlpm.lat_emp,S39,_xlpm.lon_emp,T39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Tottus Huachipa</v>
      </c>
      <c r="X39" s="19" t="str">
        <f>_xlfn.LET(_xlpm.paradero,W39,INDEX(PARADEROS_VALIDOS!$A$2:$A$67,MATCH(_xlpm.paradero,PARADEROS_VALIDOS!$C$2:$C$67,0)))</f>
        <v>RUTA 1</v>
      </c>
      <c r="Y39" s="29" cm="1">
        <f t="array" ref="Y39">_xlfn.LET(_xlpm.lat_emp,S39,_xlpm.lon_emp,T39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1.18</v>
      </c>
      <c r="Z39" s="4" t="str">
        <f t="shared" si="3"/>
        <v>🟡 Cerca (1-3 km)</v>
      </c>
      <c r="AA39" s="4"/>
      <c r="AB39" s="4"/>
      <c r="AC39" s="49">
        <v>-11.997563</v>
      </c>
      <c r="AD39" s="49">
        <v>-76.900062000000005</v>
      </c>
      <c r="AE39" s="19" t="str">
        <f>IFERROR(VLOOKUP(C39,tdcargo[],2,FALSE),"DESCONOCIDO")</f>
        <v>OPERARIO</v>
      </c>
    </row>
    <row r="40" spans="1:31" hidden="1" x14ac:dyDescent="0.35">
      <c r="A40" s="8">
        <v>71846352</v>
      </c>
      <c r="B40" s="4" t="s">
        <v>2122</v>
      </c>
      <c r="C40" s="4" t="s">
        <v>2001</v>
      </c>
      <c r="D40" s="5">
        <v>44875</v>
      </c>
      <c r="E40" s="4" t="s">
        <v>31</v>
      </c>
      <c r="F40" s="4" t="s">
        <v>34</v>
      </c>
      <c r="G40" s="4" t="s">
        <v>2123</v>
      </c>
      <c r="H40" s="4" t="s">
        <v>1996</v>
      </c>
      <c r="I40" s="4" t="s">
        <v>1968</v>
      </c>
      <c r="J40" s="4" t="s">
        <v>2124</v>
      </c>
      <c r="K40" s="4" t="s">
        <v>1968</v>
      </c>
      <c r="L40" s="4" t="s">
        <v>1968</v>
      </c>
      <c r="M40" s="4" t="s">
        <v>609</v>
      </c>
      <c r="N40" s="4" t="s">
        <v>2125</v>
      </c>
      <c r="O40" s="4" t="s">
        <v>37</v>
      </c>
      <c r="P40" s="4" t="s">
        <v>37</v>
      </c>
      <c r="Q40" s="10" t="s">
        <v>76</v>
      </c>
      <c r="R40" s="4" t="str">
        <f t="shared" si="4"/>
        <v>Avenida San Antonio De Jicamarca Ane - Lurigancho Chosica 2, Int. 90, P.J. Pueblo Joven Cerro, Lurigancho, Lima, Lima, Perú</v>
      </c>
      <c r="S40" s="4">
        <v>-11.977499699999999</v>
      </c>
      <c r="T40" s="4">
        <v>-76.901209399999999</v>
      </c>
      <c r="U40" s="30">
        <f t="shared" si="1"/>
        <v>2.23</v>
      </c>
      <c r="V40" s="4" t="str">
        <f t="shared" si="2"/>
        <v>🟢 Muy Cerca (0-5 km)</v>
      </c>
      <c r="W40" s="19" t="str" cm="1">
        <f t="array" ref="W40">_xlfn.LET(_xlpm.lat_emp,S40,_xlpm.lon_emp,T40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40" s="19" t="str">
        <f>_xlfn.LET(_xlpm.paradero,W40,INDEX(PARADEROS_VALIDOS!$A$2:$A$67,MATCH(_xlpm.paradero,PARADEROS_VALIDOS!$C$2:$C$67,0)))</f>
        <v>RUTA 2</v>
      </c>
      <c r="Y40" s="29" cm="1">
        <f t="array" ref="Y40">_xlfn.LET(_xlpm.lat_emp,S40,_xlpm.lon_emp,T40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1.79</v>
      </c>
      <c r="Z40" s="4" t="str">
        <f t="shared" si="3"/>
        <v>🟡 Cerca (1-3 km)</v>
      </c>
      <c r="AA40" s="4"/>
      <c r="AB40" s="4"/>
      <c r="AC40" s="49">
        <v>-11.997563</v>
      </c>
      <c r="AD40" s="49">
        <v>-76.900062000000005</v>
      </c>
      <c r="AE40" s="19" t="str">
        <f>IFERROR(VLOOKUP(C40,tdcargo[],2,FALSE),"DESCONOCIDO")</f>
        <v>OPERARIO</v>
      </c>
    </row>
    <row r="41" spans="1:31" hidden="1" x14ac:dyDescent="0.35">
      <c r="A41" s="8">
        <v>70582888</v>
      </c>
      <c r="B41" s="4" t="s">
        <v>2126</v>
      </c>
      <c r="C41" s="4" t="s">
        <v>2001</v>
      </c>
      <c r="D41" s="5">
        <v>44823</v>
      </c>
      <c r="E41" s="4" t="s">
        <v>31</v>
      </c>
      <c r="F41" s="4" t="s">
        <v>36</v>
      </c>
      <c r="G41" s="4" t="s">
        <v>2127</v>
      </c>
      <c r="H41" s="4" t="s">
        <v>1956</v>
      </c>
      <c r="I41" s="4" t="s">
        <v>1968</v>
      </c>
      <c r="J41" s="4" t="s">
        <v>1968</v>
      </c>
      <c r="K41" s="4" t="s">
        <v>1968</v>
      </c>
      <c r="L41" s="4" t="s">
        <v>1968</v>
      </c>
      <c r="M41" s="4" t="s">
        <v>66</v>
      </c>
      <c r="N41" s="4" t="s">
        <v>2128</v>
      </c>
      <c r="O41" s="4" t="s">
        <v>37</v>
      </c>
      <c r="P41" s="4" t="s">
        <v>37</v>
      </c>
      <c r="Q41" s="10" t="s">
        <v>57</v>
      </c>
      <c r="R41" s="4" t="str">
        <f t="shared" si="4"/>
        <v>Av. Los Angeles 3324, U.V. Unidad Vecinal Hijos De Apurimac, Ate, Lima, Lima, Perú</v>
      </c>
      <c r="S41" s="4">
        <v>-12.0361844</v>
      </c>
      <c r="T41" s="4">
        <v>-76.932653099999996</v>
      </c>
      <c r="U41" s="30">
        <f t="shared" si="1"/>
        <v>5.57</v>
      </c>
      <c r="V41" s="4" t="str">
        <f t="shared" si="2"/>
        <v>🟡 Cerca (5-10 km)</v>
      </c>
      <c r="W41" s="19" t="str" cm="1">
        <f t="array" ref="W41">_xlfn.LET(_xlpm.lat_emp,S41,_xlpm.lon_emp,T41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Real Plaza Puruchuco (Grifo Primax)</v>
      </c>
      <c r="X41" s="19" t="str">
        <f>_xlfn.LET(_xlpm.paradero,W41,INDEX(PARADEROS_VALIDOS!$A$2:$A$67,MATCH(_xlpm.paradero,PARADEROS_VALIDOS!$C$2:$C$67,0)))</f>
        <v>RUTA 4A</v>
      </c>
      <c r="Y41" s="29" cm="1">
        <f t="array" ref="Y41">_xlfn.LET(_xlpm.lat_emp,S41,_xlpm.lon_emp,T41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0.57999999999999996</v>
      </c>
      <c r="Z41" s="4" t="str">
        <f t="shared" si="3"/>
        <v>🟢 Muy Cerca (0-1 km)</v>
      </c>
      <c r="AA41" s="4"/>
      <c r="AB41" s="4"/>
      <c r="AC41" s="49">
        <v>-11.997563</v>
      </c>
      <c r="AD41" s="49">
        <v>-76.900062000000005</v>
      </c>
      <c r="AE41" s="19" t="str">
        <f>IFERROR(VLOOKUP(C41,tdcargo[],2,FALSE),"DESCONOCIDO")</f>
        <v>OPERARIO</v>
      </c>
    </row>
    <row r="42" spans="1:31" hidden="1" x14ac:dyDescent="0.35">
      <c r="A42" s="8">
        <v>45453017</v>
      </c>
      <c r="B42" s="4" t="s">
        <v>2133</v>
      </c>
      <c r="C42" s="4" t="s">
        <v>2001</v>
      </c>
      <c r="D42" s="5">
        <v>44994</v>
      </c>
      <c r="E42" s="4" t="s">
        <v>31</v>
      </c>
      <c r="F42" s="4" t="s">
        <v>36</v>
      </c>
      <c r="G42" s="4" t="s">
        <v>2134</v>
      </c>
      <c r="H42" s="4" t="s">
        <v>1956</v>
      </c>
      <c r="I42" s="4" t="s">
        <v>1968</v>
      </c>
      <c r="J42" s="4" t="s">
        <v>1968</v>
      </c>
      <c r="K42" s="4" t="s">
        <v>1968</v>
      </c>
      <c r="L42" s="4" t="s">
        <v>1968</v>
      </c>
      <c r="M42" s="4" t="s">
        <v>609</v>
      </c>
      <c r="N42" s="4" t="s">
        <v>2135</v>
      </c>
      <c r="O42" s="4" t="s">
        <v>37</v>
      </c>
      <c r="P42" s="4" t="s">
        <v>37</v>
      </c>
      <c r="Q42" s="10" t="s">
        <v>38</v>
      </c>
      <c r="R42" s="4" t="str">
        <f t="shared" si="4"/>
        <v>Mz C Lot 08 Aaff Nuevo Belen, P.J. Pueblo Joven Comuna 13, San Juan De Lurigancho, Lima, Lima, Perú</v>
      </c>
      <c r="S42" s="4">
        <v>-11.9563583</v>
      </c>
      <c r="T42" s="4">
        <v>-76.965504100000004</v>
      </c>
      <c r="U42" s="30">
        <f t="shared" si="1"/>
        <v>8.4700000000000006</v>
      </c>
      <c r="V42" s="4" t="str">
        <f t="shared" si="2"/>
        <v>🟡 Cerca (5-10 km)</v>
      </c>
      <c r="W42" s="19" t="str" cm="1">
        <f t="array" ref="W42">_xlfn.LET(_xlpm.lat_emp,S42,_xlpm.lon_emp,T42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42" s="19" t="str">
        <f>_xlfn.LET(_xlpm.paradero,W42,INDEX(PARADEROS_VALIDOS!$A$2:$A$67,MATCH(_xlpm.paradero,PARADEROS_VALIDOS!$C$2:$C$67,0)))</f>
        <v>RUTA 6A</v>
      </c>
      <c r="Y42" s="29" cm="1">
        <f t="array" ref="Y42">_xlfn.LET(_xlpm.lat_emp,S42,_xlpm.lon_emp,T42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4.3</v>
      </c>
      <c r="Z42" s="4" t="str">
        <f t="shared" si="3"/>
        <v>🟠 Moderada (3-5 km)</v>
      </c>
      <c r="AA42" s="4"/>
      <c r="AB42" s="4"/>
      <c r="AC42" s="49">
        <v>-11.997563</v>
      </c>
      <c r="AD42" s="49">
        <v>-76.900062000000005</v>
      </c>
      <c r="AE42" s="19" t="str">
        <f>IFERROR(VLOOKUP(C42,tdcargo[],2,FALSE),"DESCONOCIDO")</f>
        <v>OPERARIO</v>
      </c>
    </row>
    <row r="43" spans="1:31" hidden="1" x14ac:dyDescent="0.35">
      <c r="A43" s="8">
        <v>75656410</v>
      </c>
      <c r="B43" s="4" t="s">
        <v>2136</v>
      </c>
      <c r="C43" s="4" t="s">
        <v>1971</v>
      </c>
      <c r="D43" s="5">
        <v>45600</v>
      </c>
      <c r="E43" s="4" t="s">
        <v>31</v>
      </c>
      <c r="F43" s="4" t="s">
        <v>82</v>
      </c>
      <c r="G43" s="4" t="s">
        <v>2137</v>
      </c>
      <c r="H43" s="4" t="s">
        <v>1956</v>
      </c>
      <c r="I43" s="4" t="s">
        <v>1968</v>
      </c>
      <c r="J43" s="4" t="s">
        <v>1968</v>
      </c>
      <c r="K43" s="4" t="s">
        <v>1968</v>
      </c>
      <c r="L43" s="4" t="s">
        <v>1968</v>
      </c>
      <c r="M43" s="4" t="s">
        <v>36</v>
      </c>
      <c r="N43" s="4" t="s">
        <v>2138</v>
      </c>
      <c r="O43" s="4" t="s">
        <v>37</v>
      </c>
      <c r="P43" s="4" t="s">
        <v>37</v>
      </c>
      <c r="Q43" s="10" t="s">
        <v>38</v>
      </c>
      <c r="R43" s="4" t="str">
        <f t="shared" si="4"/>
        <v>Calle Ampliacion 1Ro De Agosto-Santa Maria Aa.Hh, San Juan De Lurigancho, Lima, Lima, Perú</v>
      </c>
      <c r="S43" s="4">
        <v>-11.986789999999999</v>
      </c>
      <c r="T43" s="4">
        <v>-76.999979999999994</v>
      </c>
      <c r="U43" s="30">
        <f t="shared" si="1"/>
        <v>10.93</v>
      </c>
      <c r="V43" s="4" t="str">
        <f t="shared" si="2"/>
        <v>🟠 Moderada (10-20 km)</v>
      </c>
      <c r="W43" s="19" t="str" cm="1">
        <f t="array" ref="W43">_xlfn.LET(_xlpm.lat_emp,S43,_xlpm.lon_emp,T43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Carlos</v>
      </c>
      <c r="X43" s="19" t="str">
        <f>_xlfn.LET(_xlpm.paradero,W43,INDEX(PARADEROS_VALIDOS!$A$2:$A$67,MATCH(_xlpm.paradero,PARADEROS_VALIDOS!$C$2:$C$67,0)))</f>
        <v>RUTA 6B</v>
      </c>
      <c r="Y43" s="29" cm="1">
        <f t="array" ref="Y43">_xlfn.LET(_xlpm.lat_emp,S43,_xlpm.lon_emp,T43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1.19</v>
      </c>
      <c r="Z43" s="4" t="str">
        <f t="shared" si="3"/>
        <v>🟡 Cerca (1-3 km)</v>
      </c>
      <c r="AA43" s="4"/>
      <c r="AB43" s="4"/>
      <c r="AC43" s="49">
        <v>-11.997563</v>
      </c>
      <c r="AD43" s="49">
        <v>-76.900062000000005</v>
      </c>
      <c r="AE43" s="19" t="str">
        <f>IFERROR(VLOOKUP(C43,tdcargo[],2,FALSE),"DESCONOCIDO")</f>
        <v>OPERARIO</v>
      </c>
    </row>
    <row r="44" spans="1:31" hidden="1" x14ac:dyDescent="0.35">
      <c r="A44" s="8">
        <v>63292162</v>
      </c>
      <c r="B44" s="4" t="s">
        <v>2139</v>
      </c>
      <c r="C44" s="4" t="s">
        <v>1971</v>
      </c>
      <c r="D44" s="5">
        <v>45628</v>
      </c>
      <c r="E44" s="4" t="s">
        <v>31</v>
      </c>
      <c r="F44" s="4" t="s">
        <v>34</v>
      </c>
      <c r="G44" s="4" t="s">
        <v>2140</v>
      </c>
      <c r="H44" s="4" t="s">
        <v>2141</v>
      </c>
      <c r="I44" s="4" t="s">
        <v>1968</v>
      </c>
      <c r="J44" s="4" t="s">
        <v>1968</v>
      </c>
      <c r="K44" s="4" t="s">
        <v>1968</v>
      </c>
      <c r="L44" s="4" t="s">
        <v>1968</v>
      </c>
      <c r="M44" s="4" t="s">
        <v>36</v>
      </c>
      <c r="N44" s="4" t="s">
        <v>2142</v>
      </c>
      <c r="O44" s="4" t="s">
        <v>37</v>
      </c>
      <c r="P44" s="4" t="s">
        <v>37</v>
      </c>
      <c r="Q44" s="10" t="s">
        <v>57</v>
      </c>
      <c r="R44" s="4" t="str">
        <f t="shared" si="4"/>
        <v>Avenida Paradero Aurora 1246 Zona J Ate Huaycan, Ate, Lima, Lima, Perú</v>
      </c>
      <c r="S44" s="4">
        <v>-12.0258644</v>
      </c>
      <c r="T44" s="4">
        <v>-76.822585099999998</v>
      </c>
      <c r="U44" s="30">
        <f t="shared" si="1"/>
        <v>8.99</v>
      </c>
      <c r="V44" s="4" t="str">
        <f t="shared" si="2"/>
        <v>🟡 Cerca (5-10 km)</v>
      </c>
      <c r="W44" s="19" t="str" cm="1">
        <f t="array" ref="W44">_xlfn.LET(_xlpm.lat_emp,S44,_xlpm.lon_emp,T44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44" s="19" t="str">
        <f>_xlfn.LET(_xlpm.paradero,W44,INDEX(PARADEROS_VALIDOS!$A$2:$A$67,MATCH(_xlpm.paradero,PARADEROS_VALIDOS!$C$2:$C$67,0)))</f>
        <v>RUTA 3</v>
      </c>
      <c r="Y44" s="29" cm="1">
        <f t="array" ref="Y44">_xlfn.LET(_xlpm.lat_emp,S44,_xlpm.lon_emp,T44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</v>
      </c>
      <c r="Z44" s="4" t="str">
        <f t="shared" si="3"/>
        <v>🟢 Muy Cerca (0-1 km)</v>
      </c>
      <c r="AA44" s="4"/>
      <c r="AB44" s="4"/>
      <c r="AC44" s="49">
        <v>-11.997563</v>
      </c>
      <c r="AD44" s="49">
        <v>-76.900062000000005</v>
      </c>
      <c r="AE44" s="19" t="str">
        <f>IFERROR(VLOOKUP(C44,tdcargo[],2,FALSE),"DESCONOCIDO")</f>
        <v>OPERARIO</v>
      </c>
    </row>
    <row r="45" spans="1:31" hidden="1" x14ac:dyDescent="0.35">
      <c r="A45" s="8">
        <v>75535266</v>
      </c>
      <c r="B45" s="4" t="s">
        <v>2143</v>
      </c>
      <c r="C45" s="4" t="s">
        <v>1971</v>
      </c>
      <c r="D45" s="5">
        <v>45881</v>
      </c>
      <c r="E45" s="4" t="s">
        <v>31</v>
      </c>
      <c r="F45" s="4" t="s">
        <v>82</v>
      </c>
      <c r="G45" s="4" t="s">
        <v>2144</v>
      </c>
      <c r="H45" s="4" t="s">
        <v>2114</v>
      </c>
      <c r="I45" s="4" t="s">
        <v>1968</v>
      </c>
      <c r="J45" s="4" t="s">
        <v>1995</v>
      </c>
      <c r="K45" s="4" t="s">
        <v>1981</v>
      </c>
      <c r="L45" s="4" t="s">
        <v>1278</v>
      </c>
      <c r="M45" s="4" t="s">
        <v>36</v>
      </c>
      <c r="N45" s="4" t="s">
        <v>255</v>
      </c>
      <c r="O45" s="4" t="s">
        <v>37</v>
      </c>
      <c r="P45" s="4" t="s">
        <v>37</v>
      </c>
      <c r="Q45" s="10" t="s">
        <v>76</v>
      </c>
      <c r="R45" s="4" t="str">
        <f t="shared" si="4"/>
        <v>Calle Eliam Dulce Amanecer Nieveria 10, Int. 1, Lote 6, Mz. A Asociacion, Lurigancho, Lima, Lima, Perú</v>
      </c>
      <c r="S45" s="4">
        <v>-11.983333</v>
      </c>
      <c r="T45" s="4">
        <v>-76.916667000000004</v>
      </c>
      <c r="U45" s="30">
        <f t="shared" si="1"/>
        <v>2.4</v>
      </c>
      <c r="V45" s="4" t="str">
        <f t="shared" si="2"/>
        <v>🟢 Muy Cerca (0-5 km)</v>
      </c>
      <c r="W45" s="19" t="str" cm="1">
        <f t="array" ref="W45">_xlfn.LET(_xlpm.lat_emp,S45,_xlpm.lon_emp,T45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45" s="19" t="str">
        <f>_xlfn.LET(_xlpm.paradero,W45,INDEX(PARADEROS_VALIDOS!$A$2:$A$67,MATCH(_xlpm.paradero,PARADEROS_VALIDOS!$C$2:$C$67,0)))</f>
        <v>RUTA 2</v>
      </c>
      <c r="Y45" s="29" cm="1">
        <f t="array" ref="Y45">_xlfn.LET(_xlpm.lat_emp,S45,_xlpm.lon_emp,T45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1.86</v>
      </c>
      <c r="Z45" s="4" t="str">
        <f t="shared" si="3"/>
        <v>🟡 Cerca (1-3 km)</v>
      </c>
      <c r="AA45" s="4"/>
      <c r="AB45" s="4"/>
      <c r="AC45" s="49">
        <v>-11.997563</v>
      </c>
      <c r="AD45" s="49">
        <v>-76.900062000000005</v>
      </c>
      <c r="AE45" s="19" t="str">
        <f>IFERROR(VLOOKUP(C45,tdcargo[],2,FALSE),"DESCONOCIDO")</f>
        <v>OPERARIO</v>
      </c>
    </row>
    <row r="46" spans="1:31" hidden="1" x14ac:dyDescent="0.35">
      <c r="A46" s="8">
        <v>71554125</v>
      </c>
      <c r="B46" s="4" t="s">
        <v>2146</v>
      </c>
      <c r="C46" s="4" t="s">
        <v>1971</v>
      </c>
      <c r="D46" s="5">
        <v>45642</v>
      </c>
      <c r="E46" s="4" t="s">
        <v>31</v>
      </c>
      <c r="F46" s="4" t="s">
        <v>34</v>
      </c>
      <c r="G46" s="4" t="s">
        <v>2117</v>
      </c>
      <c r="H46" s="4" t="s">
        <v>2053</v>
      </c>
      <c r="I46" s="4" t="s">
        <v>1968</v>
      </c>
      <c r="J46" s="4" t="s">
        <v>1968</v>
      </c>
      <c r="K46" s="4" t="s">
        <v>1968</v>
      </c>
      <c r="L46" s="4" t="s">
        <v>1968</v>
      </c>
      <c r="M46" s="4" t="s">
        <v>36</v>
      </c>
      <c r="N46" s="4" t="s">
        <v>834</v>
      </c>
      <c r="O46" s="4" t="s">
        <v>37</v>
      </c>
      <c r="P46" s="4" t="s">
        <v>37</v>
      </c>
      <c r="Q46" s="10" t="s">
        <v>76</v>
      </c>
      <c r="R46" s="4" t="str">
        <f t="shared" si="4"/>
        <v>Avenida Magnolias 21 Santa Cruz, Lurigancho, Lima, Lima, Perú</v>
      </c>
      <c r="S46" s="4">
        <v>-12.033581399999999</v>
      </c>
      <c r="T46" s="4">
        <v>-77.000508300000007</v>
      </c>
      <c r="U46" s="30">
        <f t="shared" si="1"/>
        <v>11.64</v>
      </c>
      <c r="V46" s="4" t="str">
        <f t="shared" si="2"/>
        <v>🟠 Moderada (10-20 km)</v>
      </c>
      <c r="W46" s="19" t="str" cm="1">
        <f t="array" ref="W46">_xlfn.LET(_xlpm.lat_emp,S46,_xlpm.lon_emp,T46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Puente Nuevo (Av. Chinchaysuyo &amp; Av. Malecón Checa)</v>
      </c>
      <c r="X46" s="19" t="str">
        <f>_xlfn.LET(_xlpm.paradero,W46,INDEX(PARADEROS_VALIDOS!$A$2:$A$67,MATCH(_xlpm.paradero,PARADEROS_VALIDOS!$C$2:$C$67,0)))</f>
        <v>RUTA 6C</v>
      </c>
      <c r="Y46" s="29" cm="1">
        <f t="array" ref="Y46">_xlfn.LET(_xlpm.lat_emp,S46,_xlpm.lon_emp,T46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0.92</v>
      </c>
      <c r="Z46" s="4" t="str">
        <f t="shared" si="3"/>
        <v>🟢 Muy Cerca (0-1 km)</v>
      </c>
      <c r="AA46" s="4"/>
      <c r="AB46" s="4"/>
      <c r="AC46" s="49">
        <v>-11.997563</v>
      </c>
      <c r="AD46" s="49">
        <v>-76.900062000000005</v>
      </c>
      <c r="AE46" s="19" t="str">
        <f>IFERROR(VLOOKUP(C46,tdcargo[],2,FALSE),"DESCONOCIDO")</f>
        <v>OPERARIO</v>
      </c>
    </row>
    <row r="47" spans="1:31" hidden="1" x14ac:dyDescent="0.35">
      <c r="A47" s="8">
        <v>60483113</v>
      </c>
      <c r="B47" s="4" t="s">
        <v>2147</v>
      </c>
      <c r="C47" s="4" t="s">
        <v>1971</v>
      </c>
      <c r="D47" s="5">
        <v>45726</v>
      </c>
      <c r="E47" s="4" t="s">
        <v>31</v>
      </c>
      <c r="F47" s="4" t="s">
        <v>148</v>
      </c>
      <c r="G47" s="4" t="s">
        <v>2148</v>
      </c>
      <c r="H47" s="4" t="s">
        <v>1956</v>
      </c>
      <c r="I47" s="4" t="s">
        <v>1995</v>
      </c>
      <c r="J47" s="4" t="s">
        <v>1968</v>
      </c>
      <c r="K47" s="4" t="s">
        <v>1968</v>
      </c>
      <c r="L47" s="4" t="s">
        <v>1968</v>
      </c>
      <c r="M47" s="4" t="s">
        <v>36</v>
      </c>
      <c r="N47" s="4" t="s">
        <v>2149</v>
      </c>
      <c r="O47" s="4" t="s">
        <v>37</v>
      </c>
      <c r="P47" s="4" t="s">
        <v>37</v>
      </c>
      <c r="Q47" s="10" t="s">
        <v>76</v>
      </c>
      <c r="R47" s="4" t="str">
        <f t="shared" si="4"/>
        <v>Pasaje Agr.Fam La Rinconada San Antonio De Niveria Jicama, Apt. 1 Pasaje Las Flojeres, Lurigancho, Lima, Lima, Perú</v>
      </c>
      <c r="S47" s="4">
        <v>-12.009696699999999</v>
      </c>
      <c r="T47" s="4">
        <v>-76.905361299999996</v>
      </c>
      <c r="U47" s="30">
        <f t="shared" si="1"/>
        <v>1.47</v>
      </c>
      <c r="V47" s="4" t="str">
        <f t="shared" si="2"/>
        <v>🟢 Muy Cerca (0-5 km)</v>
      </c>
      <c r="W47" s="19" t="str" cm="1">
        <f t="array" ref="W47">_xlfn.LET(_xlpm.lat_emp,S47,_xlpm.lon_emp,T47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Tottus Huachipa</v>
      </c>
      <c r="X47" s="19" t="str">
        <f>_xlfn.LET(_xlpm.paradero,W47,INDEX(PARADEROS_VALIDOS!$A$2:$A$67,MATCH(_xlpm.paradero,PARADEROS_VALIDOS!$C$2:$C$67,0)))</f>
        <v>RUTA 1</v>
      </c>
      <c r="Y47" s="29" cm="1">
        <f t="array" ref="Y47">_xlfn.LET(_xlpm.lat_emp,S47,_xlpm.lon_emp,T47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1.18</v>
      </c>
      <c r="Z47" s="4" t="str">
        <f t="shared" si="3"/>
        <v>🟡 Cerca (1-3 km)</v>
      </c>
      <c r="AA47" s="4"/>
      <c r="AB47" s="4"/>
      <c r="AC47" s="49">
        <v>-11.997563</v>
      </c>
      <c r="AD47" s="49">
        <v>-76.900062000000005</v>
      </c>
      <c r="AE47" s="19" t="str">
        <f>IFERROR(VLOOKUP(C47,tdcargo[],2,FALSE),"DESCONOCIDO")</f>
        <v>OPERARIO</v>
      </c>
    </row>
    <row r="48" spans="1:31" hidden="1" x14ac:dyDescent="0.35">
      <c r="A48" s="8">
        <v>43017162</v>
      </c>
      <c r="B48" s="4" t="s">
        <v>2153</v>
      </c>
      <c r="C48" s="4" t="s">
        <v>1971</v>
      </c>
      <c r="D48" s="5">
        <v>46062</v>
      </c>
      <c r="E48" s="4" t="s">
        <v>31</v>
      </c>
      <c r="F48" s="4" t="s">
        <v>36</v>
      </c>
      <c r="G48" s="4" t="s">
        <v>412</v>
      </c>
      <c r="H48" s="4" t="s">
        <v>2154</v>
      </c>
      <c r="I48" s="4" t="s">
        <v>1968</v>
      </c>
      <c r="J48" s="4" t="s">
        <v>1968</v>
      </c>
      <c r="K48" s="4" t="s">
        <v>2086</v>
      </c>
      <c r="L48" s="4" t="s">
        <v>2155</v>
      </c>
      <c r="M48" s="4" t="s">
        <v>36</v>
      </c>
      <c r="N48" s="4" t="s">
        <v>141</v>
      </c>
      <c r="O48" s="4" t="s">
        <v>37</v>
      </c>
      <c r="P48" s="4" t="s">
        <v>37</v>
      </c>
      <c r="Q48" s="10" t="s">
        <v>38</v>
      </c>
      <c r="R48" s="4" t="str">
        <f t="shared" si="4"/>
        <v>Circunvalacion 4567, Lote 9, Mz. D14 MARISCAL CACERES, San Juan De Lurigancho, Lima, Lima, Perú</v>
      </c>
      <c r="S48" s="4">
        <v>-11.947525199999999</v>
      </c>
      <c r="T48" s="4">
        <v>-76.980099100000004</v>
      </c>
      <c r="U48" s="30">
        <f t="shared" si="1"/>
        <v>10.33</v>
      </c>
      <c r="V48" s="4" t="str">
        <f t="shared" si="2"/>
        <v>🟠 Moderada (10-20 km)</v>
      </c>
      <c r="W48" s="19" t="str" cm="1">
        <f t="array" ref="W48">_xlfn.LET(_xlpm.lat_emp,S48,_xlpm.lon_emp,T48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48" s="19" t="str">
        <f>_xlfn.LET(_xlpm.paradero,W48,INDEX(PARADEROS_VALIDOS!$A$2:$A$67,MATCH(_xlpm.paradero,PARADEROS_VALIDOS!$C$2:$C$67,0)))</f>
        <v>RUTA 6A</v>
      </c>
      <c r="Y48" s="29" cm="1">
        <f t="array" ref="Y48">_xlfn.LET(_xlpm.lat_emp,S48,_xlpm.lon_emp,T48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3.75</v>
      </c>
      <c r="Z48" s="4" t="str">
        <f t="shared" si="3"/>
        <v>🟠 Moderada (3-5 km)</v>
      </c>
      <c r="AA48" s="4"/>
      <c r="AB48" s="4"/>
      <c r="AC48" s="49">
        <v>-11.997563</v>
      </c>
      <c r="AD48" s="49">
        <v>-76.900062000000005</v>
      </c>
      <c r="AE48" s="19" t="str">
        <f>IFERROR(VLOOKUP(C48,tdcargo[],2,FALSE),"DESCONOCIDO")</f>
        <v>OPERARIO</v>
      </c>
    </row>
    <row r="49" spans="1:31" hidden="1" x14ac:dyDescent="0.35">
      <c r="A49" s="8">
        <v>73816346</v>
      </c>
      <c r="B49" s="4" t="s">
        <v>2156</v>
      </c>
      <c r="C49" s="4" t="s">
        <v>1971</v>
      </c>
      <c r="D49" s="5">
        <v>46062</v>
      </c>
      <c r="E49" s="4" t="s">
        <v>31</v>
      </c>
      <c r="F49" s="4" t="s">
        <v>82</v>
      </c>
      <c r="G49" s="4" t="s">
        <v>2157</v>
      </c>
      <c r="H49" s="4" t="s">
        <v>2052</v>
      </c>
      <c r="I49" s="4" t="s">
        <v>1968</v>
      </c>
      <c r="J49" s="4" t="s">
        <v>1968</v>
      </c>
      <c r="K49" s="4" t="s">
        <v>2052</v>
      </c>
      <c r="L49" s="4" t="s">
        <v>2019</v>
      </c>
      <c r="M49" s="4" t="s">
        <v>36</v>
      </c>
      <c r="N49" s="4" t="s">
        <v>2158</v>
      </c>
      <c r="O49" s="4" t="s">
        <v>37</v>
      </c>
      <c r="P49" s="4" t="s">
        <v>37</v>
      </c>
      <c r="Q49" s="10" t="s">
        <v>76</v>
      </c>
      <c r="R49" s="4" t="str">
        <f t="shared" si="4"/>
        <v>Calle Nuevo Amanecer 12, Lote 12, Mz. E FAME, Lurigancho, Lima, Lima, Perú</v>
      </c>
      <c r="S49" s="4">
        <v>-11.986193099999999</v>
      </c>
      <c r="T49" s="4">
        <v>-77.011658400000002</v>
      </c>
      <c r="U49" s="30">
        <f t="shared" si="1"/>
        <v>12.2</v>
      </c>
      <c r="V49" s="4" t="str">
        <f t="shared" si="2"/>
        <v>🟠 Moderada (10-20 km)</v>
      </c>
      <c r="W49" s="19" t="str" cm="1">
        <f t="array" ref="W49">_xlfn.LET(_xlpm.lat_emp,S49,_xlpm.lon_emp,T49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Carlos</v>
      </c>
      <c r="X49" s="19" t="str">
        <f>_xlfn.LET(_xlpm.paradero,W49,INDEX(PARADEROS_VALIDOS!$A$2:$A$67,MATCH(_xlpm.paradero,PARADEROS_VALIDOS!$C$2:$C$67,0)))</f>
        <v>RUTA 6B</v>
      </c>
      <c r="Y49" s="29" cm="1">
        <f t="array" ref="Y49">_xlfn.LET(_xlpm.lat_emp,S49,_xlpm.lon_emp,T49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0.33</v>
      </c>
      <c r="Z49" s="4" t="str">
        <f t="shared" si="3"/>
        <v>🟢 Muy Cerca (0-1 km)</v>
      </c>
      <c r="AA49" s="4"/>
      <c r="AB49" s="4"/>
      <c r="AC49" s="49">
        <v>-11.997563</v>
      </c>
      <c r="AD49" s="49">
        <v>-76.900062000000005</v>
      </c>
      <c r="AE49" s="19" t="str">
        <f>IFERROR(VLOOKUP(C49,tdcargo[],2,FALSE),"DESCONOCIDO")</f>
        <v>OPERARIO</v>
      </c>
    </row>
    <row r="50" spans="1:31" x14ac:dyDescent="0.35">
      <c r="A50" s="8">
        <v>71866647</v>
      </c>
      <c r="B50" s="4" t="s">
        <v>2159</v>
      </c>
      <c r="C50" s="4" t="s">
        <v>1971</v>
      </c>
      <c r="D50" s="5">
        <v>44938</v>
      </c>
      <c r="E50" s="4" t="s">
        <v>31</v>
      </c>
      <c r="F50" s="4" t="s">
        <v>34</v>
      </c>
      <c r="G50" s="4" t="s">
        <v>46</v>
      </c>
      <c r="H50" s="4" t="s">
        <v>1956</v>
      </c>
      <c r="I50" s="4" t="s">
        <v>1968</v>
      </c>
      <c r="J50" s="4" t="s">
        <v>1968</v>
      </c>
      <c r="K50" s="4" t="s">
        <v>1968</v>
      </c>
      <c r="L50" s="4" t="s">
        <v>1968</v>
      </c>
      <c r="M50" s="4" t="s">
        <v>186</v>
      </c>
      <c r="N50" s="4" t="s">
        <v>2125</v>
      </c>
      <c r="O50" s="4" t="s">
        <v>37</v>
      </c>
      <c r="P50" s="4" t="s">
        <v>37</v>
      </c>
      <c r="Q50" s="10" t="s">
        <v>57</v>
      </c>
      <c r="R50" s="4" t="str">
        <f t="shared" si="4"/>
        <v>Avenida Nd, Urb. Urbanización Cerro, Ate, Lima, Lima, Perú</v>
      </c>
      <c r="S50" s="4">
        <v>-12.189350599999999</v>
      </c>
      <c r="T50" s="4">
        <v>-76.936456800000002</v>
      </c>
      <c r="U50" s="30">
        <f t="shared" si="1"/>
        <v>21.69</v>
      </c>
      <c r="V50" s="4" t="str">
        <f t="shared" si="2"/>
        <v>🔴 Lejos (&gt;20 km)</v>
      </c>
      <c r="W50" s="19" t="str" cm="1">
        <f t="array" ref="W50">_xlfn.LET(_xlpm.lat_emp,S50,_xlpm.lon_emp,T50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Villa El Salvador (Cruce Av. 1ro de Mayo con ruta C)</v>
      </c>
      <c r="X50" s="19" t="str">
        <f>_xlfn.LET(_xlpm.paradero,W50,INDEX(PARADEROS_VALIDOS!$A$2:$A$67,MATCH(_xlpm.paradero,PARADEROS_VALIDOS!$C$2:$C$67,0)))</f>
        <v>RUTA 7</v>
      </c>
      <c r="Y50" s="29" cm="1">
        <f t="array" ref="Y50">_xlfn.LET(_xlpm.lat_emp,S50,_xlpm.lon_emp,T50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2.48</v>
      </c>
      <c r="Z50" s="4" t="str">
        <f t="shared" si="3"/>
        <v>🟡 Cerca (1-3 km)</v>
      </c>
      <c r="AA50" s="4"/>
      <c r="AB50" s="4"/>
      <c r="AC50" s="49">
        <v>-11.997563</v>
      </c>
      <c r="AD50" s="49">
        <v>-76.900062000000005</v>
      </c>
      <c r="AE50" s="19" t="str">
        <f>IFERROR(VLOOKUP(C50,tdcargo[],2,FALSE),"DESCONOCIDO")</f>
        <v>OPERARIO</v>
      </c>
    </row>
    <row r="51" spans="1:31" hidden="1" x14ac:dyDescent="0.35">
      <c r="A51" s="8">
        <v>70189626</v>
      </c>
      <c r="B51" s="4" t="s">
        <v>2160</v>
      </c>
      <c r="C51" s="4" t="s">
        <v>1971</v>
      </c>
      <c r="D51" s="5">
        <v>46034</v>
      </c>
      <c r="E51" s="4" t="s">
        <v>31</v>
      </c>
      <c r="F51" s="4" t="s">
        <v>82</v>
      </c>
      <c r="G51" s="4" t="s">
        <v>249</v>
      </c>
      <c r="H51" s="4" t="s">
        <v>1973</v>
      </c>
      <c r="I51" s="4" t="s">
        <v>2161</v>
      </c>
      <c r="J51" s="4" t="s">
        <v>1968</v>
      </c>
      <c r="K51" s="4" t="s">
        <v>1968</v>
      </c>
      <c r="L51" s="4" t="s">
        <v>2019</v>
      </c>
      <c r="M51" s="4" t="s">
        <v>36</v>
      </c>
      <c r="N51" s="4" t="s">
        <v>3241</v>
      </c>
      <c r="O51" s="4" t="s">
        <v>37</v>
      </c>
      <c r="P51" s="4" t="s">
        <v>37</v>
      </c>
      <c r="Q51" s="10" t="s">
        <v>57</v>
      </c>
      <c r="R51" s="4" t="str">
        <f t="shared" si="4"/>
        <v>Calle Los Eucaliptos 15, Apt. 14, Mz. E SIN ZONA, Ate, Lima, Lima, Perú</v>
      </c>
      <c r="S51" s="4">
        <v>-12.0380339</v>
      </c>
      <c r="T51" s="4">
        <v>-76.915254300000001</v>
      </c>
      <c r="U51" s="30">
        <f t="shared" si="1"/>
        <v>4.79</v>
      </c>
      <c r="V51" s="4" t="str">
        <f t="shared" si="2"/>
        <v>🟢 Muy Cerca (0-5 km)</v>
      </c>
      <c r="W51" s="19" t="str" cm="1">
        <f t="array" ref="W51">_xlfn.LET(_xlpm.lat_emp,S51,_xlpm.lon_emp,T51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Panadería Marcela (cruce de la carretera central, con Av. Jose Carlos Mariátegui)</v>
      </c>
      <c r="X51" s="19" t="str">
        <f>_xlfn.LET(_xlpm.paradero,W51,INDEX(PARADEROS_VALIDOS!$A$2:$A$67,MATCH(_xlpm.paradero,PARADEROS_VALIDOS!$C$2:$C$67,0)))</f>
        <v>RUTA 4B</v>
      </c>
      <c r="Y51" s="29" cm="1">
        <f t="array" ref="Y51">_xlfn.LET(_xlpm.lat_emp,S51,_xlpm.lon_emp,T51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1.4</v>
      </c>
      <c r="Z51" s="4" t="str">
        <f t="shared" si="3"/>
        <v>🟡 Cerca (1-3 km)</v>
      </c>
      <c r="AA51" s="4"/>
      <c r="AB51" s="4"/>
      <c r="AC51" s="49">
        <v>-11.997563</v>
      </c>
      <c r="AD51" s="49">
        <v>-76.900062000000005</v>
      </c>
      <c r="AE51" s="19" t="str">
        <f>IFERROR(VLOOKUP(C51,tdcargo[],2,FALSE),"DESCONOCIDO")</f>
        <v>OPERARIO</v>
      </c>
    </row>
    <row r="52" spans="1:31" hidden="1" x14ac:dyDescent="0.35">
      <c r="A52" s="8">
        <v>71008799</v>
      </c>
      <c r="B52" s="4" t="s">
        <v>2162</v>
      </c>
      <c r="C52" s="4" t="s">
        <v>2001</v>
      </c>
      <c r="D52" s="5">
        <v>46083</v>
      </c>
      <c r="E52" s="4" t="s">
        <v>31</v>
      </c>
      <c r="F52" s="4" t="s">
        <v>82</v>
      </c>
      <c r="G52" s="4" t="s">
        <v>2163</v>
      </c>
      <c r="H52" s="4" t="s">
        <v>2164</v>
      </c>
      <c r="I52" s="4" t="s">
        <v>1968</v>
      </c>
      <c r="J52" s="4" t="s">
        <v>1968</v>
      </c>
      <c r="K52" s="4" t="s">
        <v>1968</v>
      </c>
      <c r="L52" s="4" t="s">
        <v>1968</v>
      </c>
      <c r="M52" s="4" t="s">
        <v>36</v>
      </c>
      <c r="N52" s="4" t="s">
        <v>2165</v>
      </c>
      <c r="O52" s="4" t="s">
        <v>37</v>
      </c>
      <c r="P52" s="4" t="s">
        <v>37</v>
      </c>
      <c r="Q52" s="10" t="s">
        <v>37</v>
      </c>
      <c r="R52" s="4" t="str">
        <f t="shared" si="4"/>
        <v>Calle Alto Perú 39 Ñaña, Lima, Lima, Lima, Perú</v>
      </c>
      <c r="S52" s="4">
        <v>-12.0213205</v>
      </c>
      <c r="T52" s="4">
        <v>-76.815704600000004</v>
      </c>
      <c r="U52" s="30">
        <f t="shared" si="1"/>
        <v>9.5500000000000007</v>
      </c>
      <c r="V52" s="4" t="str">
        <f t="shared" si="2"/>
        <v>🟡 Cerca (5-10 km)</v>
      </c>
      <c r="W52" s="19" t="str" cm="1">
        <f t="array" ref="W52">_xlfn.LET(_xlpm.lat_emp,S52,_xlpm.lon_emp,T52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52" s="19" t="str">
        <f>_xlfn.LET(_xlpm.paradero,W52,INDEX(PARADEROS_VALIDOS!$A$2:$A$67,MATCH(_xlpm.paradero,PARADEROS_VALIDOS!$C$2:$C$67,0)))</f>
        <v>RUTA 3</v>
      </c>
      <c r="Y52" s="29" cm="1">
        <f t="array" ref="Y52">_xlfn.LET(_xlpm.lat_emp,S52,_xlpm.lon_emp,T52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0.9</v>
      </c>
      <c r="Z52" s="4" t="str">
        <f t="shared" si="3"/>
        <v>🟢 Muy Cerca (0-1 km)</v>
      </c>
      <c r="AA52" s="4"/>
      <c r="AB52" s="4"/>
      <c r="AC52" s="49">
        <v>-11.997563</v>
      </c>
      <c r="AD52" s="49">
        <v>-76.900062000000005</v>
      </c>
      <c r="AE52" s="19" t="str">
        <f>IFERROR(VLOOKUP(C52,tdcargo[],2,FALSE),"DESCONOCIDO")</f>
        <v>OPERARIO</v>
      </c>
    </row>
    <row r="53" spans="1:31" hidden="1" x14ac:dyDescent="0.35">
      <c r="A53" s="8">
        <v>75011996</v>
      </c>
      <c r="B53" s="4" t="s">
        <v>2166</v>
      </c>
      <c r="C53" s="4" t="s">
        <v>1971</v>
      </c>
      <c r="D53" s="5">
        <v>45964</v>
      </c>
      <c r="E53" s="4" t="s">
        <v>31</v>
      </c>
      <c r="F53" s="4" t="s">
        <v>148</v>
      </c>
      <c r="G53" s="4" t="s">
        <v>2167</v>
      </c>
      <c r="H53" s="4" t="s">
        <v>1956</v>
      </c>
      <c r="I53" s="4" t="s">
        <v>1968</v>
      </c>
      <c r="J53" s="4" t="s">
        <v>1968</v>
      </c>
      <c r="K53" s="4" t="s">
        <v>2168</v>
      </c>
      <c r="L53" s="4" t="s">
        <v>0</v>
      </c>
      <c r="M53" s="4" t="s">
        <v>36</v>
      </c>
      <c r="N53" s="4" t="s">
        <v>1725</v>
      </c>
      <c r="O53" s="4" t="s">
        <v>37</v>
      </c>
      <c r="P53" s="4" t="s">
        <v>37</v>
      </c>
      <c r="Q53" s="10" t="s">
        <v>76</v>
      </c>
      <c r="R53" s="4" t="str">
        <f t="shared" si="4"/>
        <v>Pasaje Buenos Aires Comite 1, Lote 13, Mz. CD Chosica, Lurigancho, Lima, Lima, Perú</v>
      </c>
      <c r="S53" s="4">
        <v>-11.929785600000001</v>
      </c>
      <c r="T53" s="4">
        <v>-76.692077800000007</v>
      </c>
      <c r="U53" s="30">
        <f t="shared" si="1"/>
        <v>23.85</v>
      </c>
      <c r="V53" s="4" t="str">
        <f t="shared" si="2"/>
        <v>🔴 Lejos (&gt;20 km)</v>
      </c>
      <c r="W53" s="19" t="str" cm="1">
        <f t="array" ref="W53">_xlfn.LET(_xlpm.lat_emp,S53,_xlpm.lon_emp,T53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53" s="19" t="str">
        <f>_xlfn.LET(_xlpm.paradero,W53,INDEX(PARADEROS_VALIDOS!$A$2:$A$67,MATCH(_xlpm.paradero,PARADEROS_VALIDOS!$C$2:$C$67,0)))</f>
        <v>RUTA 5A</v>
      </c>
      <c r="Y53" s="29" cm="1">
        <f t="array" ref="Y53">_xlfn.LET(_xlpm.lat_emp,S53,_xlpm.lon_emp,T53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10.17</v>
      </c>
      <c r="Z53" s="4" t="str">
        <f t="shared" si="3"/>
        <v>🔴 Lejos (&gt;5 km)</v>
      </c>
      <c r="AA53" s="4"/>
      <c r="AB53" s="4"/>
      <c r="AC53" s="49">
        <v>-11.997563</v>
      </c>
      <c r="AD53" s="49">
        <v>-76.900062000000005</v>
      </c>
      <c r="AE53" s="19" t="str">
        <f>IFERROR(VLOOKUP(C53,tdcargo[],2,FALSE),"DESCONOCIDO")</f>
        <v>OPERARIO</v>
      </c>
    </row>
    <row r="54" spans="1:31" hidden="1" x14ac:dyDescent="0.35">
      <c r="A54" s="8">
        <v>77073059</v>
      </c>
      <c r="B54" s="4" t="s">
        <v>2169</v>
      </c>
      <c r="C54" s="4" t="s">
        <v>1971</v>
      </c>
      <c r="D54" s="5">
        <v>46083</v>
      </c>
      <c r="E54" s="4" t="s">
        <v>31</v>
      </c>
      <c r="F54" s="4" t="s">
        <v>34</v>
      </c>
      <c r="G54" s="4" t="s">
        <v>2170</v>
      </c>
      <c r="H54" s="4" t="s">
        <v>2171</v>
      </c>
      <c r="I54" s="4" t="s">
        <v>1968</v>
      </c>
      <c r="J54" s="4" t="s">
        <v>2171</v>
      </c>
      <c r="K54" s="4" t="s">
        <v>2171</v>
      </c>
      <c r="L54" s="4" t="s">
        <v>2172</v>
      </c>
      <c r="M54" s="4" t="s">
        <v>36</v>
      </c>
      <c r="N54" s="4" t="s">
        <v>2173</v>
      </c>
      <c r="O54" s="4" t="s">
        <v>37</v>
      </c>
      <c r="P54" s="4" t="s">
        <v>37</v>
      </c>
      <c r="Q54" s="10" t="s">
        <v>76</v>
      </c>
      <c r="R54" s="4" t="str">
        <f t="shared" si="4"/>
        <v>Avenida Sol De Jicamarca 3, Int. 3, Lote 3, Mz. R SAN ANTONIO ANEXO 8, Lurigancho, Lima, Lima, Perú</v>
      </c>
      <c r="S54" s="4">
        <v>-11.918732800000001</v>
      </c>
      <c r="T54" s="4">
        <v>-76.962915300000006</v>
      </c>
      <c r="U54" s="30">
        <f t="shared" si="1"/>
        <v>11.12</v>
      </c>
      <c r="V54" s="4" t="str">
        <f t="shared" si="2"/>
        <v>🟠 Moderada (10-20 km)</v>
      </c>
      <c r="W54" s="19" t="str" cm="1">
        <f t="array" ref="W54">_xlfn.LET(_xlpm.lat_emp,S54,_xlpm.lon_emp,T54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Acho</v>
      </c>
      <c r="X54" s="19" t="str">
        <f>_xlfn.LET(_xlpm.paradero,W54,INDEX(PARADEROS_VALIDOS!$A$2:$A$67,MATCH(_xlpm.paradero,PARADEROS_VALIDOS!$C$2:$C$67,0)))</f>
        <v>RUTA 8</v>
      </c>
      <c r="Y54" s="29" cm="1">
        <f t="array" ref="Y54">_xlfn.LET(_xlpm.lat_emp,S54,_xlpm.lon_emp,T54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7.45</v>
      </c>
      <c r="Z54" s="4" t="str">
        <f t="shared" si="3"/>
        <v>🔴 Lejos (&gt;5 km)</v>
      </c>
      <c r="AA54" s="4"/>
      <c r="AB54" s="4"/>
      <c r="AC54" s="49">
        <v>-11.997563</v>
      </c>
      <c r="AD54" s="49">
        <v>-76.900062000000005</v>
      </c>
      <c r="AE54" s="19" t="str">
        <f>IFERROR(VLOOKUP(C54,tdcargo[],2,FALSE),"DESCONOCIDO")</f>
        <v>OPERARIO</v>
      </c>
    </row>
    <row r="55" spans="1:31" hidden="1" x14ac:dyDescent="0.35">
      <c r="A55" s="8">
        <v>74881214</v>
      </c>
      <c r="B55" s="4" t="s">
        <v>2174</v>
      </c>
      <c r="C55" s="4" t="s">
        <v>1971</v>
      </c>
      <c r="D55" s="5">
        <v>46083</v>
      </c>
      <c r="E55" s="4" t="s">
        <v>31</v>
      </c>
      <c r="F55" s="4" t="s">
        <v>34</v>
      </c>
      <c r="G55" s="4" t="s">
        <v>2175</v>
      </c>
      <c r="H55" s="4" t="s">
        <v>2168</v>
      </c>
      <c r="I55" s="4" t="s">
        <v>1968</v>
      </c>
      <c r="J55" s="4" t="s">
        <v>1995</v>
      </c>
      <c r="K55" s="4" t="s">
        <v>2168</v>
      </c>
      <c r="L55" s="4" t="s">
        <v>799</v>
      </c>
      <c r="M55" s="4" t="s">
        <v>36</v>
      </c>
      <c r="N55" s="4" t="s">
        <v>2176</v>
      </c>
      <c r="O55" s="4" t="s">
        <v>37</v>
      </c>
      <c r="P55" s="4" t="s">
        <v>37</v>
      </c>
      <c r="Q55" s="10" t="s">
        <v>38</v>
      </c>
      <c r="R55" s="4" t="str">
        <f t="shared" si="4"/>
        <v>Avenida Tacna 13, Int. 1, Lote 13, Mz. K CANTO CHICO, San Juan De Lurigancho, Lima, Lima, Perú</v>
      </c>
      <c r="S55" s="4">
        <v>-12.0027539</v>
      </c>
      <c r="T55" s="4">
        <v>-77.0177604</v>
      </c>
      <c r="U55" s="30">
        <f t="shared" si="1"/>
        <v>12.81</v>
      </c>
      <c r="V55" s="4" t="str">
        <f t="shared" si="2"/>
        <v>🟠 Moderada (10-20 km)</v>
      </c>
      <c r="W55" s="19" t="str" cm="1">
        <f t="array" ref="W55">_xlfn.LET(_xlpm.lat_emp,S55,_xlpm.lon_emp,T55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Metro Hacienda</v>
      </c>
      <c r="X55" s="19" t="str">
        <f>_xlfn.LET(_xlpm.paradero,W55,INDEX(PARADEROS_VALIDOS!$A$2:$A$67,MATCH(_xlpm.paradero,PARADEROS_VALIDOS!$C$2:$C$67,0)))</f>
        <v>RUTA 6B</v>
      </c>
      <c r="Y55" s="29" cm="1">
        <f t="array" ref="Y55">_xlfn.LET(_xlpm.lat_emp,S55,_xlpm.lon_emp,T55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1.28</v>
      </c>
      <c r="Z55" s="4" t="str">
        <f t="shared" si="3"/>
        <v>🟡 Cerca (1-3 km)</v>
      </c>
      <c r="AA55" s="4"/>
      <c r="AB55" s="4"/>
      <c r="AC55" s="49">
        <v>-11.997563</v>
      </c>
      <c r="AD55" s="49">
        <v>-76.900062000000005</v>
      </c>
      <c r="AE55" s="19" t="str">
        <f>IFERROR(VLOOKUP(C55,tdcargo[],2,FALSE),"DESCONOCIDO")</f>
        <v>OPERARIO</v>
      </c>
    </row>
    <row r="56" spans="1:31" x14ac:dyDescent="0.35">
      <c r="A56" s="8">
        <v>61147979</v>
      </c>
      <c r="B56" s="4" t="s">
        <v>2177</v>
      </c>
      <c r="C56" s="4" t="s">
        <v>1971</v>
      </c>
      <c r="D56" s="5">
        <v>46083</v>
      </c>
      <c r="E56" s="4" t="s">
        <v>31</v>
      </c>
      <c r="F56" s="4" t="s">
        <v>34</v>
      </c>
      <c r="G56" s="4" t="s">
        <v>1632</v>
      </c>
      <c r="H56" s="4" t="s">
        <v>2178</v>
      </c>
      <c r="I56" s="4" t="s">
        <v>1968</v>
      </c>
      <c r="J56" s="4" t="s">
        <v>1968</v>
      </c>
      <c r="K56" s="4" t="s">
        <v>2086</v>
      </c>
      <c r="L56" s="4" t="s">
        <v>799</v>
      </c>
      <c r="M56" s="4" t="s">
        <v>36</v>
      </c>
      <c r="N56" s="4" t="s">
        <v>2179</v>
      </c>
      <c r="O56" s="4" t="s">
        <v>37</v>
      </c>
      <c r="P56" s="4" t="s">
        <v>37</v>
      </c>
      <c r="Q56" s="10" t="s">
        <v>57</v>
      </c>
      <c r="R56" s="4" t="str">
        <f t="shared" si="4"/>
        <v>Avenida San Francisco Pariac 9837, Lote 9, Mz. K 3RA ETAPA, Ate, Lima, Lima, Perú</v>
      </c>
      <c r="S56" s="4">
        <v>-12.0533918</v>
      </c>
      <c r="T56" s="4">
        <v>-76.948468800000001</v>
      </c>
      <c r="U56" s="30">
        <f t="shared" si="1"/>
        <v>8.14</v>
      </c>
      <c r="V56" s="4" t="str">
        <f t="shared" si="2"/>
        <v>🟡 Cerca (5-10 km)</v>
      </c>
      <c r="W56" s="19" t="str" cm="1">
        <f t="array" ref="W56">_xlfn.LET(_xlpm.lat_emp,S56,_xlpm.lon_emp,T56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Pte. Prialé (solo aplica para la salida)</v>
      </c>
      <c r="X56" s="19" t="str">
        <f>_xlfn.LET(_xlpm.paradero,W56,INDEX(PARADEROS_VALIDOS!$A$2:$A$67,MATCH(_xlpm.paradero,PARADEROS_VALIDOS!$C$2:$C$67,0)))</f>
        <v>RUTA 7</v>
      </c>
      <c r="Y56" s="29" cm="1">
        <f t="array" ref="Y56">_xlfn.LET(_xlpm.lat_emp,S56,_xlpm.lon_emp,T56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0.97</v>
      </c>
      <c r="Z56" s="4" t="str">
        <f t="shared" si="3"/>
        <v>🟢 Muy Cerca (0-1 km)</v>
      </c>
      <c r="AA56" s="4"/>
      <c r="AB56" s="4"/>
      <c r="AC56" s="49">
        <v>-11.997563</v>
      </c>
      <c r="AD56" s="49">
        <v>-76.900062000000005</v>
      </c>
      <c r="AE56" s="19" t="str">
        <f>IFERROR(VLOOKUP(C56,tdcargo[],2,FALSE),"DESCONOCIDO")</f>
        <v>OPERARIO</v>
      </c>
    </row>
    <row r="57" spans="1:31" hidden="1" x14ac:dyDescent="0.35">
      <c r="A57" s="8">
        <v>74122916</v>
      </c>
      <c r="B57" s="4" t="s">
        <v>2180</v>
      </c>
      <c r="C57" s="4" t="s">
        <v>1971</v>
      </c>
      <c r="D57" s="5">
        <v>46055</v>
      </c>
      <c r="E57" s="4" t="s">
        <v>31</v>
      </c>
      <c r="F57" s="4" t="s">
        <v>82</v>
      </c>
      <c r="G57" s="4" t="s">
        <v>1415</v>
      </c>
      <c r="H57" s="4" t="s">
        <v>1956</v>
      </c>
      <c r="I57" s="4" t="s">
        <v>1968</v>
      </c>
      <c r="J57" s="4" t="s">
        <v>1968</v>
      </c>
      <c r="K57" s="4" t="s">
        <v>1968</v>
      </c>
      <c r="L57" s="4" t="s">
        <v>1968</v>
      </c>
      <c r="M57" s="4" t="s">
        <v>186</v>
      </c>
      <c r="N57" s="4" t="s">
        <v>2181</v>
      </c>
      <c r="O57" s="4" t="s">
        <v>37</v>
      </c>
      <c r="P57" s="4" t="s">
        <v>37</v>
      </c>
      <c r="Q57" s="10" t="s">
        <v>57</v>
      </c>
      <c r="R57" s="4" t="str">
        <f t="shared" si="4"/>
        <v>Calle Las Praderas, Urb. Urbanización SAN ROQUE, Ate, Lima, Lima, Perú</v>
      </c>
      <c r="S57" s="4">
        <v>-12.0222789</v>
      </c>
      <c r="T57" s="4">
        <v>-76.913707900000006</v>
      </c>
      <c r="U57" s="30">
        <f t="shared" si="1"/>
        <v>3.12</v>
      </c>
      <c r="V57" s="4" t="str">
        <f t="shared" si="2"/>
        <v>🟢 Muy Cerca (0-5 km)</v>
      </c>
      <c r="W57" s="19" t="str" cm="1">
        <f t="array" ref="W57">_xlfn.LET(_xlpm.lat_emp,S57,_xlpm.lon_emp,T57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Esperanza</v>
      </c>
      <c r="X57" s="19" t="str">
        <f>_xlfn.LET(_xlpm.paradero,W57,INDEX(PARADEROS_VALIDOS!$A$2:$A$67,MATCH(_xlpm.paradero,PARADEROS_VALIDOS!$C$2:$C$67,0)))</f>
        <v>RUTA 4B</v>
      </c>
      <c r="Y57" s="29" cm="1">
        <f t="array" ref="Y57">_xlfn.LET(_xlpm.lat_emp,S57,_xlpm.lon_emp,T57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0.74</v>
      </c>
      <c r="Z57" s="4" t="str">
        <f t="shared" si="3"/>
        <v>🟢 Muy Cerca (0-1 km)</v>
      </c>
      <c r="AA57" s="4"/>
      <c r="AB57" s="4"/>
      <c r="AC57" s="49">
        <v>-11.997563</v>
      </c>
      <c r="AD57" s="49">
        <v>-76.900062000000005</v>
      </c>
      <c r="AE57" s="19" t="str">
        <f>IFERROR(VLOOKUP(C57,tdcargo[],2,FALSE),"DESCONOCIDO")</f>
        <v>OPERARIO</v>
      </c>
    </row>
    <row r="58" spans="1:31" hidden="1" x14ac:dyDescent="0.35">
      <c r="A58" s="8">
        <v>47453734</v>
      </c>
      <c r="B58" s="4" t="s">
        <v>2182</v>
      </c>
      <c r="C58" s="4" t="s">
        <v>1971</v>
      </c>
      <c r="D58" s="5">
        <v>46055</v>
      </c>
      <c r="E58" s="4" t="s">
        <v>31</v>
      </c>
      <c r="F58" s="4" t="s">
        <v>36</v>
      </c>
      <c r="G58" s="4" t="s">
        <v>2183</v>
      </c>
      <c r="H58" s="4" t="s">
        <v>1956</v>
      </c>
      <c r="I58" s="4" t="s">
        <v>1968</v>
      </c>
      <c r="J58" s="4" t="s">
        <v>1968</v>
      </c>
      <c r="K58" s="4" t="s">
        <v>1973</v>
      </c>
      <c r="L58" s="4" t="s">
        <v>2184</v>
      </c>
      <c r="M58" s="4" t="s">
        <v>186</v>
      </c>
      <c r="N58" s="4" t="s">
        <v>2185</v>
      </c>
      <c r="O58" s="4" t="s">
        <v>37</v>
      </c>
      <c r="P58" s="4" t="s">
        <v>37</v>
      </c>
      <c r="Q58" s="10" t="s">
        <v>57</v>
      </c>
      <c r="R58" s="4" t="str">
        <f t="shared" si="4"/>
        <v>Praderas Pariachi, Lote 15, Mz. P, Urb. Urbanización PRADERAS DE PARIACHI, Ate, Lima, Lima, Perú</v>
      </c>
      <c r="S58" s="4">
        <v>-12.0022638</v>
      </c>
      <c r="T58" s="4">
        <v>-76.840711799999994</v>
      </c>
      <c r="U58" s="30">
        <f t="shared" si="1"/>
        <v>6.48</v>
      </c>
      <c r="V58" s="4" t="str">
        <f t="shared" si="2"/>
        <v>🟡 Cerca (5-10 km)</v>
      </c>
      <c r="W58" s="19" t="str" cm="1">
        <f t="array" ref="W58">_xlfn.LET(_xlpm.lat_emp,S58,_xlpm.lon_emp,T58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Huaycán</v>
      </c>
      <c r="X58" s="19" t="str">
        <f>_xlfn.LET(_xlpm.paradero,W58,INDEX(PARADEROS_VALIDOS!$A$2:$A$67,MATCH(_xlpm.paradero,PARADEROS_VALIDOS!$C$2:$C$67,0)))</f>
        <v>RUTA 5B</v>
      </c>
      <c r="Y58" s="29" cm="1">
        <f t="array" ref="Y58">_xlfn.LET(_xlpm.lat_emp,S58,_xlpm.lon_emp,T58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0.32</v>
      </c>
      <c r="Z58" s="4" t="str">
        <f t="shared" si="3"/>
        <v>🟢 Muy Cerca (0-1 km)</v>
      </c>
      <c r="AA58" s="4"/>
      <c r="AB58" s="4"/>
      <c r="AC58" s="49">
        <v>-11.997563</v>
      </c>
      <c r="AD58" s="49">
        <v>-76.900062000000005</v>
      </c>
      <c r="AE58" s="19" t="str">
        <f>IFERROR(VLOOKUP(C58,tdcargo[],2,FALSE),"DESCONOCIDO")</f>
        <v>OPERARIO</v>
      </c>
    </row>
    <row r="59" spans="1:31" hidden="1" x14ac:dyDescent="0.35">
      <c r="A59" s="8">
        <v>60749902</v>
      </c>
      <c r="B59" s="4" t="s">
        <v>2186</v>
      </c>
      <c r="C59" s="4" t="s">
        <v>1971</v>
      </c>
      <c r="D59" s="5">
        <v>45931</v>
      </c>
      <c r="E59" s="4" t="s">
        <v>31</v>
      </c>
      <c r="F59" s="4" t="s">
        <v>34</v>
      </c>
      <c r="G59" s="4" t="s">
        <v>2187</v>
      </c>
      <c r="H59" s="4" t="s">
        <v>2188</v>
      </c>
      <c r="I59" s="4" t="s">
        <v>1968</v>
      </c>
      <c r="J59" s="4" t="s">
        <v>1968</v>
      </c>
      <c r="K59" s="4" t="s">
        <v>1968</v>
      </c>
      <c r="L59" s="4" t="s">
        <v>1968</v>
      </c>
      <c r="M59" s="4" t="s">
        <v>36</v>
      </c>
      <c r="N59" s="4" t="s">
        <v>2189</v>
      </c>
      <c r="O59" s="4" t="s">
        <v>37</v>
      </c>
      <c r="P59" s="4" t="s">
        <v>37</v>
      </c>
      <c r="Q59" s="10" t="s">
        <v>76</v>
      </c>
      <c r="R59" s="4" t="str">
        <f t="shared" si="4"/>
        <v>Avenida A.V Lima Sur 1489 Lurigancho-Chosica, Lurigancho, Lima, Lima, Perú</v>
      </c>
      <c r="S59" s="4">
        <v>-11.941728700000001</v>
      </c>
      <c r="T59" s="4">
        <v>-76.701915099999994</v>
      </c>
      <c r="U59" s="30">
        <f t="shared" si="1"/>
        <v>22.43</v>
      </c>
      <c r="V59" s="4" t="str">
        <f t="shared" si="2"/>
        <v>🔴 Lejos (&gt;20 km)</v>
      </c>
      <c r="W59" s="19" t="str" cm="1">
        <f t="array" ref="W59">_xlfn.LET(_xlpm.lat_emp,S59,_xlpm.lon_emp,T59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59" s="19" t="str">
        <f>_xlfn.LET(_xlpm.paradero,W59,INDEX(PARADEROS_VALIDOS!$A$2:$A$67,MATCH(_xlpm.paradero,PARADEROS_VALIDOS!$C$2:$C$67,0)))</f>
        <v>RUTA 5A</v>
      </c>
      <c r="Y59" s="29" cm="1">
        <f t="array" ref="Y59">_xlfn.LET(_xlpm.lat_emp,S59,_xlpm.lon_emp,T59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8.59</v>
      </c>
      <c r="Z59" s="4" t="str">
        <f t="shared" si="3"/>
        <v>🔴 Lejos (&gt;5 km)</v>
      </c>
      <c r="AA59" s="4"/>
      <c r="AB59" s="4"/>
      <c r="AC59" s="49">
        <v>-11.997563</v>
      </c>
      <c r="AD59" s="49">
        <v>-76.900062000000005</v>
      </c>
      <c r="AE59" s="19" t="str">
        <f>IFERROR(VLOOKUP(C59,tdcargo[],2,FALSE),"DESCONOCIDO")</f>
        <v>OPERARIO</v>
      </c>
    </row>
    <row r="60" spans="1:31" hidden="1" x14ac:dyDescent="0.35">
      <c r="A60" s="8">
        <v>76283234</v>
      </c>
      <c r="B60" s="4" t="s">
        <v>2190</v>
      </c>
      <c r="C60" s="4" t="s">
        <v>2006</v>
      </c>
      <c r="D60" s="5">
        <v>45796</v>
      </c>
      <c r="E60" s="4" t="s">
        <v>31</v>
      </c>
      <c r="F60" s="4" t="s">
        <v>82</v>
      </c>
      <c r="G60" s="4" t="s">
        <v>2191</v>
      </c>
      <c r="H60" s="4" t="s">
        <v>2192</v>
      </c>
      <c r="I60" s="4" t="s">
        <v>1968</v>
      </c>
      <c r="J60" s="4" t="s">
        <v>1996</v>
      </c>
      <c r="K60" s="4" t="s">
        <v>1968</v>
      </c>
      <c r="L60" s="4" t="s">
        <v>1968</v>
      </c>
      <c r="M60" s="4" t="s">
        <v>36</v>
      </c>
      <c r="N60" s="4" t="s">
        <v>2193</v>
      </c>
      <c r="O60" s="4" t="s">
        <v>37</v>
      </c>
      <c r="P60" s="4" t="s">
        <v>37</v>
      </c>
      <c r="Q60" s="10" t="s">
        <v>76</v>
      </c>
      <c r="R60" s="4" t="str">
        <f t="shared" si="4"/>
        <v>Calle Calle Progreso 26, Int. 2 Nicolas De Pierola, Lurigancho, Lima, Lima, Perú</v>
      </c>
      <c r="S60" s="4">
        <v>-11.942829100000001</v>
      </c>
      <c r="T60" s="4">
        <v>-76.698913599999997</v>
      </c>
      <c r="U60" s="30">
        <f t="shared" si="1"/>
        <v>22.71</v>
      </c>
      <c r="V60" s="4" t="str">
        <f t="shared" si="2"/>
        <v>🔴 Lejos (&gt;20 km)</v>
      </c>
      <c r="W60" s="19" t="str" cm="1">
        <f t="array" ref="W60">_xlfn.LET(_xlpm.lat_emp,S60,_xlpm.lon_emp,T60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60" s="19" t="str">
        <f>_xlfn.LET(_xlpm.paradero,W60,INDEX(PARADEROS_VALIDOS!$A$2:$A$67,MATCH(_xlpm.paradero,PARADEROS_VALIDOS!$C$2:$C$67,0)))</f>
        <v>RUTA 5A</v>
      </c>
      <c r="Y60" s="29" cm="1">
        <f t="array" ref="Y60">_xlfn.LET(_xlpm.lat_emp,S60,_xlpm.lon_emp,T60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8.84</v>
      </c>
      <c r="Z60" s="4" t="str">
        <f t="shared" si="3"/>
        <v>🔴 Lejos (&gt;5 km)</v>
      </c>
      <c r="AA60" s="4"/>
      <c r="AB60" s="4"/>
      <c r="AC60" s="49">
        <v>-11.997563</v>
      </c>
      <c r="AD60" s="49">
        <v>-76.900062000000005</v>
      </c>
      <c r="AE60" s="19" t="str">
        <f>IFERROR(VLOOKUP(C60,tdcargo[],2,FALSE),"DESCONOCIDO")</f>
        <v>OPERARIO</v>
      </c>
    </row>
    <row r="61" spans="1:31" hidden="1" x14ac:dyDescent="0.35">
      <c r="A61" s="8">
        <v>42948936</v>
      </c>
      <c r="B61" s="4" t="s">
        <v>2194</v>
      </c>
      <c r="C61" s="4" t="s">
        <v>1971</v>
      </c>
      <c r="D61" s="5">
        <v>46037</v>
      </c>
      <c r="E61" s="4" t="s">
        <v>31</v>
      </c>
      <c r="F61" s="4" t="s">
        <v>82</v>
      </c>
      <c r="G61" s="4" t="s">
        <v>2195</v>
      </c>
      <c r="H61" s="4" t="s">
        <v>1981</v>
      </c>
      <c r="I61" s="4" t="s">
        <v>1968</v>
      </c>
      <c r="J61" s="4" t="s">
        <v>1981</v>
      </c>
      <c r="K61" s="4" t="s">
        <v>2196</v>
      </c>
      <c r="L61" s="4" t="s">
        <v>1968</v>
      </c>
      <c r="M61" s="4" t="s">
        <v>36</v>
      </c>
      <c r="N61" s="4" t="s">
        <v>2197</v>
      </c>
      <c r="O61" s="4" t="s">
        <v>37</v>
      </c>
      <c r="P61" s="4" t="s">
        <v>37</v>
      </c>
      <c r="Q61" s="10" t="s">
        <v>76</v>
      </c>
      <c r="R61" s="4" t="str">
        <f t="shared" si="4"/>
        <v>Calle Verona 6, Int. 6, Lote N LOS OLIVOS JICAMARCA, Lurigancho, Lima, Lima, Perú</v>
      </c>
      <c r="S61" s="4">
        <v>-11.9821309</v>
      </c>
      <c r="T61" s="4">
        <v>-76.935392899999997</v>
      </c>
      <c r="U61" s="30">
        <f t="shared" si="1"/>
        <v>4.21</v>
      </c>
      <c r="V61" s="4" t="str">
        <f t="shared" si="2"/>
        <v>🟢 Muy Cerca (0-5 km)</v>
      </c>
      <c r="W61" s="19" t="str" cm="1">
        <f t="array" ref="W61">_xlfn.LET(_xlpm.lat_emp,S61,_xlpm.lon_emp,T61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61" s="19" t="str">
        <f>_xlfn.LET(_xlpm.paradero,W61,INDEX(PARADEROS_VALIDOS!$A$2:$A$67,MATCH(_xlpm.paradero,PARADEROS_VALIDOS!$C$2:$C$67,0)))</f>
        <v>RUTA 2</v>
      </c>
      <c r="Y61" s="29" cm="1">
        <f t="array" ref="Y61">_xlfn.LET(_xlpm.lat_emp,S61,_xlpm.lon_emp,T61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3.73</v>
      </c>
      <c r="Z61" s="4" t="str">
        <f t="shared" si="3"/>
        <v>🟠 Moderada (3-5 km)</v>
      </c>
      <c r="AA61" s="4"/>
      <c r="AB61" s="4"/>
      <c r="AC61" s="49">
        <v>-11.997563</v>
      </c>
      <c r="AD61" s="49">
        <v>-76.900062000000005</v>
      </c>
      <c r="AE61" s="19" t="str">
        <f>IFERROR(VLOOKUP(C61,tdcargo[],2,FALSE),"DESCONOCIDO")</f>
        <v>OPERARIO</v>
      </c>
    </row>
    <row r="62" spans="1:31" hidden="1" x14ac:dyDescent="0.35">
      <c r="A62" s="8">
        <v>47256313</v>
      </c>
      <c r="B62" s="4" t="s">
        <v>2198</v>
      </c>
      <c r="C62" s="4" t="s">
        <v>1971</v>
      </c>
      <c r="D62" s="5">
        <v>45779</v>
      </c>
      <c r="E62" s="4" t="s">
        <v>31</v>
      </c>
      <c r="F62" s="4" t="s">
        <v>34</v>
      </c>
      <c r="G62" s="4" t="s">
        <v>1520</v>
      </c>
      <c r="H62" s="4" t="s">
        <v>1956</v>
      </c>
      <c r="I62" s="4" t="s">
        <v>1968</v>
      </c>
      <c r="J62" s="4" t="s">
        <v>1968</v>
      </c>
      <c r="K62" s="4" t="s">
        <v>1981</v>
      </c>
      <c r="L62" s="4" t="s">
        <v>1636</v>
      </c>
      <c r="M62" s="4" t="s">
        <v>186</v>
      </c>
      <c r="N62" s="4" t="s">
        <v>1520</v>
      </c>
      <c r="O62" s="4" t="s">
        <v>37</v>
      </c>
      <c r="P62" s="4" t="s">
        <v>37</v>
      </c>
      <c r="Q62" s="10" t="s">
        <v>57</v>
      </c>
      <c r="R62" s="4" t="str">
        <f t="shared" si="4"/>
        <v>Avenida Los Angeles, Lote 6, Mz. I, Urb. Urbanización Los Angeles, Ate, Lima, Lima, Perú</v>
      </c>
      <c r="S62" s="4">
        <v>-12.035113600000001</v>
      </c>
      <c r="T62" s="4">
        <v>-76.931870900000007</v>
      </c>
      <c r="U62" s="30">
        <f t="shared" si="1"/>
        <v>5.42</v>
      </c>
      <c r="V62" s="4" t="str">
        <f t="shared" si="2"/>
        <v>🟡 Cerca (5-10 km)</v>
      </c>
      <c r="W62" s="19" t="str" cm="1">
        <f t="array" ref="W62">_xlfn.LET(_xlpm.lat_emp,S62,_xlpm.lon_emp,T62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Real Plaza Puruchuco (Grifo Primax)</v>
      </c>
      <c r="X62" s="19" t="str">
        <f>_xlfn.LET(_xlpm.paradero,W62,INDEX(PARADEROS_VALIDOS!$A$2:$A$67,MATCH(_xlpm.paradero,PARADEROS_VALIDOS!$C$2:$C$67,0)))</f>
        <v>RUTA 4A</v>
      </c>
      <c r="Y62" s="29" cm="1">
        <f t="array" ref="Y62">_xlfn.LET(_xlpm.lat_emp,S62,_xlpm.lon_emp,T62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0.7</v>
      </c>
      <c r="Z62" s="4" t="str">
        <f t="shared" si="3"/>
        <v>🟢 Muy Cerca (0-1 km)</v>
      </c>
      <c r="AA62" s="4"/>
      <c r="AB62" s="4"/>
      <c r="AC62" s="49">
        <v>-11.997563</v>
      </c>
      <c r="AD62" s="49">
        <v>-76.900062000000005</v>
      </c>
      <c r="AE62" s="19" t="str">
        <f>IFERROR(VLOOKUP(C62,tdcargo[],2,FALSE),"DESCONOCIDO")</f>
        <v>OPERARIO</v>
      </c>
    </row>
    <row r="63" spans="1:31" hidden="1" x14ac:dyDescent="0.35">
      <c r="A63" s="8">
        <v>76307818</v>
      </c>
      <c r="B63" s="4" t="s">
        <v>2199</v>
      </c>
      <c r="C63" s="4" t="s">
        <v>1971</v>
      </c>
      <c r="D63" s="5">
        <v>46069</v>
      </c>
      <c r="E63" s="4" t="s">
        <v>31</v>
      </c>
      <c r="F63" s="4" t="s">
        <v>36</v>
      </c>
      <c r="G63" s="4" t="s">
        <v>2200</v>
      </c>
      <c r="H63" s="4" t="s">
        <v>1956</v>
      </c>
      <c r="I63" s="4" t="s">
        <v>1968</v>
      </c>
      <c r="J63" s="4" t="s">
        <v>1968</v>
      </c>
      <c r="K63" s="4" t="s">
        <v>2086</v>
      </c>
      <c r="L63" s="4" t="s">
        <v>1861</v>
      </c>
      <c r="M63" s="4" t="s">
        <v>36</v>
      </c>
      <c r="N63" s="4" t="s">
        <v>2201</v>
      </c>
      <c r="O63" s="4" t="s">
        <v>37</v>
      </c>
      <c r="P63" s="4" t="s">
        <v>37</v>
      </c>
      <c r="Q63" s="10" t="s">
        <v>76</v>
      </c>
      <c r="R63" s="4" t="str">
        <f t="shared" si="4"/>
        <v>Asoc Nuevo Amanecer, Lote 9, Mz. D ASOC. NUEVO AMANECER, Lurigancho, Lima, Lima, Perú</v>
      </c>
      <c r="S63" s="4">
        <v>-11.9945503</v>
      </c>
      <c r="T63" s="4">
        <v>-76.902360599999994</v>
      </c>
      <c r="U63" s="30">
        <f t="shared" si="1"/>
        <v>0.42</v>
      </c>
      <c r="V63" s="4" t="str">
        <f t="shared" si="2"/>
        <v>🟢 Muy Cerca (0-5 km)</v>
      </c>
      <c r="W63" s="19" t="str" cm="1">
        <f t="array" ref="W63">_xlfn.LET(_xlpm.lat_emp,S63,_xlpm.lon_emp,T63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63" s="19" t="str">
        <f>_xlfn.LET(_xlpm.paradero,W63,INDEX(PARADEROS_VALIDOS!$A$2:$A$67,MATCH(_xlpm.paradero,PARADEROS_VALIDOS!$C$2:$C$67,0)))</f>
        <v>RUTA 2</v>
      </c>
      <c r="Y63" s="29" cm="1">
        <f t="array" ref="Y63">_xlfn.LET(_xlpm.lat_emp,S63,_xlpm.lon_emp,T63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0.14000000000000001</v>
      </c>
      <c r="Z63" s="4" t="str">
        <f t="shared" si="3"/>
        <v>🟢 Muy Cerca (0-1 km)</v>
      </c>
      <c r="AA63" s="4"/>
      <c r="AB63" s="4"/>
      <c r="AC63" s="49">
        <v>-11.997563</v>
      </c>
      <c r="AD63" s="49">
        <v>-76.900062000000005</v>
      </c>
      <c r="AE63" s="19" t="str">
        <f>IFERROR(VLOOKUP(C63,tdcargo[],2,FALSE),"DESCONOCIDO")</f>
        <v>OPERARIO</v>
      </c>
    </row>
    <row r="64" spans="1:31" hidden="1" x14ac:dyDescent="0.35">
      <c r="A64" s="8">
        <v>44840172</v>
      </c>
      <c r="B64" s="4" t="s">
        <v>2202</v>
      </c>
      <c r="C64" s="4" t="s">
        <v>1971</v>
      </c>
      <c r="D64" s="5">
        <v>46069</v>
      </c>
      <c r="E64" s="4" t="s">
        <v>31</v>
      </c>
      <c r="F64" s="4" t="s">
        <v>34</v>
      </c>
      <c r="G64" s="4" t="s">
        <v>1017</v>
      </c>
      <c r="H64" s="4" t="s">
        <v>1956</v>
      </c>
      <c r="I64" s="4" t="s">
        <v>1968</v>
      </c>
      <c r="J64" s="4" t="s">
        <v>1968</v>
      </c>
      <c r="K64" s="4" t="s">
        <v>2203</v>
      </c>
      <c r="L64" s="4" t="s">
        <v>1861</v>
      </c>
      <c r="M64" s="4" t="s">
        <v>36</v>
      </c>
      <c r="N64" s="4" t="s">
        <v>1988</v>
      </c>
      <c r="O64" s="4" t="s">
        <v>37</v>
      </c>
      <c r="P64" s="4" t="s">
        <v>37</v>
      </c>
      <c r="Q64" s="10" t="s">
        <v>76</v>
      </c>
      <c r="R64" s="4" t="str">
        <f t="shared" si="4"/>
        <v>Avenida Cajamarquilla, Lote 11, Mz. D VILLA LETICIA, Lurigancho, Lima, Lima, Perú</v>
      </c>
      <c r="S64" s="4">
        <v>-11.987436300000001</v>
      </c>
      <c r="T64" s="4">
        <v>-76.899104100000002</v>
      </c>
      <c r="U64" s="30">
        <f t="shared" si="1"/>
        <v>1.1299999999999999</v>
      </c>
      <c r="V64" s="4" t="str">
        <f t="shared" si="2"/>
        <v>🟢 Muy Cerca (0-5 km)</v>
      </c>
      <c r="W64" s="19" t="str" cm="1">
        <f t="array" ref="W64">_xlfn.LET(_xlpm.lat_emp,S64,_xlpm.lon_emp,T64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64" s="19" t="str">
        <f>_xlfn.LET(_xlpm.paradero,W64,INDEX(PARADEROS_VALIDOS!$A$2:$A$67,MATCH(_xlpm.paradero,PARADEROS_VALIDOS!$C$2:$C$67,0)))</f>
        <v>RUTA 2</v>
      </c>
      <c r="Y64" s="29" cm="1">
        <f t="array" ref="Y64">_xlfn.LET(_xlpm.lat_emp,S64,_xlpm.lon_emp,T64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</v>
      </c>
      <c r="Z64" s="4" t="str">
        <f t="shared" si="3"/>
        <v>🟢 Muy Cerca (0-1 km)</v>
      </c>
      <c r="AA64" s="4"/>
      <c r="AB64" s="4"/>
      <c r="AC64" s="49">
        <v>-11.997563</v>
      </c>
      <c r="AD64" s="49">
        <v>-76.900062000000005</v>
      </c>
      <c r="AE64" s="19" t="str">
        <f>IFERROR(VLOOKUP(C64,tdcargo[],2,FALSE),"DESCONOCIDO")</f>
        <v>OPERARIO</v>
      </c>
    </row>
    <row r="65" spans="1:31" x14ac:dyDescent="0.35">
      <c r="A65" s="8">
        <v>77244925</v>
      </c>
      <c r="B65" s="4" t="s">
        <v>2204</v>
      </c>
      <c r="C65" s="4" t="s">
        <v>1971</v>
      </c>
      <c r="D65" s="5">
        <v>46069</v>
      </c>
      <c r="E65" s="4" t="s">
        <v>31</v>
      </c>
      <c r="F65" s="4" t="s">
        <v>34</v>
      </c>
      <c r="G65" s="4" t="s">
        <v>249</v>
      </c>
      <c r="H65" s="4" t="s">
        <v>1956</v>
      </c>
      <c r="I65" s="4" t="s">
        <v>1968</v>
      </c>
      <c r="J65" s="4" t="s">
        <v>1968</v>
      </c>
      <c r="K65" s="4" t="s">
        <v>1995</v>
      </c>
      <c r="L65" s="4" t="s">
        <v>2196</v>
      </c>
      <c r="M65" s="4" t="s">
        <v>36</v>
      </c>
      <c r="N65" s="4" t="s">
        <v>2205</v>
      </c>
      <c r="O65" s="4" t="s">
        <v>37</v>
      </c>
      <c r="P65" s="4" t="s">
        <v>37</v>
      </c>
      <c r="Q65" s="10" t="s">
        <v>57</v>
      </c>
      <c r="R65" s="4" t="str">
        <f t="shared" si="4"/>
        <v>Avenida Los Eucaliptos, Lote 1, Mz. N ASOC VIVIEND RAUCANA, Ate, Lima, Lima, Perú</v>
      </c>
      <c r="S65" s="4">
        <v>-12.0457065</v>
      </c>
      <c r="T65" s="4">
        <v>-76.975954799999997</v>
      </c>
      <c r="U65" s="30">
        <f t="shared" si="1"/>
        <v>9.84</v>
      </c>
      <c r="V65" s="4" t="str">
        <f t="shared" si="2"/>
        <v>🟡 Cerca (5-10 km)</v>
      </c>
      <c r="W65" s="19" t="str" cm="1">
        <f t="array" ref="W65">_xlfn.LET(_xlpm.lat_emp,S65,_xlpm.lon_emp,T65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Puente Perales</v>
      </c>
      <c r="X65" s="19" t="str">
        <f>_xlfn.LET(_xlpm.paradero,W65,INDEX(PARADEROS_VALIDOS!$A$2:$A$67,MATCH(_xlpm.paradero,PARADEROS_VALIDOS!$C$2:$C$67,0)))</f>
        <v>RUTA 7</v>
      </c>
      <c r="Y65" s="29" cm="1">
        <f t="array" ref="Y65">_xlfn.LET(_xlpm.lat_emp,S65,_xlpm.lon_emp,T65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0.56000000000000005</v>
      </c>
      <c r="Z65" s="4" t="str">
        <f t="shared" si="3"/>
        <v>🟢 Muy Cerca (0-1 km)</v>
      </c>
      <c r="AA65" s="4"/>
      <c r="AB65" s="4"/>
      <c r="AC65" s="49">
        <v>-11.997563</v>
      </c>
      <c r="AD65" s="49">
        <v>-76.900062000000005</v>
      </c>
      <c r="AE65" s="19" t="str">
        <f>IFERROR(VLOOKUP(C65,tdcargo[],2,FALSE),"DESCONOCIDO")</f>
        <v>OPERARIO</v>
      </c>
    </row>
    <row r="66" spans="1:31" x14ac:dyDescent="0.35">
      <c r="A66" s="8">
        <v>40720199</v>
      </c>
      <c r="B66" s="4" t="s">
        <v>2206</v>
      </c>
      <c r="C66" s="4" t="s">
        <v>2006</v>
      </c>
      <c r="D66" s="5">
        <v>41284</v>
      </c>
      <c r="E66" s="4" t="s">
        <v>31</v>
      </c>
      <c r="F66" s="4" t="s">
        <v>36</v>
      </c>
      <c r="G66" s="4" t="s">
        <v>2207</v>
      </c>
      <c r="H66" s="4" t="s">
        <v>1956</v>
      </c>
      <c r="I66" s="4" t="s">
        <v>1968</v>
      </c>
      <c r="J66" s="4" t="s">
        <v>1968</v>
      </c>
      <c r="K66" s="4" t="s">
        <v>1968</v>
      </c>
      <c r="L66" s="4" t="s">
        <v>1968</v>
      </c>
      <c r="M66" s="4" t="s">
        <v>186</v>
      </c>
      <c r="N66" s="4" t="s">
        <v>2208</v>
      </c>
      <c r="O66" s="4" t="s">
        <v>37</v>
      </c>
      <c r="P66" s="4" t="s">
        <v>37</v>
      </c>
      <c r="Q66" s="10" t="s">
        <v>2034</v>
      </c>
      <c r="R66" s="4" t="str">
        <f t="shared" ref="R66:R97" si="5">_xlfn.LET(_xlpm.parte1,TRIM(IF(F66="Otros / No aplica","",F66&amp;" ")&amp;G66&amp;IF(AND(H66&lt;&gt;"",H66&lt;&gt;"0",H66&lt;&gt;0)," "&amp;H66,"")&amp;IF(I66&lt;&gt;"",", Apt. "&amp;I66,"")&amp;IF(J66&lt;&gt;"",", Int. "&amp;J66,"")&amp;IF(AND(K66&lt;&gt;"",K66&lt;&gt;0),", Lote "&amp;K66,"")&amp;IF(L66&lt;&gt;"",", Mz. "&amp;L66,"")&amp;IF(AND(M66&lt;&gt;"",M66&lt;&gt;"Otros / No aplica"),", "&amp;M66,"")&amp;IF(AND(N66&lt;&gt;"",N66&lt;&gt;"0",N66&lt;&gt;0)," "&amp;N66,"")),_xlpm.parte2,Q66&amp;", "&amp;P66&amp;", "&amp;O66&amp;", Perú",IF(LEFT(_xlpm.parte1,1)=",",TRIM(MID(_xlpm.parte1,2,255))&amp;", "&amp;_xlpm.parte2,IF(_xlpm.parte1="",_xlpm.parte2,_xlpm.parte1&amp;", "&amp;_xlpm.parte2)))</f>
        <v>Mza1 Lt21 Calle 7, Urb. Urbanización San Genaro, Chorrillos, Lima, Lima, Perú</v>
      </c>
      <c r="S66" s="4">
        <v>-12.1935076</v>
      </c>
      <c r="T66" s="4">
        <v>-77.020371100000006</v>
      </c>
      <c r="U66" s="30">
        <f t="shared" ref="U66:U129" si="6">IF(OR(S66="",T66=""),"Sin coordenadas",ROUND(6371*ACOS(COS(RADIANS(90-S66))*COS(RADIANS(90-(-11.997563)))+SIN(RADIANS(90-S66))*SIN(RADIANS(90-(-11.997563)))*COS(RADIANS(T66-(-76.900062)))),2))</f>
        <v>25.41</v>
      </c>
      <c r="V66" s="4" t="str">
        <f t="shared" ref="V66:V129" si="7">IF(U66="Sin coordenadas","N/A",IF(U66&lt;=5,"🟢 Muy Cerca (0-5 km)",IF(U66&lt;=10,"🟡 Cerca (5-10 km)",IF(U66&lt;=20,"🟠 Moderada (10-20 km)","🔴 Lejos (&gt;20 km)"))))</f>
        <v>🔴 Lejos (&gt;20 km)</v>
      </c>
      <c r="W66" s="19" t="str" cm="1">
        <f t="array" ref="W66">_xlfn.LET(_xlpm.lat_emp,S66,_xlpm.lon_emp,T66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Puente Alipio</v>
      </c>
      <c r="X66" s="19" t="str">
        <f>_xlfn.LET(_xlpm.paradero,W66,INDEX(PARADEROS_VALIDOS!$A$2:$A$67,MATCH(_xlpm.paradero,PARADEROS_VALIDOS!$C$2:$C$67,0)))</f>
        <v>RUTA 7</v>
      </c>
      <c r="Y66" s="29" cm="1">
        <f t="array" ref="Y66">_xlfn.LET(_xlpm.lat_emp,S66,_xlpm.lon_emp,T66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5.26</v>
      </c>
      <c r="Z66" s="4" t="str">
        <f t="shared" ref="Z66:Z129" si="8">IF(Y66&lt;=1,"🟢 Muy Cerca (0-1 km)",IF(Y66&lt;=3,"🟡 Cerca (1-3 km)",IF(Y66&lt;=5,"🟠 Moderada (3-5 km)","🔴 Lejos (&gt;5 km)")))</f>
        <v>🔴 Lejos (&gt;5 km)</v>
      </c>
      <c r="AA66" s="4"/>
      <c r="AB66" s="4"/>
      <c r="AC66" s="49">
        <v>-11.997563</v>
      </c>
      <c r="AD66" s="49">
        <v>-76.900062000000005</v>
      </c>
      <c r="AE66" s="19" t="str">
        <f>IFERROR(VLOOKUP(C66,tdcargo[],2,FALSE),"DESCONOCIDO")</f>
        <v>OPERARIO</v>
      </c>
    </row>
    <row r="67" spans="1:31" hidden="1" x14ac:dyDescent="0.35">
      <c r="A67" s="8">
        <v>73106620</v>
      </c>
      <c r="B67" s="4" t="s">
        <v>2209</v>
      </c>
      <c r="C67" s="4" t="s">
        <v>1971</v>
      </c>
      <c r="D67" s="5">
        <v>45691</v>
      </c>
      <c r="E67" s="4" t="s">
        <v>31</v>
      </c>
      <c r="F67" s="4" t="s">
        <v>82</v>
      </c>
      <c r="G67" s="4" t="s">
        <v>2210</v>
      </c>
      <c r="H67" s="4" t="s">
        <v>1956</v>
      </c>
      <c r="I67" s="4" t="s">
        <v>1968</v>
      </c>
      <c r="J67" s="4" t="s">
        <v>1968</v>
      </c>
      <c r="K67" s="4" t="s">
        <v>1968</v>
      </c>
      <c r="L67" s="4" t="s">
        <v>1968</v>
      </c>
      <c r="M67" s="4" t="s">
        <v>36</v>
      </c>
      <c r="N67" s="4" t="s">
        <v>2211</v>
      </c>
      <c r="O67" s="4" t="s">
        <v>37</v>
      </c>
      <c r="P67" s="4" t="s">
        <v>37</v>
      </c>
      <c r="Q67" s="10" t="s">
        <v>76</v>
      </c>
      <c r="R67" s="4" t="str">
        <f t="shared" si="5"/>
        <v>Calle Seã‘Or De Muruhuay Mz.N Lt.9 Comite 4 Sierra Limeña, Lurigancho, Lima, Lima, Perú</v>
      </c>
      <c r="S67" s="4">
        <v>-11.9401338</v>
      </c>
      <c r="T67" s="4">
        <v>-76.706245999999993</v>
      </c>
      <c r="U67" s="30">
        <f t="shared" si="6"/>
        <v>22.03</v>
      </c>
      <c r="V67" s="4" t="str">
        <f t="shared" si="7"/>
        <v>🔴 Lejos (&gt;20 km)</v>
      </c>
      <c r="W67" s="19" t="str" cm="1">
        <f t="array" ref="W67">_xlfn.LET(_xlpm.lat_emp,S67,_xlpm.lon_emp,T67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67" s="19" t="str">
        <f>_xlfn.LET(_xlpm.paradero,W67,INDEX(PARADEROS_VALIDOS!$A$2:$A$67,MATCH(_xlpm.paradero,PARADEROS_VALIDOS!$C$2:$C$67,0)))</f>
        <v>RUTA 5A</v>
      </c>
      <c r="Y67" s="29" cm="1">
        <f t="array" ref="Y67">_xlfn.LET(_xlpm.lat_emp,S67,_xlpm.lon_emp,T67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8.26</v>
      </c>
      <c r="Z67" s="4" t="str">
        <f t="shared" si="8"/>
        <v>🔴 Lejos (&gt;5 km)</v>
      </c>
      <c r="AA67" s="4"/>
      <c r="AB67" s="4"/>
      <c r="AC67" s="49">
        <v>-11.997563</v>
      </c>
      <c r="AD67" s="49">
        <v>-76.900062000000005</v>
      </c>
      <c r="AE67" s="19" t="str">
        <f>IFERROR(VLOOKUP(C67,tdcargo[],2,FALSE),"DESCONOCIDO")</f>
        <v>OPERARIO</v>
      </c>
    </row>
    <row r="68" spans="1:31" hidden="1" x14ac:dyDescent="0.35">
      <c r="A68" s="8">
        <v>73245768</v>
      </c>
      <c r="B68" s="4" t="s">
        <v>2212</v>
      </c>
      <c r="C68" s="4" t="s">
        <v>1971</v>
      </c>
      <c r="D68" s="5">
        <v>45295</v>
      </c>
      <c r="E68" s="4" t="s">
        <v>31</v>
      </c>
      <c r="F68" s="4" t="s">
        <v>34</v>
      </c>
      <c r="G68" s="4" t="s">
        <v>2213</v>
      </c>
      <c r="H68" s="4" t="s">
        <v>1956</v>
      </c>
      <c r="I68" s="4" t="s">
        <v>1968</v>
      </c>
      <c r="J68" s="4" t="s">
        <v>1968</v>
      </c>
      <c r="K68" s="4" t="s">
        <v>1968</v>
      </c>
      <c r="L68" s="4" t="s">
        <v>1968</v>
      </c>
      <c r="M68" s="4" t="s">
        <v>36</v>
      </c>
      <c r="N68" s="4" t="s">
        <v>2214</v>
      </c>
      <c r="O68" s="4" t="s">
        <v>37</v>
      </c>
      <c r="P68" s="4" t="s">
        <v>37</v>
      </c>
      <c r="Q68" s="10" t="s">
        <v>57</v>
      </c>
      <c r="R68" s="4" t="str">
        <f t="shared" si="5"/>
        <v>Avenida Huaycan Ate Zona K, Ate, Lima, Lima, Perú</v>
      </c>
      <c r="S68" s="4">
        <v>-12.026101499999999</v>
      </c>
      <c r="T68" s="4">
        <v>-76.820907300000002</v>
      </c>
      <c r="U68" s="30">
        <f t="shared" si="6"/>
        <v>9.18</v>
      </c>
      <c r="V68" s="4" t="str">
        <f t="shared" si="7"/>
        <v>🟡 Cerca (5-10 km)</v>
      </c>
      <c r="W68" s="19" t="str" cm="1">
        <f t="array" ref="W68">_xlfn.LET(_xlpm.lat_emp,S68,_xlpm.lon_emp,T68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68" s="19" t="str">
        <f>_xlfn.LET(_xlpm.paradero,W68,INDEX(PARADEROS_VALIDOS!$A$2:$A$67,MATCH(_xlpm.paradero,PARADEROS_VALIDOS!$C$2:$C$67,0)))</f>
        <v>RUTA 3</v>
      </c>
      <c r="Y68" s="29" cm="1">
        <f t="array" ref="Y68">_xlfn.LET(_xlpm.lat_emp,S68,_xlpm.lon_emp,T68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0.18</v>
      </c>
      <c r="Z68" s="4" t="str">
        <f t="shared" si="8"/>
        <v>🟢 Muy Cerca (0-1 km)</v>
      </c>
      <c r="AA68" s="4"/>
      <c r="AB68" s="4"/>
      <c r="AC68" s="49">
        <v>-11.997563</v>
      </c>
      <c r="AD68" s="49">
        <v>-76.900062000000005</v>
      </c>
      <c r="AE68" s="19" t="str">
        <f>IFERROR(VLOOKUP(C68,tdcargo[],2,FALSE),"DESCONOCIDO")</f>
        <v>OPERARIO</v>
      </c>
    </row>
    <row r="69" spans="1:31" hidden="1" x14ac:dyDescent="0.35">
      <c r="A69" s="8">
        <v>60828082</v>
      </c>
      <c r="B69" s="4" t="s">
        <v>2215</v>
      </c>
      <c r="C69" s="4" t="s">
        <v>1971</v>
      </c>
      <c r="D69" s="5">
        <v>45566</v>
      </c>
      <c r="E69" s="4" t="s">
        <v>31</v>
      </c>
      <c r="F69" s="4" t="s">
        <v>82</v>
      </c>
      <c r="G69" s="4" t="s">
        <v>2175</v>
      </c>
      <c r="H69" s="4" t="s">
        <v>1956</v>
      </c>
      <c r="I69" s="4" t="s">
        <v>1968</v>
      </c>
      <c r="J69" s="4" t="s">
        <v>1968</v>
      </c>
      <c r="K69" s="4" t="s">
        <v>1968</v>
      </c>
      <c r="L69" s="4" t="s">
        <v>1968</v>
      </c>
      <c r="M69" s="4" t="s">
        <v>36</v>
      </c>
      <c r="N69" s="4" t="s">
        <v>1017</v>
      </c>
      <c r="O69" s="4" t="s">
        <v>37</v>
      </c>
      <c r="P69" s="4" t="s">
        <v>37</v>
      </c>
      <c r="Q69" s="10" t="s">
        <v>76</v>
      </c>
      <c r="R69" s="4" t="str">
        <f t="shared" si="5"/>
        <v>Calle Tacna Cajamarquilla, Lurigancho, Lima, Lima, Perú</v>
      </c>
      <c r="S69" s="4">
        <v>-11.984105100000001</v>
      </c>
      <c r="T69" s="4">
        <v>-76.9183594</v>
      </c>
      <c r="U69" s="30">
        <f t="shared" si="6"/>
        <v>2.4900000000000002</v>
      </c>
      <c r="V69" s="4" t="str">
        <f t="shared" si="7"/>
        <v>🟢 Muy Cerca (0-5 km)</v>
      </c>
      <c r="W69" s="19" t="str" cm="1">
        <f t="array" ref="W69">_xlfn.LET(_xlpm.lat_emp,S69,_xlpm.lon_emp,T69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69" s="19" t="str">
        <f>_xlfn.LET(_xlpm.paradero,W69,INDEX(PARADEROS_VALIDOS!$A$2:$A$67,MATCH(_xlpm.paradero,PARADEROS_VALIDOS!$C$2:$C$67,0)))</f>
        <v>RUTA 2</v>
      </c>
      <c r="Y69" s="29" cm="1">
        <f t="array" ref="Y69">_xlfn.LET(_xlpm.lat_emp,S69,_xlpm.lon_emp,T69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1.96</v>
      </c>
      <c r="Z69" s="4" t="str">
        <f t="shared" si="8"/>
        <v>🟡 Cerca (1-3 km)</v>
      </c>
      <c r="AA69" s="4"/>
      <c r="AB69" s="4"/>
      <c r="AC69" s="49">
        <v>-11.997563</v>
      </c>
      <c r="AD69" s="49">
        <v>-76.900062000000005</v>
      </c>
      <c r="AE69" s="19" t="str">
        <f>IFERROR(VLOOKUP(C69,tdcargo[],2,FALSE),"DESCONOCIDO")</f>
        <v>OPERARIO</v>
      </c>
    </row>
    <row r="70" spans="1:31" x14ac:dyDescent="0.35">
      <c r="A70" s="8">
        <v>73295260</v>
      </c>
      <c r="B70" s="4" t="s">
        <v>2216</v>
      </c>
      <c r="C70" s="4" t="s">
        <v>1971</v>
      </c>
      <c r="D70" s="5">
        <v>45607</v>
      </c>
      <c r="E70" s="4" t="s">
        <v>31</v>
      </c>
      <c r="F70" s="4" t="s">
        <v>82</v>
      </c>
      <c r="G70" s="4" t="s">
        <v>2217</v>
      </c>
      <c r="H70" s="4" t="s">
        <v>1956</v>
      </c>
      <c r="I70" s="4" t="s">
        <v>1968</v>
      </c>
      <c r="J70" s="4" t="s">
        <v>1968</v>
      </c>
      <c r="K70" s="4" t="s">
        <v>1968</v>
      </c>
      <c r="L70" s="4" t="s">
        <v>1968</v>
      </c>
      <c r="M70" s="4" t="s">
        <v>36</v>
      </c>
      <c r="N70" s="4" t="s">
        <v>2218</v>
      </c>
      <c r="O70" s="4" t="s">
        <v>37</v>
      </c>
      <c r="P70" s="4" t="s">
        <v>37</v>
      </c>
      <c r="Q70" s="10" t="s">
        <v>76</v>
      </c>
      <c r="R70" s="4" t="str">
        <f t="shared" si="5"/>
        <v>Calle Av. Los Alamos Mz. J2 Lt. 28 Av. Los Alamos, Lurigancho, Lima, Lima, Perú</v>
      </c>
      <c r="S70" s="4">
        <v>-12.2270716</v>
      </c>
      <c r="T70" s="4">
        <v>-76.931693100000004</v>
      </c>
      <c r="U70" s="30">
        <f t="shared" si="6"/>
        <v>25.75</v>
      </c>
      <c r="V70" s="4" t="str">
        <f t="shared" si="7"/>
        <v>🔴 Lejos (&gt;20 km)</v>
      </c>
      <c r="W70" s="19" t="str" cm="1">
        <f t="array" ref="W70">_xlfn.LET(_xlpm.lat_emp,S70,_xlpm.lon_emp,T70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Av. Mariátegui con la Ruta C</v>
      </c>
      <c r="X70" s="19" t="str">
        <f>_xlfn.LET(_xlpm.paradero,W70,INDEX(PARADEROS_VALIDOS!$A$2:$A$67,MATCH(_xlpm.paradero,PARADEROS_VALIDOS!$C$2:$C$67,0)))</f>
        <v>RUTA 7</v>
      </c>
      <c r="Y70" s="29" cm="1">
        <f t="array" ref="Y70">_xlfn.LET(_xlpm.lat_emp,S70,_xlpm.lon_emp,T70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1.59</v>
      </c>
      <c r="Z70" s="4" t="str">
        <f t="shared" si="8"/>
        <v>🟡 Cerca (1-3 km)</v>
      </c>
      <c r="AA70" s="4"/>
      <c r="AB70" s="4"/>
      <c r="AC70" s="49">
        <v>-11.997563</v>
      </c>
      <c r="AD70" s="49">
        <v>-76.900062000000005</v>
      </c>
      <c r="AE70" s="19" t="str">
        <f>IFERROR(VLOOKUP(C70,tdcargo[],2,FALSE),"DESCONOCIDO")</f>
        <v>OPERARIO</v>
      </c>
    </row>
    <row r="71" spans="1:31" hidden="1" x14ac:dyDescent="0.35">
      <c r="A71" s="8">
        <v>73933582</v>
      </c>
      <c r="B71" s="4" t="s">
        <v>2219</v>
      </c>
      <c r="C71" s="4" t="s">
        <v>1971</v>
      </c>
      <c r="D71" s="5">
        <v>45719</v>
      </c>
      <c r="E71" s="4" t="s">
        <v>31</v>
      </c>
      <c r="F71" s="4" t="s">
        <v>34</v>
      </c>
      <c r="G71" s="4" t="s">
        <v>2220</v>
      </c>
      <c r="H71" s="4" t="s">
        <v>1981</v>
      </c>
      <c r="I71" s="4" t="s">
        <v>1995</v>
      </c>
      <c r="J71" s="4" t="s">
        <v>1968</v>
      </c>
      <c r="K71" s="4" t="s">
        <v>1968</v>
      </c>
      <c r="L71" s="4" t="s">
        <v>1968</v>
      </c>
      <c r="M71" s="4" t="s">
        <v>36</v>
      </c>
      <c r="N71" s="4" t="s">
        <v>2221</v>
      </c>
      <c r="O71" s="4" t="s">
        <v>37</v>
      </c>
      <c r="P71" s="4" t="s">
        <v>37</v>
      </c>
      <c r="Q71" s="10" t="s">
        <v>57</v>
      </c>
      <c r="R71" s="4" t="str">
        <f t="shared" si="5"/>
        <v>Avenida Asociacion De Vivienda Los Lirios 6, Apt. 1 Zona F, Ate, Lima, Lima, Perú</v>
      </c>
      <c r="S71" s="4">
        <v>-12.0335944</v>
      </c>
      <c r="T71" s="4">
        <v>-76.931468699999996</v>
      </c>
      <c r="U71" s="30">
        <f t="shared" si="6"/>
        <v>5.26</v>
      </c>
      <c r="V71" s="4" t="str">
        <f t="shared" si="7"/>
        <v>🟡 Cerca (5-10 km)</v>
      </c>
      <c r="W71" s="19" t="str" cm="1">
        <f t="array" ref="W71">_xlfn.LET(_xlpm.lat_emp,S71,_xlpm.lon_emp,T71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Real Plaza Puruchuco (Grifo Primax)</v>
      </c>
      <c r="X71" s="19" t="str">
        <f>_xlfn.LET(_xlpm.paradero,W71,INDEX(PARADEROS_VALIDOS!$A$2:$A$67,MATCH(_xlpm.paradero,PARADEROS_VALIDOS!$C$2:$C$67,0)))</f>
        <v>RUTA 4A</v>
      </c>
      <c r="Y71" s="29" cm="1">
        <f t="array" ref="Y71">_xlfn.LET(_xlpm.lat_emp,S71,_xlpm.lon_emp,T71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0.87</v>
      </c>
      <c r="Z71" s="4" t="str">
        <f t="shared" si="8"/>
        <v>🟢 Muy Cerca (0-1 km)</v>
      </c>
      <c r="AA71" s="4"/>
      <c r="AB71" s="4"/>
      <c r="AC71" s="49">
        <v>-11.997563</v>
      </c>
      <c r="AD71" s="49">
        <v>-76.900062000000005</v>
      </c>
      <c r="AE71" s="19" t="str">
        <f>IFERROR(VLOOKUP(C71,tdcargo[],2,FALSE),"DESCONOCIDO")</f>
        <v>OPERARIO</v>
      </c>
    </row>
    <row r="72" spans="1:31" hidden="1" x14ac:dyDescent="0.35">
      <c r="A72" s="8">
        <v>8252935</v>
      </c>
      <c r="B72" s="4" t="s">
        <v>2222</v>
      </c>
      <c r="C72" s="4" t="s">
        <v>1971</v>
      </c>
      <c r="D72" s="5">
        <v>45817</v>
      </c>
      <c r="E72" s="4" t="s">
        <v>31</v>
      </c>
      <c r="F72" s="4" t="s">
        <v>82</v>
      </c>
      <c r="G72" s="4" t="s">
        <v>2223</v>
      </c>
      <c r="H72" s="4" t="s">
        <v>2224</v>
      </c>
      <c r="I72" s="4" t="s">
        <v>1968</v>
      </c>
      <c r="J72" s="4" t="s">
        <v>2225</v>
      </c>
      <c r="K72" s="4" t="s">
        <v>1968</v>
      </c>
      <c r="L72" s="4" t="s">
        <v>1968</v>
      </c>
      <c r="M72" s="4" t="s">
        <v>36</v>
      </c>
      <c r="N72" s="4" t="s">
        <v>2226</v>
      </c>
      <c r="O72" s="4" t="s">
        <v>37</v>
      </c>
      <c r="P72" s="4" t="s">
        <v>37</v>
      </c>
      <c r="Q72" s="10" t="s">
        <v>38</v>
      </c>
      <c r="R72" s="4" t="str">
        <f t="shared" si="5"/>
        <v>Calle Basadre Este 578, Int. 503 Calle Piedra Luna, San Juan De Lurigancho, Lima, Lima, Perú</v>
      </c>
      <c r="S72" s="4">
        <v>-11.9907681</v>
      </c>
      <c r="T72" s="4">
        <v>-77.003487199999995</v>
      </c>
      <c r="U72" s="30">
        <f t="shared" si="6"/>
        <v>11.27</v>
      </c>
      <c r="V72" s="4" t="str">
        <f t="shared" si="7"/>
        <v>🟠 Moderada (10-20 km)</v>
      </c>
      <c r="W72" s="19" t="str" cm="1">
        <f t="array" ref="W72">_xlfn.LET(_xlpm.lat_emp,S72,_xlpm.lon_emp,T72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Carlos</v>
      </c>
      <c r="X72" s="19" t="str">
        <f>_xlfn.LET(_xlpm.paradero,W72,INDEX(PARADEROS_VALIDOS!$A$2:$A$67,MATCH(_xlpm.paradero,PARADEROS_VALIDOS!$C$2:$C$67,0)))</f>
        <v>RUTA 6B</v>
      </c>
      <c r="Y72" s="29" cm="1">
        <f t="array" ref="Y72">_xlfn.LET(_xlpm.lat_emp,S72,_xlpm.lon_emp,T72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0.81</v>
      </c>
      <c r="Z72" s="4" t="str">
        <f t="shared" si="8"/>
        <v>🟢 Muy Cerca (0-1 km)</v>
      </c>
      <c r="AA72" s="4"/>
      <c r="AB72" s="4"/>
      <c r="AC72" s="49">
        <v>-11.997563</v>
      </c>
      <c r="AD72" s="49">
        <v>-76.900062000000005</v>
      </c>
      <c r="AE72" s="19" t="str">
        <f>IFERROR(VLOOKUP(C72,tdcargo[],2,FALSE),"DESCONOCIDO")</f>
        <v>OPERARIO</v>
      </c>
    </row>
    <row r="73" spans="1:31" hidden="1" x14ac:dyDescent="0.35">
      <c r="A73" s="8">
        <v>10184522</v>
      </c>
      <c r="B73" s="4" t="s">
        <v>2227</v>
      </c>
      <c r="C73" s="4" t="s">
        <v>2001</v>
      </c>
      <c r="D73" s="5">
        <v>43647</v>
      </c>
      <c r="E73" s="4" t="s">
        <v>31</v>
      </c>
      <c r="F73" s="4" t="s">
        <v>36</v>
      </c>
      <c r="G73" s="4" t="s">
        <v>2228</v>
      </c>
      <c r="H73" s="4" t="s">
        <v>1956</v>
      </c>
      <c r="I73" s="4" t="s">
        <v>1968</v>
      </c>
      <c r="J73" s="4" t="s">
        <v>1968</v>
      </c>
      <c r="K73" s="4" t="s">
        <v>1968</v>
      </c>
      <c r="L73" s="4" t="s">
        <v>1968</v>
      </c>
      <c r="M73" s="4" t="s">
        <v>36</v>
      </c>
      <c r="N73" s="4" t="s">
        <v>46</v>
      </c>
      <c r="O73" s="4" t="s">
        <v>37</v>
      </c>
      <c r="P73" s="4" t="s">
        <v>37</v>
      </c>
      <c r="Q73" s="10" t="s">
        <v>57</v>
      </c>
      <c r="R73" s="4" t="str">
        <f t="shared" si="5"/>
        <v>Predro Ruiz Gallo 131 Dpto A 507 Nd, Ate, Lima, Lima, Perú</v>
      </c>
      <c r="S73" s="4">
        <v>-12.069916900000001</v>
      </c>
      <c r="T73" s="4">
        <v>-77.050295599999998</v>
      </c>
      <c r="U73" s="30">
        <f t="shared" si="6"/>
        <v>18.21</v>
      </c>
      <c r="V73" s="4" t="str">
        <f t="shared" si="7"/>
        <v>🟠 Moderada (10-20 km)</v>
      </c>
      <c r="W73" s="19" t="str" cm="1">
        <f t="array" ref="W73">_xlfn.LET(_xlpm.lat_emp,S73,_xlpm.lon_emp,T73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Rompemuelle</v>
      </c>
      <c r="X73" s="19" t="str">
        <f>_xlfn.LET(_xlpm.paradero,W73,INDEX(PARADEROS_VALIDOS!$A$2:$A$67,MATCH(_xlpm.paradero,PARADEROS_VALIDOS!$C$2:$C$67,0)))</f>
        <v>RUTA 3</v>
      </c>
      <c r="Y73" s="29" cm="1">
        <f t="array" ref="Y73">_xlfn.LET(_xlpm.lat_emp,S73,_xlpm.lon_emp,T73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2.7</v>
      </c>
      <c r="Z73" s="4" t="str">
        <f t="shared" si="8"/>
        <v>🟡 Cerca (1-3 km)</v>
      </c>
      <c r="AA73" s="4"/>
      <c r="AB73" s="4"/>
      <c r="AC73" s="49">
        <v>-11.997563</v>
      </c>
      <c r="AD73" s="49">
        <v>-76.900062000000005</v>
      </c>
      <c r="AE73" s="19" t="str">
        <f>IFERROR(VLOOKUP(C73,tdcargo[],2,FALSE),"DESCONOCIDO")</f>
        <v>OPERARIO</v>
      </c>
    </row>
    <row r="74" spans="1:31" hidden="1" x14ac:dyDescent="0.35">
      <c r="A74" s="8">
        <v>74872233</v>
      </c>
      <c r="B74" s="4" t="s">
        <v>2229</v>
      </c>
      <c r="C74" s="4" t="s">
        <v>1971</v>
      </c>
      <c r="D74" s="5">
        <v>45566</v>
      </c>
      <c r="E74" s="4" t="s">
        <v>31</v>
      </c>
      <c r="F74" s="4" t="s">
        <v>82</v>
      </c>
      <c r="G74" s="4" t="s">
        <v>2230</v>
      </c>
      <c r="H74" s="4" t="s">
        <v>1956</v>
      </c>
      <c r="I74" s="4" t="s">
        <v>1968</v>
      </c>
      <c r="J74" s="4" t="s">
        <v>2231</v>
      </c>
      <c r="K74" s="4" t="s">
        <v>1968</v>
      </c>
      <c r="L74" s="4" t="s">
        <v>1968</v>
      </c>
      <c r="M74" s="4" t="s">
        <v>1054</v>
      </c>
      <c r="N74" s="4" t="s">
        <v>2232</v>
      </c>
      <c r="O74" s="4" t="s">
        <v>37</v>
      </c>
      <c r="P74" s="4" t="s">
        <v>37</v>
      </c>
      <c r="Q74" s="10" t="s">
        <v>38</v>
      </c>
      <c r="R74" s="4" t="str">
        <f t="shared" si="5"/>
        <v>Calle 3Ra .Etapa Campoy, Int. 351, Z.I. Zona Industrial La Estacion 31, San Juan De Lurigancho, Lima, Lima, Perú</v>
      </c>
      <c r="S74" s="4">
        <v>-12.0228287</v>
      </c>
      <c r="T74" s="4">
        <v>-76.967488399999993</v>
      </c>
      <c r="U74" s="30">
        <f t="shared" si="6"/>
        <v>7.85</v>
      </c>
      <c r="V74" s="4" t="str">
        <f t="shared" si="7"/>
        <v>🟡 Cerca (5-10 km)</v>
      </c>
      <c r="W74" s="19" t="str" cm="1">
        <f t="array" ref="W74">_xlfn.LET(_xlpm.lat_emp,S74,_xlpm.lon_emp,T74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Tottus Campoy</v>
      </c>
      <c r="X74" s="19" t="str">
        <f>_xlfn.LET(_xlpm.paradero,W74,INDEX(PARADEROS_VALIDOS!$A$2:$A$67,MATCH(_xlpm.paradero,PARADEROS_VALIDOS!$C$2:$C$67,0)))</f>
        <v>RUTA 6C</v>
      </c>
      <c r="Y74" s="29" cm="1">
        <f t="array" ref="Y74">_xlfn.LET(_xlpm.lat_emp,S74,_xlpm.lon_emp,T74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0.63</v>
      </c>
      <c r="Z74" s="4" t="str">
        <f t="shared" si="8"/>
        <v>🟢 Muy Cerca (0-1 km)</v>
      </c>
      <c r="AA74" s="4"/>
      <c r="AB74" s="4"/>
      <c r="AC74" s="49">
        <v>-11.997563</v>
      </c>
      <c r="AD74" s="49">
        <v>-76.900062000000005</v>
      </c>
      <c r="AE74" s="19" t="str">
        <f>IFERROR(VLOOKUP(C74,tdcargo[],2,FALSE),"DESCONOCIDO")</f>
        <v>OPERARIO</v>
      </c>
    </row>
    <row r="75" spans="1:31" hidden="1" x14ac:dyDescent="0.35">
      <c r="A75" s="8">
        <v>46986413</v>
      </c>
      <c r="B75" s="4" t="s">
        <v>2233</v>
      </c>
      <c r="C75" s="4" t="s">
        <v>1971</v>
      </c>
      <c r="D75" s="5">
        <v>45446</v>
      </c>
      <c r="E75" s="4" t="s">
        <v>31</v>
      </c>
      <c r="F75" s="4" t="s">
        <v>36</v>
      </c>
      <c r="G75" s="4" t="s">
        <v>46</v>
      </c>
      <c r="H75" s="4" t="s">
        <v>1956</v>
      </c>
      <c r="I75" s="4" t="s">
        <v>1968</v>
      </c>
      <c r="J75" s="4" t="s">
        <v>1968</v>
      </c>
      <c r="K75" s="4" t="s">
        <v>1968</v>
      </c>
      <c r="L75" s="4" t="s">
        <v>1968</v>
      </c>
      <c r="M75" s="4" t="s">
        <v>186</v>
      </c>
      <c r="N75" s="4" t="s">
        <v>2234</v>
      </c>
      <c r="O75" s="4" t="s">
        <v>37</v>
      </c>
      <c r="P75" s="4" t="s">
        <v>37</v>
      </c>
      <c r="Q75" s="10" t="s">
        <v>1602</v>
      </c>
      <c r="R75" s="4" t="str">
        <f t="shared" si="5"/>
        <v>Nd, Urb. Urbanización Urb. Flor De Amancaes, Rimac, Lima, Lima, Perú</v>
      </c>
      <c r="S75" s="4">
        <v>-12.0104612</v>
      </c>
      <c r="T75" s="4">
        <v>-77.034463599999995</v>
      </c>
      <c r="U75" s="30">
        <f t="shared" si="6"/>
        <v>14.69</v>
      </c>
      <c r="V75" s="4" t="str">
        <f t="shared" si="7"/>
        <v>🟠 Moderada (10-20 km)</v>
      </c>
      <c r="W75" s="19" t="str" cm="1">
        <f t="array" ref="W75">_xlfn.LET(_xlpm.lat_emp,S75,_xlpm.lon_emp,T75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Mercado Las Flores</v>
      </c>
      <c r="X75" s="19" t="str">
        <f>_xlfn.LET(_xlpm.paradero,W75,INDEX(PARADEROS_VALIDOS!$A$2:$A$67,MATCH(_xlpm.paradero,PARADEROS_VALIDOS!$C$2:$C$67,0)))</f>
        <v>RUTA 8</v>
      </c>
      <c r="Y75" s="29" cm="1">
        <f t="array" ref="Y75">_xlfn.LET(_xlpm.lat_emp,S75,_xlpm.lon_emp,T75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1.84</v>
      </c>
      <c r="Z75" s="4" t="str">
        <f t="shared" si="8"/>
        <v>🟡 Cerca (1-3 km)</v>
      </c>
      <c r="AA75" s="4"/>
      <c r="AB75" s="4"/>
      <c r="AC75" s="49">
        <v>-11.997563</v>
      </c>
      <c r="AD75" s="49">
        <v>-76.900062000000005</v>
      </c>
      <c r="AE75" s="19" t="str">
        <f>IFERROR(VLOOKUP(C75,tdcargo[],2,FALSE),"DESCONOCIDO")</f>
        <v>OPERARIO</v>
      </c>
    </row>
    <row r="76" spans="1:31" hidden="1" x14ac:dyDescent="0.35">
      <c r="A76" s="8">
        <v>70700343</v>
      </c>
      <c r="B76" s="4" t="s">
        <v>2242</v>
      </c>
      <c r="C76" s="4" t="s">
        <v>1971</v>
      </c>
      <c r="D76" s="5">
        <v>45876</v>
      </c>
      <c r="E76" s="4" t="s">
        <v>31</v>
      </c>
      <c r="F76" s="4" t="s">
        <v>82</v>
      </c>
      <c r="G76" s="4" t="s">
        <v>2243</v>
      </c>
      <c r="H76" s="4" t="s">
        <v>2244</v>
      </c>
      <c r="I76" s="4" t="s">
        <v>1968</v>
      </c>
      <c r="J76" s="4" t="s">
        <v>1968</v>
      </c>
      <c r="K76" s="4" t="s">
        <v>1968</v>
      </c>
      <c r="L76" s="4" t="s">
        <v>2019</v>
      </c>
      <c r="M76" s="4" t="s">
        <v>36</v>
      </c>
      <c r="N76" s="4" t="s">
        <v>726</v>
      </c>
      <c r="O76" s="4" t="s">
        <v>37</v>
      </c>
      <c r="P76" s="4" t="s">
        <v>37</v>
      </c>
      <c r="Q76" s="10" t="s">
        <v>57</v>
      </c>
      <c r="R76" s="4" t="str">
        <f t="shared" si="5"/>
        <v>Calle Evelyn Ilda Arroyo Guzman 9320, Mz. E Zona E, Ate, Lima, Lima, Perú</v>
      </c>
      <c r="S76" s="4">
        <v>-12.0182836</v>
      </c>
      <c r="T76" s="4">
        <v>-76.823454699999999</v>
      </c>
      <c r="U76" s="30">
        <f t="shared" si="6"/>
        <v>8.64</v>
      </c>
      <c r="V76" s="4" t="str">
        <f t="shared" si="7"/>
        <v>🟡 Cerca (5-10 km)</v>
      </c>
      <c r="W76" s="19" t="str" cm="1">
        <f t="array" ref="W76">_xlfn.LET(_xlpm.lat_emp,S76,_xlpm.lon_emp,T76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76" s="19" t="str">
        <f>_xlfn.LET(_xlpm.paradero,W76,INDEX(PARADEROS_VALIDOS!$A$2:$A$67,MATCH(_xlpm.paradero,PARADEROS_VALIDOS!$C$2:$C$67,0)))</f>
        <v>RUTA 3</v>
      </c>
      <c r="Y76" s="29" cm="1">
        <f t="array" ref="Y76">_xlfn.LET(_xlpm.lat_emp,S76,_xlpm.lon_emp,T76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0.85</v>
      </c>
      <c r="Z76" s="4" t="str">
        <f t="shared" si="8"/>
        <v>🟢 Muy Cerca (0-1 km)</v>
      </c>
      <c r="AA76" s="4"/>
      <c r="AB76" s="4"/>
      <c r="AC76" s="49">
        <v>-11.997563</v>
      </c>
      <c r="AD76" s="49">
        <v>-76.900062000000005</v>
      </c>
      <c r="AE76" s="19" t="str">
        <f>IFERROR(VLOOKUP(C76,tdcargo[],2,FALSE),"DESCONOCIDO")</f>
        <v>OPERARIO</v>
      </c>
    </row>
    <row r="77" spans="1:31" hidden="1" x14ac:dyDescent="0.35">
      <c r="A77" s="8">
        <v>44559512</v>
      </c>
      <c r="B77" s="4" t="s">
        <v>2245</v>
      </c>
      <c r="C77" s="4" t="s">
        <v>1971</v>
      </c>
      <c r="D77" s="5">
        <v>45691</v>
      </c>
      <c r="E77" s="4" t="s">
        <v>31</v>
      </c>
      <c r="F77" s="4" t="s">
        <v>36</v>
      </c>
      <c r="G77" s="4" t="s">
        <v>2246</v>
      </c>
      <c r="H77" s="4" t="s">
        <v>1956</v>
      </c>
      <c r="I77" s="4" t="s">
        <v>1968</v>
      </c>
      <c r="J77" s="4" t="s">
        <v>1968</v>
      </c>
      <c r="K77" s="4" t="s">
        <v>1968</v>
      </c>
      <c r="L77" s="4" t="s">
        <v>1968</v>
      </c>
      <c r="M77" s="4" t="s">
        <v>36</v>
      </c>
      <c r="N77" s="4" t="s">
        <v>580</v>
      </c>
      <c r="O77" s="4" t="s">
        <v>37</v>
      </c>
      <c r="P77" s="4" t="s">
        <v>37</v>
      </c>
      <c r="Q77" s="10" t="s">
        <v>57</v>
      </c>
      <c r="R77" s="4" t="str">
        <f t="shared" si="5"/>
        <v>Asociacion Hijos De Apurimac Manzana V2 Lote 18-Sa Santa Clara, Ate, Lima, Lima, Perú</v>
      </c>
      <c r="S77" s="4">
        <v>-12.026398800000001</v>
      </c>
      <c r="T77" s="4">
        <v>-76.865880200000007</v>
      </c>
      <c r="U77" s="30">
        <f t="shared" si="6"/>
        <v>4.91</v>
      </c>
      <c r="V77" s="4" t="str">
        <f t="shared" si="7"/>
        <v>🟢 Muy Cerca (0-5 km)</v>
      </c>
      <c r="W77" s="19" t="str" cm="1">
        <f t="array" ref="W77">_xlfn.LET(_xlpm.lat_emp,S77,_xlpm.lon_emp,T77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la Cruz</v>
      </c>
      <c r="X77" s="19" t="str">
        <f>_xlfn.LET(_xlpm.paradero,W77,INDEX(PARADEROS_VALIDOS!$A$2:$A$67,MATCH(_xlpm.paradero,PARADEROS_VALIDOS!$C$2:$C$67,0)))</f>
        <v>RUTA 4B</v>
      </c>
      <c r="Y77" s="29" cm="1">
        <f t="array" ref="Y77">_xlfn.LET(_xlpm.lat_emp,S77,_xlpm.lon_emp,T77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2.4500000000000002</v>
      </c>
      <c r="Z77" s="4" t="str">
        <f t="shared" si="8"/>
        <v>🟡 Cerca (1-3 km)</v>
      </c>
      <c r="AA77" s="4"/>
      <c r="AB77" s="4"/>
      <c r="AC77" s="49">
        <v>-11.997563</v>
      </c>
      <c r="AD77" s="49">
        <v>-76.900062000000005</v>
      </c>
      <c r="AE77" s="19" t="str">
        <f>IFERROR(VLOOKUP(C77,tdcargo[],2,FALSE),"DESCONOCIDO")</f>
        <v>OPERARIO</v>
      </c>
    </row>
    <row r="78" spans="1:31" hidden="1" x14ac:dyDescent="0.35">
      <c r="A78" s="8">
        <v>60821089</v>
      </c>
      <c r="B78" s="4" t="s">
        <v>2247</v>
      </c>
      <c r="C78" s="4" t="s">
        <v>1971</v>
      </c>
      <c r="D78" s="5">
        <v>45761</v>
      </c>
      <c r="E78" s="4" t="s">
        <v>31</v>
      </c>
      <c r="F78" s="4" t="s">
        <v>82</v>
      </c>
      <c r="G78" s="4" t="s">
        <v>2248</v>
      </c>
      <c r="H78" s="4" t="s">
        <v>2249</v>
      </c>
      <c r="I78" s="4" t="s">
        <v>1968</v>
      </c>
      <c r="J78" s="4" t="s">
        <v>1968</v>
      </c>
      <c r="K78" s="4" t="s">
        <v>2249</v>
      </c>
      <c r="L78" s="4" t="s">
        <v>1974</v>
      </c>
      <c r="M78" s="4" t="s">
        <v>36</v>
      </c>
      <c r="N78" s="4" t="s">
        <v>3241</v>
      </c>
      <c r="O78" s="4" t="s">
        <v>37</v>
      </c>
      <c r="P78" s="4" t="s">
        <v>37</v>
      </c>
      <c r="Q78" s="10" t="s">
        <v>76</v>
      </c>
      <c r="R78" s="4" t="str">
        <f t="shared" si="5"/>
        <v>Calle Señor De La Exaltacion 23, Lote 23, Mz. B SIN ZONA, Lurigancho, Lima, Lima, Perú</v>
      </c>
      <c r="S78" s="4">
        <v>-12.067127599999999</v>
      </c>
      <c r="T78" s="4">
        <v>-77.050713500000001</v>
      </c>
      <c r="U78" s="30">
        <f t="shared" si="6"/>
        <v>18.12</v>
      </c>
      <c r="V78" s="4" t="str">
        <f t="shared" si="7"/>
        <v>🟠 Moderada (10-20 km)</v>
      </c>
      <c r="W78" s="19" t="str" cm="1">
        <f t="array" ref="W78">_xlfn.LET(_xlpm.lat_emp,S78,_xlpm.lon_emp,T78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Rompemuelle</v>
      </c>
      <c r="X78" s="19" t="str">
        <f>_xlfn.LET(_xlpm.paradero,W78,INDEX(PARADEROS_VALIDOS!$A$2:$A$67,MATCH(_xlpm.paradero,PARADEROS_VALIDOS!$C$2:$C$67,0)))</f>
        <v>RUTA 3</v>
      </c>
      <c r="Y78" s="29" cm="1">
        <f t="array" ref="Y78">_xlfn.LET(_xlpm.lat_emp,S78,_xlpm.lon_emp,T78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2.42</v>
      </c>
      <c r="Z78" s="4" t="str">
        <f t="shared" si="8"/>
        <v>🟡 Cerca (1-3 km)</v>
      </c>
      <c r="AA78" s="4"/>
      <c r="AB78" s="4"/>
      <c r="AC78" s="49">
        <v>-11.997563</v>
      </c>
      <c r="AD78" s="49">
        <v>-76.900062000000005</v>
      </c>
      <c r="AE78" s="19" t="str">
        <f>IFERROR(VLOOKUP(C78,tdcargo[],2,FALSE),"DESCONOCIDO")</f>
        <v>OPERARIO</v>
      </c>
    </row>
    <row r="79" spans="1:31" hidden="1" x14ac:dyDescent="0.35">
      <c r="A79" s="8">
        <v>61033520</v>
      </c>
      <c r="B79" s="4" t="s">
        <v>2258</v>
      </c>
      <c r="C79" s="4" t="s">
        <v>1971</v>
      </c>
      <c r="D79" s="5">
        <v>46034</v>
      </c>
      <c r="E79" s="4" t="s">
        <v>31</v>
      </c>
      <c r="F79" s="4" t="s">
        <v>82</v>
      </c>
      <c r="G79" s="4" t="s">
        <v>2259</v>
      </c>
      <c r="H79" s="4" t="s">
        <v>2003</v>
      </c>
      <c r="I79" s="4" t="s">
        <v>1986</v>
      </c>
      <c r="J79" s="4" t="s">
        <v>1968</v>
      </c>
      <c r="K79" s="4" t="s">
        <v>2053</v>
      </c>
      <c r="L79" s="4" t="s">
        <v>2184</v>
      </c>
      <c r="M79" s="4" t="s">
        <v>36</v>
      </c>
      <c r="N79" s="4" t="s">
        <v>3241</v>
      </c>
      <c r="O79" s="4" t="s">
        <v>37</v>
      </c>
      <c r="P79" s="4" t="s">
        <v>37</v>
      </c>
      <c r="Q79" s="10" t="s">
        <v>76</v>
      </c>
      <c r="R79" s="4" t="str">
        <f t="shared" si="5"/>
        <v>Calle Terrazas De Carapong 27, Apt. 20, Lote 21, Mz. P SIN ZONA, Lurigancho, Lima, Lima, Perú</v>
      </c>
      <c r="S79" s="4">
        <v>-11.9984202</v>
      </c>
      <c r="T79" s="4">
        <v>-76.854526100000001</v>
      </c>
      <c r="U79" s="30">
        <f t="shared" si="6"/>
        <v>4.95</v>
      </c>
      <c r="V79" s="4" t="str">
        <f t="shared" si="7"/>
        <v>🟢 Muy Cerca (0-5 km)</v>
      </c>
      <c r="W79" s="19" t="str" cm="1">
        <f t="array" ref="W79">_xlfn.LET(_xlpm.lat_emp,S79,_xlpm.lon_emp,T79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Gloria Grande</v>
      </c>
      <c r="X79" s="19" t="str">
        <f>_xlfn.LET(_xlpm.paradero,W79,INDEX(PARADEROS_VALIDOS!$A$2:$A$67,MATCH(_xlpm.paradero,PARADEROS_VALIDOS!$C$2:$C$67,0)))</f>
        <v>RUTA 5B</v>
      </c>
      <c r="Y79" s="29" cm="1">
        <f t="array" ref="Y79">_xlfn.LET(_xlpm.lat_emp,S79,_xlpm.lon_emp,T79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1.06</v>
      </c>
      <c r="Z79" s="4" t="str">
        <f t="shared" si="8"/>
        <v>🟡 Cerca (1-3 km)</v>
      </c>
      <c r="AA79" s="4"/>
      <c r="AB79" s="4"/>
      <c r="AC79" s="49">
        <v>-11.997563</v>
      </c>
      <c r="AD79" s="49">
        <v>-76.900062000000005</v>
      </c>
      <c r="AE79" s="19" t="str">
        <f>IFERROR(VLOOKUP(C79,tdcargo[],2,FALSE),"DESCONOCIDO")</f>
        <v>OPERARIO</v>
      </c>
    </row>
    <row r="80" spans="1:31" hidden="1" x14ac:dyDescent="0.35">
      <c r="A80" s="8">
        <v>72069904</v>
      </c>
      <c r="B80" s="4" t="s">
        <v>2260</v>
      </c>
      <c r="C80" s="4" t="s">
        <v>1971</v>
      </c>
      <c r="D80" s="5">
        <v>46034</v>
      </c>
      <c r="E80" s="4" t="s">
        <v>31</v>
      </c>
      <c r="F80" s="4" t="s">
        <v>82</v>
      </c>
      <c r="G80" s="4" t="s">
        <v>2261</v>
      </c>
      <c r="H80" s="4" t="s">
        <v>2152</v>
      </c>
      <c r="I80" s="4" t="s">
        <v>2086</v>
      </c>
      <c r="J80" s="4" t="s">
        <v>1968</v>
      </c>
      <c r="K80" s="4" t="s">
        <v>1968</v>
      </c>
      <c r="L80" s="4" t="s">
        <v>1968</v>
      </c>
      <c r="M80" s="4" t="s">
        <v>36</v>
      </c>
      <c r="N80" s="4" t="s">
        <v>3241</v>
      </c>
      <c r="O80" s="4" t="s">
        <v>37</v>
      </c>
      <c r="P80" s="4" t="s">
        <v>37</v>
      </c>
      <c r="Q80" s="10" t="s">
        <v>76</v>
      </c>
      <c r="R80" s="4" t="str">
        <f t="shared" si="5"/>
        <v>Calle Argentina 136, Apt. 9 SIN ZONA, Lurigancho, Lima, Lima, Perú</v>
      </c>
      <c r="S80" s="4">
        <v>-12.0195624</v>
      </c>
      <c r="T80" s="4">
        <v>-76.955360900000002</v>
      </c>
      <c r="U80" s="30">
        <f t="shared" si="6"/>
        <v>6.49</v>
      </c>
      <c r="V80" s="4" t="str">
        <f t="shared" si="7"/>
        <v>🟡 Cerca (5-10 km)</v>
      </c>
      <c r="W80" s="19" t="str" cm="1">
        <f t="array" ref="W80">_xlfn.LET(_xlpm.lat_emp,S80,_xlpm.lon_emp,T80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Bayóvar</v>
      </c>
      <c r="X80" s="19" t="str">
        <f>_xlfn.LET(_xlpm.paradero,W80,INDEX(PARADEROS_VALIDOS!$A$2:$A$67,MATCH(_xlpm.paradero,PARADEROS_VALIDOS!$C$2:$C$67,0)))</f>
        <v>RUTA 6A</v>
      </c>
      <c r="Y80" s="29" cm="1">
        <f t="array" ref="Y80">_xlfn.LET(_xlpm.lat_emp,S80,_xlpm.lon_emp,T80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1.28</v>
      </c>
      <c r="Z80" s="4" t="str">
        <f t="shared" si="8"/>
        <v>🟡 Cerca (1-3 km)</v>
      </c>
      <c r="AA80" s="4"/>
      <c r="AB80" s="4"/>
      <c r="AC80" s="49">
        <v>-11.997563</v>
      </c>
      <c r="AD80" s="49">
        <v>-76.900062000000005</v>
      </c>
      <c r="AE80" s="19" t="str">
        <f>IFERROR(VLOOKUP(C80,tdcargo[],2,FALSE),"DESCONOCIDO")</f>
        <v>OPERARIO</v>
      </c>
    </row>
    <row r="81" spans="1:31" hidden="1" x14ac:dyDescent="0.35">
      <c r="A81" s="8">
        <v>79176230</v>
      </c>
      <c r="B81" s="4" t="s">
        <v>2262</v>
      </c>
      <c r="C81" s="4" t="s">
        <v>1971</v>
      </c>
      <c r="D81" s="5">
        <v>46055</v>
      </c>
      <c r="E81" s="4" t="s">
        <v>31</v>
      </c>
      <c r="F81" s="4" t="s">
        <v>34</v>
      </c>
      <c r="G81" s="4" t="s">
        <v>2263</v>
      </c>
      <c r="H81" s="4" t="s">
        <v>2171</v>
      </c>
      <c r="I81" s="4" t="s">
        <v>1968</v>
      </c>
      <c r="J81" s="4" t="s">
        <v>1968</v>
      </c>
      <c r="K81" s="4" t="s">
        <v>2264</v>
      </c>
      <c r="L81" s="4" t="s">
        <v>2082</v>
      </c>
      <c r="M81" s="4" t="s">
        <v>186</v>
      </c>
      <c r="N81" s="4" t="s">
        <v>2265</v>
      </c>
      <c r="O81" s="4" t="s">
        <v>37</v>
      </c>
      <c r="P81" s="4" t="s">
        <v>37</v>
      </c>
      <c r="Q81" s="10" t="s">
        <v>57</v>
      </c>
      <c r="R81" s="4" t="str">
        <f t="shared" si="5"/>
        <v>Avenida Los Rosal Mz G Lt 8 3, Lote 8, Mz. G, Urb. Urbanización HORACIO ZEBALLOS, Ate, Lima, Lima, Perú</v>
      </c>
      <c r="S81" s="4">
        <v>-12.0343284</v>
      </c>
      <c r="T81" s="4">
        <v>-76.933467500000006</v>
      </c>
      <c r="U81" s="30">
        <f t="shared" si="6"/>
        <v>5.47</v>
      </c>
      <c r="V81" s="4" t="str">
        <f t="shared" si="7"/>
        <v>🟡 Cerca (5-10 km)</v>
      </c>
      <c r="W81" s="19" t="str" cm="1">
        <f t="array" ref="W81">_xlfn.LET(_xlpm.lat_emp,S81,_xlpm.lon_emp,T81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Real Plaza Puruchuco (Grifo Primax)</v>
      </c>
      <c r="X81" s="19" t="str">
        <f>_xlfn.LET(_xlpm.paradero,W81,INDEX(PARADEROS_VALIDOS!$A$2:$A$67,MATCH(_xlpm.paradero,PARADEROS_VALIDOS!$C$2:$C$67,0)))</f>
        <v>RUTA 4A</v>
      </c>
      <c r="Y81" s="29" cm="1">
        <f t="array" ref="Y81">_xlfn.LET(_xlpm.lat_emp,S81,_xlpm.lon_emp,T81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</v>
      </c>
      <c r="Z81" s="4" t="str">
        <f t="shared" si="8"/>
        <v>🟢 Muy Cerca (0-1 km)</v>
      </c>
      <c r="AA81" s="4"/>
      <c r="AB81" s="4"/>
      <c r="AC81" s="49">
        <v>-11.997563</v>
      </c>
      <c r="AD81" s="49">
        <v>-76.900062000000005</v>
      </c>
      <c r="AE81" s="19" t="str">
        <f>IFERROR(VLOOKUP(C81,tdcargo[],2,FALSE),"DESCONOCIDO")</f>
        <v>OPERARIO</v>
      </c>
    </row>
    <row r="82" spans="1:31" hidden="1" x14ac:dyDescent="0.35">
      <c r="A82" s="8">
        <v>70595799</v>
      </c>
      <c r="B82" s="4" t="s">
        <v>2266</v>
      </c>
      <c r="C82" s="4" t="s">
        <v>1971</v>
      </c>
      <c r="D82" s="5">
        <v>46062</v>
      </c>
      <c r="E82" s="4" t="s">
        <v>31</v>
      </c>
      <c r="F82" s="4" t="s">
        <v>82</v>
      </c>
      <c r="G82" s="4" t="s">
        <v>2267</v>
      </c>
      <c r="H82" s="4" t="s">
        <v>2268</v>
      </c>
      <c r="I82" s="4" t="s">
        <v>1968</v>
      </c>
      <c r="J82" s="4" t="s">
        <v>1968</v>
      </c>
      <c r="K82" s="4" t="s">
        <v>1968</v>
      </c>
      <c r="L82" s="4" t="s">
        <v>1968</v>
      </c>
      <c r="M82" s="4" t="s">
        <v>36</v>
      </c>
      <c r="N82" s="4" t="s">
        <v>2269</v>
      </c>
      <c r="O82" s="4" t="s">
        <v>37</v>
      </c>
      <c r="P82" s="4" t="s">
        <v>37</v>
      </c>
      <c r="Q82" s="10" t="s">
        <v>76</v>
      </c>
      <c r="R82" s="4" t="str">
        <f t="shared" si="5"/>
        <v>Calle La Nueva Ahurora 1546 SARACOTO, Lurigancho, Lima, Lima, Perú</v>
      </c>
      <c r="S82" s="4">
        <v>-11.932118300000001</v>
      </c>
      <c r="T82" s="4">
        <v>-76.694147200000003</v>
      </c>
      <c r="U82" s="30">
        <f t="shared" si="6"/>
        <v>23.55</v>
      </c>
      <c r="V82" s="4" t="str">
        <f t="shared" si="7"/>
        <v>🔴 Lejos (&gt;20 km)</v>
      </c>
      <c r="W82" s="19" t="str" cm="1">
        <f t="array" ref="W82">_xlfn.LET(_xlpm.lat_emp,S82,_xlpm.lon_emp,T82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82" s="19" t="str">
        <f>_xlfn.LET(_xlpm.paradero,W82,INDEX(PARADEROS_VALIDOS!$A$2:$A$67,MATCH(_xlpm.paradero,PARADEROS_VALIDOS!$C$2:$C$67,0)))</f>
        <v>RUTA 5A</v>
      </c>
      <c r="Y82" s="29" cm="1">
        <f t="array" ref="Y82">_xlfn.LET(_xlpm.lat_emp,S82,_xlpm.lon_emp,T82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9.85</v>
      </c>
      <c r="Z82" s="4" t="str">
        <f t="shared" si="8"/>
        <v>🔴 Lejos (&gt;5 km)</v>
      </c>
      <c r="AA82" s="4"/>
      <c r="AB82" s="4"/>
      <c r="AC82" s="49">
        <v>-11.997563</v>
      </c>
      <c r="AD82" s="49">
        <v>-76.900062000000005</v>
      </c>
      <c r="AE82" s="19" t="str">
        <f>IFERROR(VLOOKUP(C82,tdcargo[],2,FALSE),"DESCONOCIDO")</f>
        <v>OPERARIO</v>
      </c>
    </row>
    <row r="83" spans="1:31" hidden="1" x14ac:dyDescent="0.35">
      <c r="A83" s="8">
        <v>76004054</v>
      </c>
      <c r="B83" s="4" t="s">
        <v>2270</v>
      </c>
      <c r="C83" s="4" t="s">
        <v>1971</v>
      </c>
      <c r="D83" s="5">
        <v>46062</v>
      </c>
      <c r="E83" s="4" t="s">
        <v>31</v>
      </c>
      <c r="F83" s="4" t="s">
        <v>34</v>
      </c>
      <c r="G83" s="4" t="s">
        <v>2271</v>
      </c>
      <c r="H83" s="4" t="s">
        <v>2272</v>
      </c>
      <c r="I83" s="4" t="s">
        <v>1968</v>
      </c>
      <c r="J83" s="4" t="s">
        <v>1968</v>
      </c>
      <c r="K83" s="4" t="s">
        <v>1968</v>
      </c>
      <c r="L83" s="4" t="s">
        <v>1968</v>
      </c>
      <c r="M83" s="4" t="s">
        <v>36</v>
      </c>
      <c r="N83" s="4" t="s">
        <v>1910</v>
      </c>
      <c r="O83" s="4" t="s">
        <v>37</v>
      </c>
      <c r="P83" s="4" t="s">
        <v>37</v>
      </c>
      <c r="Q83" s="10" t="s">
        <v>76</v>
      </c>
      <c r="R83" s="4" t="str">
        <f t="shared" si="5"/>
        <v>Avenida Av La Paz 38B 38 HUACHIPA, Lurigancho, Lima, Lima, Perú</v>
      </c>
      <c r="S83" s="4">
        <v>-12.019496200000001</v>
      </c>
      <c r="T83" s="4">
        <v>-76.918919599999995</v>
      </c>
      <c r="U83" s="30">
        <f t="shared" si="6"/>
        <v>3.19</v>
      </c>
      <c r="V83" s="4" t="str">
        <f t="shared" si="7"/>
        <v>🟢 Muy Cerca (0-5 km)</v>
      </c>
      <c r="W83" s="19" t="str" cm="1">
        <f t="array" ref="W83">_xlfn.LET(_xlpm.lat_emp,S83,_xlpm.lon_emp,T83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Estadio Huachipa</v>
      </c>
      <c r="X83" s="19" t="str">
        <f>_xlfn.LET(_xlpm.paradero,W83,INDEX(PARADEROS_VALIDOS!$A$2:$A$67,MATCH(_xlpm.paradero,PARADEROS_VALIDOS!$C$2:$C$67,0)))</f>
        <v>RUTA 5C</v>
      </c>
      <c r="Y83" s="29" cm="1">
        <f t="array" ref="Y83">_xlfn.LET(_xlpm.lat_emp,S83,_xlpm.lon_emp,T83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0.66</v>
      </c>
      <c r="Z83" s="4" t="str">
        <f t="shared" si="8"/>
        <v>🟢 Muy Cerca (0-1 km)</v>
      </c>
      <c r="AA83" s="4"/>
      <c r="AB83" s="4"/>
      <c r="AC83" s="49">
        <v>-11.997563</v>
      </c>
      <c r="AD83" s="49">
        <v>-76.900062000000005</v>
      </c>
      <c r="AE83" s="19" t="str">
        <f>IFERROR(VLOOKUP(C83,tdcargo[],2,FALSE),"DESCONOCIDO")</f>
        <v>OPERARIO</v>
      </c>
    </row>
    <row r="84" spans="1:31" hidden="1" x14ac:dyDescent="0.35">
      <c r="A84" s="8">
        <v>44240909</v>
      </c>
      <c r="B84" s="4" t="s">
        <v>2273</v>
      </c>
      <c r="C84" s="4" t="s">
        <v>1971</v>
      </c>
      <c r="D84" s="5">
        <v>45931</v>
      </c>
      <c r="E84" s="4" t="s">
        <v>31</v>
      </c>
      <c r="F84" s="4" t="s">
        <v>34</v>
      </c>
      <c r="G84" s="4" t="s">
        <v>2274</v>
      </c>
      <c r="H84" s="4" t="s">
        <v>2249</v>
      </c>
      <c r="I84" s="4" t="s">
        <v>1968</v>
      </c>
      <c r="J84" s="4" t="s">
        <v>1968</v>
      </c>
      <c r="K84" s="4" t="s">
        <v>2275</v>
      </c>
      <c r="L84" s="4" t="s">
        <v>1968</v>
      </c>
      <c r="M84" s="4" t="s">
        <v>36</v>
      </c>
      <c r="N84" s="4" t="s">
        <v>705</v>
      </c>
      <c r="O84" s="4" t="s">
        <v>37</v>
      </c>
      <c r="P84" s="4" t="s">
        <v>37</v>
      </c>
      <c r="Q84" s="10" t="s">
        <v>57</v>
      </c>
      <c r="R84" s="4" t="str">
        <f t="shared" si="5"/>
        <v>Avenida Andres Avelino Caceres 23, Lote 32 Huaycan, Ate, Lima, Lima, Perú</v>
      </c>
      <c r="S84" s="4">
        <v>-12.0130667</v>
      </c>
      <c r="T84" s="4">
        <v>-76.819881300000006</v>
      </c>
      <c r="U84" s="30">
        <f t="shared" si="6"/>
        <v>8.89</v>
      </c>
      <c r="V84" s="4" t="str">
        <f t="shared" si="7"/>
        <v>🟡 Cerca (5-10 km)</v>
      </c>
      <c r="W84" s="19" t="str" cm="1">
        <f t="array" ref="W84">_xlfn.LET(_xlpm.lat_emp,S84,_xlpm.lon_emp,T84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84" s="19" t="str">
        <f>_xlfn.LET(_xlpm.paradero,W84,INDEX(PARADEROS_VALIDOS!$A$2:$A$67,MATCH(_xlpm.paradero,PARADEROS_VALIDOS!$C$2:$C$67,0)))</f>
        <v>RUTA 3</v>
      </c>
      <c r="Y84" s="29" cm="1">
        <f t="array" ref="Y84">_xlfn.LET(_xlpm.lat_emp,S84,_xlpm.lon_emp,T84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1.45</v>
      </c>
      <c r="Z84" s="4" t="str">
        <f t="shared" si="8"/>
        <v>🟡 Cerca (1-3 km)</v>
      </c>
      <c r="AA84" s="4"/>
      <c r="AB84" s="4"/>
      <c r="AC84" s="49">
        <v>-11.997563</v>
      </c>
      <c r="AD84" s="49">
        <v>-76.900062000000005</v>
      </c>
      <c r="AE84" s="19" t="str">
        <f>IFERROR(VLOOKUP(C84,tdcargo[],2,FALSE),"DESCONOCIDO")</f>
        <v>OPERARIO</v>
      </c>
    </row>
    <row r="85" spans="1:31" hidden="1" x14ac:dyDescent="0.35">
      <c r="A85" s="8">
        <v>71263268</v>
      </c>
      <c r="B85" s="4" t="s">
        <v>2276</v>
      </c>
      <c r="C85" s="4" t="s">
        <v>1971</v>
      </c>
      <c r="D85" s="5">
        <v>45915</v>
      </c>
      <c r="E85" s="4" t="s">
        <v>31</v>
      </c>
      <c r="F85" s="4" t="s">
        <v>82</v>
      </c>
      <c r="G85" s="4" t="s">
        <v>2277</v>
      </c>
      <c r="H85" s="4" t="s">
        <v>2278</v>
      </c>
      <c r="I85" s="4" t="s">
        <v>1968</v>
      </c>
      <c r="J85" s="4" t="s">
        <v>1996</v>
      </c>
      <c r="K85" s="4" t="s">
        <v>2279</v>
      </c>
      <c r="L85" s="4" t="s">
        <v>1968</v>
      </c>
      <c r="M85" s="4" t="s">
        <v>36</v>
      </c>
      <c r="N85" s="4" t="s">
        <v>2280</v>
      </c>
      <c r="O85" s="4" t="s">
        <v>37</v>
      </c>
      <c r="P85" s="4" t="s">
        <v>37</v>
      </c>
      <c r="Q85" s="10" t="s">
        <v>37</v>
      </c>
      <c r="R85" s="4" t="str">
        <f t="shared" si="5"/>
        <v>Calle Centinela 48 480, Int. 2, Lote 34 Villa Mangomarca, Lima, Lima, Lima, Perú</v>
      </c>
      <c r="S85" s="4">
        <v>-12.0099646</v>
      </c>
      <c r="T85" s="4">
        <v>-76.979510399999995</v>
      </c>
      <c r="U85" s="30">
        <f t="shared" si="6"/>
        <v>8.75</v>
      </c>
      <c r="V85" s="4" t="str">
        <f t="shared" si="7"/>
        <v>🟡 Cerca (5-10 km)</v>
      </c>
      <c r="W85" s="19" t="str" cm="1">
        <f t="array" ref="W85">_xlfn.LET(_xlpm.lat_emp,S85,_xlpm.lon_emp,T85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Saracoto</v>
      </c>
      <c r="X85" s="19" t="str">
        <f>_xlfn.LET(_xlpm.paradero,W85,INDEX(PARADEROS_VALIDOS!$A$2:$A$67,MATCH(_xlpm.paradero,PARADEROS_VALIDOS!$C$2:$C$67,0)))</f>
        <v>RUTA 1</v>
      </c>
      <c r="Y85" s="29" cm="1">
        <f t="array" ref="Y85">_xlfn.LET(_xlpm.lat_emp,S85,_xlpm.lon_emp,T85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0.34</v>
      </c>
      <c r="Z85" s="4" t="str">
        <f t="shared" si="8"/>
        <v>🟢 Muy Cerca (0-1 km)</v>
      </c>
      <c r="AA85" s="4"/>
      <c r="AB85" s="4"/>
      <c r="AC85" s="49">
        <v>-11.997563</v>
      </c>
      <c r="AD85" s="49">
        <v>-76.900062000000005</v>
      </c>
      <c r="AE85" s="19" t="str">
        <f>IFERROR(VLOOKUP(C85,tdcargo[],2,FALSE),"DESCONOCIDO")</f>
        <v>OPERARIO</v>
      </c>
    </row>
    <row r="86" spans="1:31" hidden="1" x14ac:dyDescent="0.35">
      <c r="A86" s="8">
        <v>71343208</v>
      </c>
      <c r="B86" s="4" t="s">
        <v>2281</v>
      </c>
      <c r="C86" s="4" t="s">
        <v>1971</v>
      </c>
      <c r="D86" s="5">
        <v>45971</v>
      </c>
      <c r="E86" s="4" t="s">
        <v>31</v>
      </c>
      <c r="F86" s="4" t="s">
        <v>36</v>
      </c>
      <c r="G86" s="4" t="s">
        <v>2282</v>
      </c>
      <c r="H86" s="4" t="s">
        <v>1956</v>
      </c>
      <c r="I86" s="4" t="s">
        <v>1968</v>
      </c>
      <c r="J86" s="4" t="s">
        <v>1968</v>
      </c>
      <c r="K86" s="4" t="s">
        <v>2283</v>
      </c>
      <c r="L86" s="4" t="s">
        <v>2284</v>
      </c>
      <c r="M86" s="4" t="s">
        <v>36</v>
      </c>
      <c r="N86" s="4" t="s">
        <v>2285</v>
      </c>
      <c r="O86" s="4" t="s">
        <v>37</v>
      </c>
      <c r="P86" s="4" t="s">
        <v>37</v>
      </c>
      <c r="Q86" s="10" t="s">
        <v>76</v>
      </c>
      <c r="R86" s="4" t="str">
        <f t="shared" si="5"/>
        <v>Antunez De Mayolo, Lote 22, Mz. Q Ciudad De Los Constr, Lurigancho, Lima, Lima, Perú</v>
      </c>
      <c r="S86" s="4">
        <v>-11.9504015</v>
      </c>
      <c r="T86" s="4">
        <v>-76.983477100000002</v>
      </c>
      <c r="U86" s="30">
        <f t="shared" si="6"/>
        <v>10.48</v>
      </c>
      <c r="V86" s="4" t="str">
        <f t="shared" si="7"/>
        <v>🟠 Moderada (10-20 km)</v>
      </c>
      <c r="W86" s="19" t="str" cm="1">
        <f t="array" ref="W86">_xlfn.LET(_xlpm.lat_emp,S86,_xlpm.lon_emp,T86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86" s="19" t="str">
        <f>_xlfn.LET(_xlpm.paradero,W86,INDEX(PARADEROS_VALIDOS!$A$2:$A$67,MATCH(_xlpm.paradero,PARADEROS_VALIDOS!$C$2:$C$67,0)))</f>
        <v>RUTA 6A</v>
      </c>
      <c r="Y86" s="29" cm="1">
        <f t="array" ref="Y86">_xlfn.LET(_xlpm.lat_emp,S86,_xlpm.lon_emp,T86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3.28</v>
      </c>
      <c r="Z86" s="4" t="str">
        <f t="shared" si="8"/>
        <v>🟠 Moderada (3-5 km)</v>
      </c>
      <c r="AA86" s="4"/>
      <c r="AB86" s="4"/>
      <c r="AC86" s="49">
        <v>-11.997563</v>
      </c>
      <c r="AD86" s="49">
        <v>-76.900062000000005</v>
      </c>
      <c r="AE86" s="19" t="str">
        <f>IFERROR(VLOOKUP(C86,tdcargo[],2,FALSE),"DESCONOCIDO")</f>
        <v>OPERARIO</v>
      </c>
    </row>
    <row r="87" spans="1:31" hidden="1" x14ac:dyDescent="0.35">
      <c r="A87" s="8">
        <v>70776390</v>
      </c>
      <c r="B87" s="4" t="s">
        <v>2286</v>
      </c>
      <c r="C87" s="4" t="s">
        <v>1971</v>
      </c>
      <c r="D87" s="5">
        <v>45964</v>
      </c>
      <c r="E87" s="4" t="s">
        <v>31</v>
      </c>
      <c r="F87" s="4" t="s">
        <v>82</v>
      </c>
      <c r="G87" s="4" t="s">
        <v>2287</v>
      </c>
      <c r="H87" s="4" t="s">
        <v>2288</v>
      </c>
      <c r="I87" s="4" t="s">
        <v>1968</v>
      </c>
      <c r="J87" s="4" t="s">
        <v>1995</v>
      </c>
      <c r="K87" s="4" t="s">
        <v>2288</v>
      </c>
      <c r="L87" s="4" t="s">
        <v>1461</v>
      </c>
      <c r="M87" s="4" t="s">
        <v>36</v>
      </c>
      <c r="N87" s="4" t="s">
        <v>2289</v>
      </c>
      <c r="O87" s="4" t="s">
        <v>37</v>
      </c>
      <c r="P87" s="4" t="s">
        <v>37</v>
      </c>
      <c r="Q87" s="10" t="s">
        <v>76</v>
      </c>
      <c r="R87" s="4" t="str">
        <f t="shared" si="5"/>
        <v>Calle Cipreses 18, Int. 1, Lote 18, Mz. C Paraiso, Lurigancho, Lima, Lima, Perú</v>
      </c>
      <c r="S87" s="4">
        <v>-12.003631199999999</v>
      </c>
      <c r="T87" s="4">
        <v>-76.873001299999999</v>
      </c>
      <c r="U87" s="30">
        <f t="shared" si="6"/>
        <v>3.02</v>
      </c>
      <c r="V87" s="4" t="str">
        <f t="shared" si="7"/>
        <v>🟢 Muy Cerca (0-5 km)</v>
      </c>
      <c r="W87" s="19" t="str" cm="1">
        <f t="array" ref="W87">_xlfn.LET(_xlpm.lat_emp,S87,_xlpm.lon_emp,T87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la Cruz</v>
      </c>
      <c r="X87" s="19" t="str">
        <f>_xlfn.LET(_xlpm.paradero,W87,INDEX(PARADEROS_VALIDOS!$A$2:$A$67,MATCH(_xlpm.paradero,PARADEROS_VALIDOS!$C$2:$C$67,0)))</f>
        <v>RUTA 4B</v>
      </c>
      <c r="Y87" s="29" cm="1">
        <f t="array" ref="Y87">_xlfn.LET(_xlpm.lat_emp,S87,_xlpm.lon_emp,T87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1.8</v>
      </c>
      <c r="Z87" s="4" t="str">
        <f t="shared" si="8"/>
        <v>🟡 Cerca (1-3 km)</v>
      </c>
      <c r="AA87" s="4"/>
      <c r="AB87" s="4"/>
      <c r="AC87" s="49">
        <v>-11.997563</v>
      </c>
      <c r="AD87" s="49">
        <v>-76.900062000000005</v>
      </c>
      <c r="AE87" s="19" t="str">
        <f>IFERROR(VLOOKUP(C87,tdcargo[],2,FALSE),"DESCONOCIDO")</f>
        <v>OPERARIO</v>
      </c>
    </row>
    <row r="88" spans="1:31" hidden="1" x14ac:dyDescent="0.35">
      <c r="A88" s="8">
        <v>72800393</v>
      </c>
      <c r="B88" s="4" t="s">
        <v>2296</v>
      </c>
      <c r="C88" s="4" t="s">
        <v>1971</v>
      </c>
      <c r="D88" s="5">
        <v>46083</v>
      </c>
      <c r="E88" s="4" t="s">
        <v>31</v>
      </c>
      <c r="F88" s="4" t="s">
        <v>82</v>
      </c>
      <c r="G88" s="4" t="s">
        <v>668</v>
      </c>
      <c r="H88" s="4" t="s">
        <v>2052</v>
      </c>
      <c r="I88" s="4" t="s">
        <v>1968</v>
      </c>
      <c r="J88" s="4" t="s">
        <v>1968</v>
      </c>
      <c r="K88" s="4" t="s">
        <v>2052</v>
      </c>
      <c r="L88" s="4" t="s">
        <v>2297</v>
      </c>
      <c r="M88" s="4" t="s">
        <v>36</v>
      </c>
      <c r="N88" s="4" t="s">
        <v>669</v>
      </c>
      <c r="O88" s="4" t="s">
        <v>37</v>
      </c>
      <c r="P88" s="4" t="s">
        <v>37</v>
      </c>
      <c r="Q88" s="10" t="s">
        <v>76</v>
      </c>
      <c r="R88" s="4" t="str">
        <f t="shared" si="5"/>
        <v>Calle Los Lirios 12, Lote 12, Mz. B1 SAN PEDRO SAN PABLO, Lurigancho, Lima, Lima, Perú</v>
      </c>
      <c r="S88" s="4">
        <v>-12.001310200000001</v>
      </c>
      <c r="T88" s="4">
        <v>-77.096490099999997</v>
      </c>
      <c r="U88" s="30">
        <f t="shared" si="6"/>
        <v>21.37</v>
      </c>
      <c r="V88" s="4" t="str">
        <f t="shared" si="7"/>
        <v>🔴 Lejos (&gt;20 km)</v>
      </c>
      <c r="W88" s="19" t="str" cm="1">
        <f t="array" ref="W88">_xlfn.LET(_xlpm.lat_emp,S88,_xlpm.lon_emp,T88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Universitaria con San German</v>
      </c>
      <c r="X88" s="19" t="str">
        <f>_xlfn.LET(_xlpm.paradero,W88,INDEX(PARADEROS_VALIDOS!$A$2:$A$67,MATCH(_xlpm.paradero,PARADEROS_VALIDOS!$C$2:$C$67,0)))</f>
        <v>RUTA 8</v>
      </c>
      <c r="Y88" s="29" cm="1">
        <f t="array" ref="Y88">_xlfn.LET(_xlpm.lat_emp,S88,_xlpm.lon_emp,T88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1.78</v>
      </c>
      <c r="Z88" s="4" t="str">
        <f t="shared" si="8"/>
        <v>🟡 Cerca (1-3 km)</v>
      </c>
      <c r="AA88" s="4"/>
      <c r="AB88" s="4"/>
      <c r="AC88" s="49">
        <v>-11.997563</v>
      </c>
      <c r="AD88" s="49">
        <v>-76.900062000000005</v>
      </c>
      <c r="AE88" s="19" t="str">
        <f>IFERROR(VLOOKUP(C88,tdcargo[],2,FALSE),"DESCONOCIDO")</f>
        <v>OPERARIO</v>
      </c>
    </row>
    <row r="89" spans="1:31" hidden="1" x14ac:dyDescent="0.35">
      <c r="A89" s="8">
        <v>76429587</v>
      </c>
      <c r="B89" s="4" t="s">
        <v>2300</v>
      </c>
      <c r="C89" s="4" t="s">
        <v>2001</v>
      </c>
      <c r="D89" s="5">
        <v>45138</v>
      </c>
      <c r="E89" s="4" t="s">
        <v>31</v>
      </c>
      <c r="F89" s="4" t="s">
        <v>53</v>
      </c>
      <c r="G89" s="4" t="s">
        <v>2301</v>
      </c>
      <c r="H89" s="4" t="s">
        <v>1956</v>
      </c>
      <c r="I89" s="4" t="s">
        <v>1968</v>
      </c>
      <c r="J89" s="4" t="s">
        <v>1968</v>
      </c>
      <c r="K89" s="4" t="s">
        <v>1968</v>
      </c>
      <c r="L89" s="4" t="s">
        <v>1968</v>
      </c>
      <c r="M89" s="4" t="s">
        <v>36</v>
      </c>
      <c r="N89" s="4" t="s">
        <v>2302</v>
      </c>
      <c r="O89" s="4" t="s">
        <v>37</v>
      </c>
      <c r="P89" s="4" t="s">
        <v>195</v>
      </c>
      <c r="Q89" s="10" t="s">
        <v>196</v>
      </c>
      <c r="R89" s="4" t="str">
        <f t="shared" si="5"/>
        <v>Jirón Jr. Jorge Chavez Mz. A Lt. 6B. Sector Norte. Cer|0 San Antonio Jicamarca, San Antonio, Huarochiri, Lima, Perú</v>
      </c>
      <c r="S89" s="4">
        <v>-11.9111859</v>
      </c>
      <c r="T89" s="4">
        <v>-76.949902800000004</v>
      </c>
      <c r="U89" s="30">
        <f t="shared" si="6"/>
        <v>11.03</v>
      </c>
      <c r="V89" s="4" t="str">
        <f t="shared" si="7"/>
        <v>🟠 Moderada (10-20 km)</v>
      </c>
      <c r="W89" s="19" t="str" cm="1">
        <f t="array" ref="W89">_xlfn.LET(_xlpm.lat_emp,S89,_xlpm.lon_emp,T89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89" s="19" t="str">
        <f>_xlfn.LET(_xlpm.paradero,W89,INDEX(PARADEROS_VALIDOS!$A$2:$A$67,MATCH(_xlpm.paradero,PARADEROS_VALIDOS!$C$2:$C$67,0)))</f>
        <v>RUTA 6A</v>
      </c>
      <c r="Y89" s="29" cm="1">
        <f t="array" ref="Y89">_xlfn.LET(_xlpm.lat_emp,S89,_xlpm.lon_emp,T89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8.9600000000000009</v>
      </c>
      <c r="Z89" s="4" t="str">
        <f t="shared" si="8"/>
        <v>🔴 Lejos (&gt;5 km)</v>
      </c>
      <c r="AA89" s="4"/>
      <c r="AB89" s="4"/>
      <c r="AC89" s="49">
        <v>-11.997563</v>
      </c>
      <c r="AD89" s="49">
        <v>-76.900062000000005</v>
      </c>
      <c r="AE89" s="19" t="str">
        <f>IFERROR(VLOOKUP(C89,tdcargo[],2,FALSE),"DESCONOCIDO")</f>
        <v>OPERARIO</v>
      </c>
    </row>
    <row r="90" spans="1:31" hidden="1" x14ac:dyDescent="0.35">
      <c r="A90" s="8">
        <v>43339829</v>
      </c>
      <c r="B90" s="4" t="s">
        <v>2303</v>
      </c>
      <c r="C90" s="4" t="s">
        <v>2001</v>
      </c>
      <c r="D90" s="5">
        <v>46072</v>
      </c>
      <c r="E90" s="4" t="s">
        <v>31</v>
      </c>
      <c r="F90" s="4" t="s">
        <v>36</v>
      </c>
      <c r="G90" s="4" t="s">
        <v>2304</v>
      </c>
      <c r="H90" s="4" t="s">
        <v>1995</v>
      </c>
      <c r="I90" s="4" t="s">
        <v>1968</v>
      </c>
      <c r="J90" s="4" t="s">
        <v>1968</v>
      </c>
      <c r="K90" s="4" t="s">
        <v>2203</v>
      </c>
      <c r="L90" s="4" t="s">
        <v>202</v>
      </c>
      <c r="M90" s="4" t="s">
        <v>36</v>
      </c>
      <c r="N90" s="4" t="s">
        <v>2305</v>
      </c>
      <c r="O90" s="4" t="s">
        <v>37</v>
      </c>
      <c r="P90" s="4" t="s">
        <v>37</v>
      </c>
      <c r="Q90" s="10" t="s">
        <v>57</v>
      </c>
      <c r="R90" s="4" t="str">
        <f t="shared" si="5"/>
        <v>Zapallanga 1, Lote 11, Mz. L ZAPALLANGA, Ate, Lima, Lima, Perú</v>
      </c>
      <c r="S90" s="4">
        <v>-12.021884099999999</v>
      </c>
      <c r="T90" s="4">
        <v>-76.875815000000003</v>
      </c>
      <c r="U90" s="30">
        <f t="shared" si="6"/>
        <v>3.78</v>
      </c>
      <c r="V90" s="4" t="str">
        <f t="shared" si="7"/>
        <v>🟢 Muy Cerca (0-5 km)</v>
      </c>
      <c r="W90" s="19" t="str" cm="1">
        <f t="array" ref="W90">_xlfn.LET(_xlpm.lat_emp,S90,_xlpm.lon_emp,T90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la Cruz</v>
      </c>
      <c r="X90" s="19" t="str">
        <f>_xlfn.LET(_xlpm.paradero,W90,INDEX(PARADEROS_VALIDOS!$A$2:$A$67,MATCH(_xlpm.paradero,PARADEROS_VALIDOS!$C$2:$C$67,0)))</f>
        <v>RUTA 4B</v>
      </c>
      <c r="Y90" s="29" cm="1">
        <f t="array" ref="Y90">_xlfn.LET(_xlpm.lat_emp,S90,_xlpm.lon_emp,T90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1.28</v>
      </c>
      <c r="Z90" s="4" t="str">
        <f t="shared" si="8"/>
        <v>🟡 Cerca (1-3 km)</v>
      </c>
      <c r="AA90" s="4"/>
      <c r="AB90" s="4"/>
      <c r="AC90" s="49">
        <v>-11.997563</v>
      </c>
      <c r="AD90" s="49">
        <v>-76.900062000000005</v>
      </c>
      <c r="AE90" s="19" t="str">
        <f>IFERROR(VLOOKUP(C90,tdcargo[],2,FALSE),"DESCONOCIDO")</f>
        <v>OPERARIO</v>
      </c>
    </row>
    <row r="91" spans="1:31" hidden="1" x14ac:dyDescent="0.35">
      <c r="A91" s="8">
        <v>43827221</v>
      </c>
      <c r="B91" s="4" t="s">
        <v>2306</v>
      </c>
      <c r="C91" s="4" t="s">
        <v>1971</v>
      </c>
      <c r="D91" s="5">
        <v>46069</v>
      </c>
      <c r="E91" s="4" t="s">
        <v>31</v>
      </c>
      <c r="F91" s="4" t="s">
        <v>36</v>
      </c>
      <c r="G91" s="4" t="s">
        <v>2307</v>
      </c>
      <c r="H91" s="4" t="s">
        <v>2308</v>
      </c>
      <c r="I91" s="4" t="s">
        <v>1968</v>
      </c>
      <c r="J91" s="4" t="s">
        <v>1968</v>
      </c>
      <c r="K91" s="4" t="s">
        <v>2003</v>
      </c>
      <c r="L91" s="4" t="s">
        <v>2309</v>
      </c>
      <c r="M91" s="4" t="s">
        <v>36</v>
      </c>
      <c r="N91" s="4" t="s">
        <v>2310</v>
      </c>
      <c r="O91" s="4" t="s">
        <v>37</v>
      </c>
      <c r="P91" s="4" t="s">
        <v>37</v>
      </c>
      <c r="Q91" s="10" t="s">
        <v>76</v>
      </c>
      <c r="R91" s="4" t="str">
        <f t="shared" si="5"/>
        <v>Sta Cruz Mz H Lt 27. 37, Lote 27, Mz. H LA CUEVA, Lurigancho, Lima, Lima, Perú</v>
      </c>
      <c r="S91" s="4">
        <v>-12.012593900000001</v>
      </c>
      <c r="T91" s="4">
        <v>-77.029778699999994</v>
      </c>
      <c r="U91" s="30">
        <f t="shared" si="6"/>
        <v>14.21</v>
      </c>
      <c r="V91" s="4" t="str">
        <f t="shared" si="7"/>
        <v>🟠 Moderada (10-20 km)</v>
      </c>
      <c r="W91" s="19" t="str" cm="1">
        <f t="array" ref="W91">_xlfn.LET(_xlpm.lat_emp,S91,_xlpm.lon_emp,T91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Mercado Las Flores</v>
      </c>
      <c r="X91" s="19" t="str">
        <f>_xlfn.LET(_xlpm.paradero,W91,INDEX(PARADEROS_VALIDOS!$A$2:$A$67,MATCH(_xlpm.paradero,PARADEROS_VALIDOS!$C$2:$C$67,0)))</f>
        <v>RUTA 8</v>
      </c>
      <c r="Y91" s="29" cm="1">
        <f t="array" ref="Y91">_xlfn.LET(_xlpm.lat_emp,S91,_xlpm.lon_emp,T91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1.5</v>
      </c>
      <c r="Z91" s="4" t="str">
        <f t="shared" si="8"/>
        <v>🟡 Cerca (1-3 km)</v>
      </c>
      <c r="AA91" s="4"/>
      <c r="AB91" s="4"/>
      <c r="AC91" s="49">
        <v>-11.997563</v>
      </c>
      <c r="AD91" s="49">
        <v>-76.900062000000005</v>
      </c>
      <c r="AE91" s="19" t="str">
        <f>IFERROR(VLOOKUP(C91,tdcargo[],2,FALSE),"DESCONOCIDO")</f>
        <v>OPERARIO</v>
      </c>
    </row>
    <row r="92" spans="1:31" hidden="1" x14ac:dyDescent="0.35">
      <c r="A92" s="8">
        <v>75090096</v>
      </c>
      <c r="B92" s="4" t="s">
        <v>2311</v>
      </c>
      <c r="C92" s="4" t="s">
        <v>1971</v>
      </c>
      <c r="D92" s="5">
        <v>46072</v>
      </c>
      <c r="E92" s="4" t="s">
        <v>31</v>
      </c>
      <c r="F92" s="4" t="s">
        <v>34</v>
      </c>
      <c r="G92" s="4" t="s">
        <v>2312</v>
      </c>
      <c r="H92" s="4" t="s">
        <v>2313</v>
      </c>
      <c r="I92" s="4" t="s">
        <v>1968</v>
      </c>
      <c r="J92" s="4" t="s">
        <v>1968</v>
      </c>
      <c r="K92" s="4" t="s">
        <v>1968</v>
      </c>
      <c r="L92" s="4" t="s">
        <v>1968</v>
      </c>
      <c r="M92" s="4" t="s">
        <v>36</v>
      </c>
      <c r="N92" s="4" t="s">
        <v>2314</v>
      </c>
      <c r="O92" s="4" t="s">
        <v>37</v>
      </c>
      <c r="P92" s="4" t="s">
        <v>37</v>
      </c>
      <c r="Q92" s="10" t="s">
        <v>57</v>
      </c>
      <c r="R92" s="4" t="str">
        <f t="shared" si="5"/>
        <v>Avenida Av.Rio Perene 601 METROPOLITANA, Ate, Lima, Lima, Perú</v>
      </c>
      <c r="S92" s="4">
        <v>-12.0326597</v>
      </c>
      <c r="T92" s="4">
        <v>-76.936268999999996</v>
      </c>
      <c r="U92" s="30">
        <f t="shared" si="6"/>
        <v>5.54</v>
      </c>
      <c r="V92" s="4" t="str">
        <f t="shared" si="7"/>
        <v>🟡 Cerca (5-10 km)</v>
      </c>
      <c r="W92" s="19" t="str" cm="1">
        <f t="array" ref="W92">_xlfn.LET(_xlpm.lat_emp,S92,_xlpm.lon_emp,T92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Real Plaza Puruchuco (Grifo Primax)</v>
      </c>
      <c r="X92" s="19" t="str">
        <f>_xlfn.LET(_xlpm.paradero,W92,INDEX(PARADEROS_VALIDOS!$A$2:$A$67,MATCH(_xlpm.paradero,PARADEROS_VALIDOS!$C$2:$C$67,0)))</f>
        <v>RUTA 4A</v>
      </c>
      <c r="Y92" s="29" cm="1">
        <f t="array" ref="Y92">_xlfn.LET(_xlpm.lat_emp,S92,_xlpm.lon_emp,T92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1.07</v>
      </c>
      <c r="Z92" s="4" t="str">
        <f t="shared" si="8"/>
        <v>🟡 Cerca (1-3 km)</v>
      </c>
      <c r="AA92" s="4"/>
      <c r="AB92" s="4"/>
      <c r="AC92" s="49">
        <v>-11.997563</v>
      </c>
      <c r="AD92" s="49">
        <v>-76.900062000000005</v>
      </c>
      <c r="AE92" s="19" t="str">
        <f>IFERROR(VLOOKUP(C92,tdcargo[],2,FALSE),"DESCONOCIDO")</f>
        <v>OPERARIO</v>
      </c>
    </row>
    <row r="93" spans="1:31" hidden="1" x14ac:dyDescent="0.35">
      <c r="A93" s="8">
        <v>76217378</v>
      </c>
      <c r="B93" s="4" t="s">
        <v>2315</v>
      </c>
      <c r="C93" s="4" t="s">
        <v>1971</v>
      </c>
      <c r="D93" s="5">
        <v>46034</v>
      </c>
      <c r="E93" s="4" t="s">
        <v>31</v>
      </c>
      <c r="F93" s="4" t="s">
        <v>82</v>
      </c>
      <c r="G93" s="4" t="s">
        <v>2316</v>
      </c>
      <c r="H93" s="4" t="s">
        <v>1956</v>
      </c>
      <c r="I93" s="4" t="s">
        <v>2114</v>
      </c>
      <c r="J93" s="4" t="s">
        <v>1968</v>
      </c>
      <c r="K93" s="4" t="s">
        <v>2288</v>
      </c>
      <c r="L93" s="4" t="s">
        <v>2082</v>
      </c>
      <c r="M93" s="4" t="s">
        <v>36</v>
      </c>
      <c r="N93" s="4" t="s">
        <v>3241</v>
      </c>
      <c r="O93" s="4" t="s">
        <v>37</v>
      </c>
      <c r="P93" s="4" t="s">
        <v>195</v>
      </c>
      <c r="Q93" s="10" t="s">
        <v>196</v>
      </c>
      <c r="R93" s="4" t="str">
        <f t="shared" si="5"/>
        <v>Calle Los Platos, Apt. 10, Lote 18, Mz. G SIN ZONA, San Antonio, Huarochiri, Lima, Perú</v>
      </c>
      <c r="S93" s="4">
        <v>-11.8289311</v>
      </c>
      <c r="T93" s="4">
        <v>-76.802893299999994</v>
      </c>
      <c r="U93" s="30">
        <f t="shared" si="6"/>
        <v>21.53</v>
      </c>
      <c r="V93" s="4" t="str">
        <f t="shared" si="7"/>
        <v>🔴 Lejos (&gt;20 km)</v>
      </c>
      <c r="W93" s="19" t="str" cm="1">
        <f t="array" ref="W93">_xlfn.LET(_xlpm.lat_emp,S93,_xlpm.lon_emp,T93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93" s="19" t="str">
        <f>_xlfn.LET(_xlpm.paradero,W93,INDEX(PARADEROS_VALIDOS!$A$2:$A$67,MATCH(_xlpm.paradero,PARADEROS_VALIDOS!$C$2:$C$67,0)))</f>
        <v>RUTA 5A</v>
      </c>
      <c r="Y93" s="29" cm="1">
        <f t="array" ref="Y93">_xlfn.LET(_xlpm.lat_emp,S93,_xlpm.lon_emp,T93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16.739999999999998</v>
      </c>
      <c r="Z93" s="4" t="str">
        <f t="shared" si="8"/>
        <v>🔴 Lejos (&gt;5 km)</v>
      </c>
      <c r="AA93" s="4"/>
      <c r="AB93" s="4"/>
      <c r="AC93" s="49">
        <v>-11.997563</v>
      </c>
      <c r="AD93" s="49">
        <v>-76.900062000000005</v>
      </c>
      <c r="AE93" s="19" t="str">
        <f>IFERROR(VLOOKUP(C93,tdcargo[],2,FALSE),"DESCONOCIDO")</f>
        <v>OPERARIO</v>
      </c>
    </row>
    <row r="94" spans="1:31" hidden="1" x14ac:dyDescent="0.35">
      <c r="A94" s="8">
        <v>72971531</v>
      </c>
      <c r="B94" s="4" t="s">
        <v>2317</v>
      </c>
      <c r="C94" s="4" t="s">
        <v>1971</v>
      </c>
      <c r="D94" s="5">
        <v>46024</v>
      </c>
      <c r="E94" s="4" t="s">
        <v>31</v>
      </c>
      <c r="F94" s="4" t="s">
        <v>82</v>
      </c>
      <c r="G94" s="4" t="s">
        <v>2318</v>
      </c>
      <c r="H94" s="4" t="s">
        <v>1956</v>
      </c>
      <c r="I94" s="4" t="s">
        <v>1968</v>
      </c>
      <c r="J94" s="4" t="s">
        <v>1968</v>
      </c>
      <c r="K94" s="4" t="s">
        <v>2118</v>
      </c>
      <c r="L94" s="4" t="s">
        <v>1278</v>
      </c>
      <c r="M94" s="4" t="s">
        <v>36</v>
      </c>
      <c r="N94" s="4" t="s">
        <v>2319</v>
      </c>
      <c r="O94" s="4" t="s">
        <v>37</v>
      </c>
      <c r="P94" s="4" t="s">
        <v>37</v>
      </c>
      <c r="Q94" s="10" t="s">
        <v>76</v>
      </c>
      <c r="R94" s="4" t="str">
        <f t="shared" si="5"/>
        <v>Calle Cruz De Huañec, Lote 5, Mz. A CRUZ DE HUAÑEC, Lurigancho, Lima, Lima, Perú</v>
      </c>
      <c r="S94" s="4">
        <v>-11.939785499999999</v>
      </c>
      <c r="T94" s="4">
        <v>-76.710160000000002</v>
      </c>
      <c r="U94" s="30">
        <f t="shared" si="6"/>
        <v>21.63</v>
      </c>
      <c r="V94" s="4" t="str">
        <f t="shared" si="7"/>
        <v>🔴 Lejos (&gt;20 km)</v>
      </c>
      <c r="W94" s="19" t="str" cm="1">
        <f t="array" ref="W94">_xlfn.LET(_xlpm.lat_emp,S94,_xlpm.lon_emp,T94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94" s="19" t="str">
        <f>_xlfn.LET(_xlpm.paradero,W94,INDEX(PARADEROS_VALIDOS!$A$2:$A$67,MATCH(_xlpm.paradero,PARADEROS_VALIDOS!$C$2:$C$67,0)))</f>
        <v>RUTA 5A</v>
      </c>
      <c r="Y94" s="29" cm="1">
        <f t="array" ref="Y94">_xlfn.LET(_xlpm.lat_emp,S94,_xlpm.lon_emp,T94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7.91</v>
      </c>
      <c r="Z94" s="4" t="str">
        <f t="shared" si="8"/>
        <v>🔴 Lejos (&gt;5 km)</v>
      </c>
      <c r="AA94" s="4"/>
      <c r="AB94" s="4"/>
      <c r="AC94" s="49">
        <v>-11.997563</v>
      </c>
      <c r="AD94" s="49">
        <v>-76.900062000000005</v>
      </c>
      <c r="AE94" s="19" t="str">
        <f>IFERROR(VLOOKUP(C94,tdcargo[],2,FALSE),"DESCONOCIDO")</f>
        <v>OPERARIO</v>
      </c>
    </row>
    <row r="95" spans="1:31" hidden="1" x14ac:dyDescent="0.35">
      <c r="A95" s="8">
        <v>42135589</v>
      </c>
      <c r="B95" s="4" t="s">
        <v>2320</v>
      </c>
      <c r="C95" s="4" t="s">
        <v>1971</v>
      </c>
      <c r="D95" s="5">
        <v>46037</v>
      </c>
      <c r="E95" s="4" t="s">
        <v>31</v>
      </c>
      <c r="F95" s="4" t="s">
        <v>34</v>
      </c>
      <c r="G95" s="4" t="s">
        <v>2321</v>
      </c>
      <c r="H95" s="4" t="s">
        <v>1956</v>
      </c>
      <c r="I95" s="4" t="s">
        <v>1968</v>
      </c>
      <c r="J95" s="4" t="s">
        <v>1968</v>
      </c>
      <c r="K95" s="4" t="s">
        <v>2322</v>
      </c>
      <c r="L95" s="4" t="s">
        <v>1968</v>
      </c>
      <c r="M95" s="4" t="s">
        <v>186</v>
      </c>
      <c r="N95" s="4" t="s">
        <v>2323</v>
      </c>
      <c r="O95" s="4" t="s">
        <v>37</v>
      </c>
      <c r="P95" s="4" t="s">
        <v>37</v>
      </c>
      <c r="Q95" s="10" t="s">
        <v>57</v>
      </c>
      <c r="R95" s="4" t="str">
        <f t="shared" si="5"/>
        <v>Avenida Casacas De Javier Pr, Lote M, Urb. Urbanización CASCADAS JAVIER PRAD, Ate, Lima, Lima, Perú</v>
      </c>
      <c r="S95" s="4">
        <v>-12.0342827</v>
      </c>
      <c r="T95" s="4">
        <v>-76.925905700000001</v>
      </c>
      <c r="U95" s="30">
        <f t="shared" si="6"/>
        <v>4.96</v>
      </c>
      <c r="V95" s="4" t="str">
        <f t="shared" si="7"/>
        <v>🟢 Muy Cerca (0-5 km)</v>
      </c>
      <c r="W95" s="19" t="str" cm="1">
        <f t="array" ref="W95">_xlfn.LET(_xlpm.lat_emp,S95,_xlpm.lon_emp,T95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Panadería Marcela (cruce de la carretera central, con Av. Jose Carlos Mariátegui)</v>
      </c>
      <c r="X95" s="19" t="str">
        <f>_xlfn.LET(_xlpm.paradero,W95,INDEX(PARADEROS_VALIDOS!$A$2:$A$67,MATCH(_xlpm.paradero,PARADEROS_VALIDOS!$C$2:$C$67,0)))</f>
        <v>RUTA 4B</v>
      </c>
      <c r="Y95" s="29" cm="1">
        <f t="array" ref="Y95">_xlfn.LET(_xlpm.lat_emp,S95,_xlpm.lon_emp,T95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1.03</v>
      </c>
      <c r="Z95" s="4" t="str">
        <f t="shared" si="8"/>
        <v>🟡 Cerca (1-3 km)</v>
      </c>
      <c r="AA95" s="4"/>
      <c r="AB95" s="4"/>
      <c r="AC95" s="49">
        <v>-11.997563</v>
      </c>
      <c r="AD95" s="49">
        <v>-76.900062000000005</v>
      </c>
      <c r="AE95" s="19" t="str">
        <f>IFERROR(VLOOKUP(C95,tdcargo[],2,FALSE),"DESCONOCIDO")</f>
        <v>OPERARIO</v>
      </c>
    </row>
    <row r="96" spans="1:31" hidden="1" x14ac:dyDescent="0.35">
      <c r="A96" s="8">
        <v>70999111</v>
      </c>
      <c r="B96" s="4" t="s">
        <v>2324</v>
      </c>
      <c r="C96" s="4" t="s">
        <v>1971</v>
      </c>
      <c r="D96" s="5">
        <v>45852</v>
      </c>
      <c r="E96" s="4" t="s">
        <v>31</v>
      </c>
      <c r="F96" s="4" t="s">
        <v>36</v>
      </c>
      <c r="G96" s="4" t="s">
        <v>2325</v>
      </c>
      <c r="H96" s="4" t="s">
        <v>2326</v>
      </c>
      <c r="I96" s="4" t="s">
        <v>1968</v>
      </c>
      <c r="J96" s="4" t="s">
        <v>1996</v>
      </c>
      <c r="K96" s="4" t="s">
        <v>1968</v>
      </c>
      <c r="L96" s="4" t="s">
        <v>1968</v>
      </c>
      <c r="M96" s="4" t="s">
        <v>36</v>
      </c>
      <c r="N96" s="4" t="s">
        <v>2327</v>
      </c>
      <c r="O96" s="4" t="s">
        <v>37</v>
      </c>
      <c r="P96" s="4" t="s">
        <v>37</v>
      </c>
      <c r="Q96" s="10" t="s">
        <v>76</v>
      </c>
      <c r="R96" s="4" t="str">
        <f t="shared" si="5"/>
        <v>Los Granates 545, Int. 2 Los Jardines, Lurigancho, Lima, Lima, Perú</v>
      </c>
      <c r="S96" s="4">
        <v>-12.0036948</v>
      </c>
      <c r="T96" s="4">
        <v>-77.000069699999997</v>
      </c>
      <c r="U96" s="30">
        <f t="shared" si="6"/>
        <v>10.9</v>
      </c>
      <c r="V96" s="4" t="str">
        <f t="shared" si="7"/>
        <v>🟠 Moderada (10-20 km)</v>
      </c>
      <c r="W96" s="19" t="str" cm="1">
        <f t="array" ref="W96">_xlfn.LET(_xlpm.lat_emp,S96,_xlpm.lon_emp,T96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Metro Hacienda</v>
      </c>
      <c r="X96" s="19" t="str">
        <f>_xlfn.LET(_xlpm.paradero,W96,INDEX(PARADEROS_VALIDOS!$A$2:$A$67,MATCH(_xlpm.paradero,PARADEROS_VALIDOS!$C$2:$C$67,0)))</f>
        <v>RUTA 6B</v>
      </c>
      <c r="Y96" s="29" cm="1">
        <f t="array" ref="Y96">_xlfn.LET(_xlpm.lat_emp,S96,_xlpm.lon_emp,T96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0.79</v>
      </c>
      <c r="Z96" s="4" t="str">
        <f t="shared" si="8"/>
        <v>🟢 Muy Cerca (0-1 km)</v>
      </c>
      <c r="AA96" s="4"/>
      <c r="AB96" s="4"/>
      <c r="AC96" s="49">
        <v>-11.997563</v>
      </c>
      <c r="AD96" s="49">
        <v>-76.900062000000005</v>
      </c>
      <c r="AE96" s="19" t="str">
        <f>IFERROR(VLOOKUP(C96,tdcargo[],2,FALSE),"DESCONOCIDO")</f>
        <v>OPERARIO</v>
      </c>
    </row>
    <row r="97" spans="1:31" hidden="1" x14ac:dyDescent="0.35">
      <c r="A97" s="8">
        <v>10502247</v>
      </c>
      <c r="B97" s="4" t="s">
        <v>2328</v>
      </c>
      <c r="C97" s="4" t="s">
        <v>1971</v>
      </c>
      <c r="D97" s="5">
        <v>44595</v>
      </c>
      <c r="E97" s="4" t="s">
        <v>31</v>
      </c>
      <c r="F97" s="4" t="s">
        <v>82</v>
      </c>
      <c r="G97" s="4" t="s">
        <v>2329</v>
      </c>
      <c r="H97" s="4" t="s">
        <v>1956</v>
      </c>
      <c r="I97" s="4" t="s">
        <v>1968</v>
      </c>
      <c r="J97" s="4" t="s">
        <v>1968</v>
      </c>
      <c r="K97" s="4" t="s">
        <v>1968</v>
      </c>
      <c r="L97" s="4" t="s">
        <v>1968</v>
      </c>
      <c r="M97" s="4" t="s">
        <v>88</v>
      </c>
      <c r="N97" s="4" t="s">
        <v>2330</v>
      </c>
      <c r="O97" s="4" t="s">
        <v>37</v>
      </c>
      <c r="P97" s="4" t="s">
        <v>37</v>
      </c>
      <c r="Q97" s="10" t="s">
        <v>57</v>
      </c>
      <c r="R97" s="4" t="str">
        <f t="shared" si="5"/>
        <v>Calle La Nueva Democracia, A.H. Asentamiento Humano Micaela Bastidas 1, Ate, Lima, Lima, Perú</v>
      </c>
      <c r="S97" s="4">
        <v>-12.0455731</v>
      </c>
      <c r="T97" s="4">
        <v>-76.930893800000007</v>
      </c>
      <c r="U97" s="30">
        <f t="shared" si="6"/>
        <v>6.3</v>
      </c>
      <c r="V97" s="4" t="str">
        <f t="shared" si="7"/>
        <v>🟡 Cerca (5-10 km)</v>
      </c>
      <c r="W97" s="19" t="str" cm="1">
        <f t="array" ref="W97">_xlfn.LET(_xlpm.lat_emp,S97,_xlpm.lon_emp,T97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Real Plaza Puruchuco (Grifo Primax)</v>
      </c>
      <c r="X97" s="19" t="str">
        <f>_xlfn.LET(_xlpm.paradero,W97,INDEX(PARADEROS_VALIDOS!$A$2:$A$67,MATCH(_xlpm.paradero,PARADEROS_VALIDOS!$C$2:$C$67,0)))</f>
        <v>RUTA 4A</v>
      </c>
      <c r="Y97" s="29" cm="1">
        <f t="array" ref="Y97">_xlfn.LET(_xlpm.lat_emp,S97,_xlpm.lon_emp,T97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0.48</v>
      </c>
      <c r="Z97" s="4" t="str">
        <f t="shared" si="8"/>
        <v>🟢 Muy Cerca (0-1 km)</v>
      </c>
      <c r="AA97" s="4"/>
      <c r="AB97" s="4"/>
      <c r="AC97" s="49">
        <v>-11.997563</v>
      </c>
      <c r="AD97" s="49">
        <v>-76.900062000000005</v>
      </c>
      <c r="AE97" s="19" t="str">
        <f>IFERROR(VLOOKUP(C97,tdcargo[],2,FALSE),"DESCONOCIDO")</f>
        <v>OPERARIO</v>
      </c>
    </row>
    <row r="98" spans="1:31" hidden="1" x14ac:dyDescent="0.35">
      <c r="A98" s="8">
        <v>47267327</v>
      </c>
      <c r="B98" s="4" t="s">
        <v>2331</v>
      </c>
      <c r="C98" s="4" t="s">
        <v>1971</v>
      </c>
      <c r="D98" s="5">
        <v>46069</v>
      </c>
      <c r="E98" s="4" t="s">
        <v>31</v>
      </c>
      <c r="F98" s="4" t="s">
        <v>34</v>
      </c>
      <c r="G98" s="4" t="s">
        <v>2332</v>
      </c>
      <c r="H98" s="4" t="s">
        <v>2118</v>
      </c>
      <c r="I98" s="4" t="s">
        <v>1968</v>
      </c>
      <c r="J98" s="4" t="s">
        <v>1968</v>
      </c>
      <c r="K98" s="4" t="s">
        <v>2118</v>
      </c>
      <c r="L98" s="4" t="s">
        <v>1278</v>
      </c>
      <c r="M98" s="4" t="s">
        <v>36</v>
      </c>
      <c r="N98" s="4" t="s">
        <v>2333</v>
      </c>
      <c r="O98" s="4" t="s">
        <v>37</v>
      </c>
      <c r="P98" s="4" t="s">
        <v>37</v>
      </c>
      <c r="Q98" s="10" t="s">
        <v>76</v>
      </c>
      <c r="R98" s="4" t="str">
        <f t="shared" ref="R98:R129" si="9">_xlfn.LET(_xlpm.parte1,TRIM(IF(F98="Otros / No aplica","",F98&amp;" ")&amp;G98&amp;IF(AND(H98&lt;&gt;"",H98&lt;&gt;"0",H98&lt;&gt;0)," "&amp;H98,"")&amp;IF(I98&lt;&gt;"",", Apt. "&amp;I98,"")&amp;IF(J98&lt;&gt;"",", Int. "&amp;J98,"")&amp;IF(AND(K98&lt;&gt;"",K98&lt;&gt;0),", Lote "&amp;K98,"")&amp;IF(L98&lt;&gt;"",", Mz. "&amp;L98,"")&amp;IF(AND(M98&lt;&gt;"",M98&lt;&gt;"Otros / No aplica"),", "&amp;M98,"")&amp;IF(AND(N98&lt;&gt;"",N98&lt;&gt;"0",N98&lt;&gt;0)," "&amp;N98,"")),_xlpm.parte2,Q98&amp;", "&amp;P98&amp;", "&amp;O98&amp;", Perú",IF(LEFT(_xlpm.parte1,1)=",",TRIM(MID(_xlpm.parte1,2,255))&amp;", "&amp;_xlpm.parte2,IF(_xlpm.parte1="",_xlpm.parte2,_xlpm.parte1&amp;", "&amp;_xlpm.parte2)))</f>
        <v>Avenida Cjamarquilla 5, Lote 5, Mz. A PROP RES. CAJAMARQUI, Lurigancho, Lima, Lima, Perú</v>
      </c>
      <c r="S98" s="4">
        <v>-11.9873932</v>
      </c>
      <c r="T98" s="4">
        <v>-76.897783700000005</v>
      </c>
      <c r="U98" s="30">
        <f t="shared" si="6"/>
        <v>1.1599999999999999</v>
      </c>
      <c r="V98" s="4" t="str">
        <f t="shared" si="7"/>
        <v>🟢 Muy Cerca (0-5 km)</v>
      </c>
      <c r="W98" s="19" t="str" cm="1">
        <f t="array" ref="W98">_xlfn.LET(_xlpm.lat_emp,S98,_xlpm.lon_emp,T98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98" s="19" t="str">
        <f>_xlfn.LET(_xlpm.paradero,W98,INDEX(PARADEROS_VALIDOS!$A$2:$A$67,MATCH(_xlpm.paradero,PARADEROS_VALIDOS!$C$2:$C$67,0)))</f>
        <v>RUTA 2</v>
      </c>
      <c r="Y98" s="29" cm="1">
        <f t="array" ref="Y98">_xlfn.LET(_xlpm.lat_emp,S98,_xlpm.lon_emp,T98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0.89</v>
      </c>
      <c r="Z98" s="4" t="str">
        <f t="shared" si="8"/>
        <v>🟢 Muy Cerca (0-1 km)</v>
      </c>
      <c r="AA98" s="4"/>
      <c r="AB98" s="4"/>
      <c r="AC98" s="49">
        <v>-11.997563</v>
      </c>
      <c r="AD98" s="49">
        <v>-76.900062000000005</v>
      </c>
      <c r="AE98" s="19" t="str">
        <f>IFERROR(VLOOKUP(C98,tdcargo[],2,FALSE),"DESCONOCIDO")</f>
        <v>OPERARIO</v>
      </c>
    </row>
    <row r="99" spans="1:31" hidden="1" x14ac:dyDescent="0.35">
      <c r="A99" s="8">
        <v>72451854</v>
      </c>
      <c r="B99" s="4" t="s">
        <v>2334</v>
      </c>
      <c r="C99" s="4" t="s">
        <v>1971</v>
      </c>
      <c r="D99" s="5">
        <v>45362</v>
      </c>
      <c r="E99" s="4" t="s">
        <v>31</v>
      </c>
      <c r="F99" s="4" t="s">
        <v>148</v>
      </c>
      <c r="G99" s="4" t="s">
        <v>2335</v>
      </c>
      <c r="H99" s="4" t="s">
        <v>1956</v>
      </c>
      <c r="I99" s="4" t="s">
        <v>1968</v>
      </c>
      <c r="J99" s="4" t="s">
        <v>1968</v>
      </c>
      <c r="K99" s="4" t="s">
        <v>1968</v>
      </c>
      <c r="L99" s="4" t="s">
        <v>1968</v>
      </c>
      <c r="M99" s="4" t="s">
        <v>36</v>
      </c>
      <c r="N99" s="4" t="s">
        <v>2336</v>
      </c>
      <c r="O99" s="4" t="s">
        <v>37</v>
      </c>
      <c r="P99" s="4" t="s">
        <v>37</v>
      </c>
      <c r="Q99" s="10" t="s">
        <v>76</v>
      </c>
      <c r="R99" s="4" t="str">
        <f t="shared" si="9"/>
        <v>Pasaje San Cristobal Mzg1 Lt4 Moyopampa, Lurigancho, Lima, Lima, Perú</v>
      </c>
      <c r="S99" s="4">
        <v>-11.9274153</v>
      </c>
      <c r="T99" s="4">
        <v>-76.688191799999998</v>
      </c>
      <c r="U99" s="30">
        <f t="shared" si="6"/>
        <v>24.33</v>
      </c>
      <c r="V99" s="4" t="str">
        <f t="shared" si="7"/>
        <v>🔴 Lejos (&gt;20 km)</v>
      </c>
      <c r="W99" s="19" t="str" cm="1">
        <f t="array" ref="W99">_xlfn.LET(_xlpm.lat_emp,S99,_xlpm.lon_emp,T99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99" s="19" t="str">
        <f>_xlfn.LET(_xlpm.paradero,W99,INDEX(PARADEROS_VALIDOS!$A$2:$A$67,MATCH(_xlpm.paradero,PARADEROS_VALIDOS!$C$2:$C$67,0)))</f>
        <v>RUTA 5A</v>
      </c>
      <c r="Y99" s="29" cm="1">
        <f t="array" ref="Y99">_xlfn.LET(_xlpm.lat_emp,S99,_xlpm.lon_emp,T99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10.67</v>
      </c>
      <c r="Z99" s="4" t="str">
        <f t="shared" si="8"/>
        <v>🔴 Lejos (&gt;5 km)</v>
      </c>
      <c r="AA99" s="4"/>
      <c r="AB99" s="4"/>
      <c r="AC99" s="49">
        <v>-11.997563</v>
      </c>
      <c r="AD99" s="49">
        <v>-76.900062000000005</v>
      </c>
      <c r="AE99" s="19" t="str">
        <f>IFERROR(VLOOKUP(C99,tdcargo[],2,FALSE),"DESCONOCIDO")</f>
        <v>OPERARIO</v>
      </c>
    </row>
    <row r="100" spans="1:31" hidden="1" x14ac:dyDescent="0.35">
      <c r="A100" s="8">
        <v>70127714</v>
      </c>
      <c r="B100" s="4" t="s">
        <v>2337</v>
      </c>
      <c r="C100" s="4" t="s">
        <v>1971</v>
      </c>
      <c r="D100" s="5">
        <v>45915</v>
      </c>
      <c r="E100" s="4" t="s">
        <v>31</v>
      </c>
      <c r="F100" s="4" t="s">
        <v>36</v>
      </c>
      <c r="G100" s="4" t="s">
        <v>2338</v>
      </c>
      <c r="H100" s="4" t="s">
        <v>1956</v>
      </c>
      <c r="I100" s="4" t="s">
        <v>1968</v>
      </c>
      <c r="J100" s="4" t="s">
        <v>1968</v>
      </c>
      <c r="K100" s="4" t="s">
        <v>2339</v>
      </c>
      <c r="L100" s="4" t="s">
        <v>2340</v>
      </c>
      <c r="M100" s="4" t="s">
        <v>36</v>
      </c>
      <c r="N100" s="4" t="s">
        <v>705</v>
      </c>
      <c r="O100" s="4" t="s">
        <v>37</v>
      </c>
      <c r="P100" s="4" t="s">
        <v>37</v>
      </c>
      <c r="Q100" s="10" t="s">
        <v>57</v>
      </c>
      <c r="R100" s="4" t="str">
        <f t="shared" si="9"/>
        <v>Sn, Lote 17, Mz. T Huaycan, Ate, Lima, Lima, Perú</v>
      </c>
      <c r="S100" s="4">
        <v>-12.0201464</v>
      </c>
      <c r="T100" s="4">
        <v>-76.8175454</v>
      </c>
      <c r="U100" s="30">
        <f t="shared" si="6"/>
        <v>9.32</v>
      </c>
      <c r="V100" s="4" t="str">
        <f t="shared" si="7"/>
        <v>🟡 Cerca (5-10 km)</v>
      </c>
      <c r="W100" s="19" t="str" cm="1">
        <f t="array" ref="W100">_xlfn.LET(_xlpm.lat_emp,S100,_xlpm.lon_emp,T100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100" s="19" t="str">
        <f>_xlfn.LET(_xlpm.paradero,W100,INDEX(PARADEROS_VALIDOS!$A$2:$A$67,MATCH(_xlpm.paradero,PARADEROS_VALIDOS!$C$2:$C$67,0)))</f>
        <v>RUTA 3</v>
      </c>
      <c r="Y100" s="29" cm="1">
        <f t="array" ref="Y100">_xlfn.LET(_xlpm.lat_emp,S100,_xlpm.lon_emp,T100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0.84</v>
      </c>
      <c r="Z100" s="4" t="str">
        <f t="shared" si="8"/>
        <v>🟢 Muy Cerca (0-1 km)</v>
      </c>
      <c r="AA100" s="4"/>
      <c r="AB100" s="4"/>
      <c r="AC100" s="49">
        <v>-11.997563</v>
      </c>
      <c r="AD100" s="49">
        <v>-76.900062000000005</v>
      </c>
      <c r="AE100" s="19" t="str">
        <f>IFERROR(VLOOKUP(C100,tdcargo[],2,FALSE),"DESCONOCIDO")</f>
        <v>OPERARIO</v>
      </c>
    </row>
    <row r="101" spans="1:31" hidden="1" x14ac:dyDescent="0.35">
      <c r="A101" s="8">
        <v>79019823</v>
      </c>
      <c r="B101" s="4" t="s">
        <v>2341</v>
      </c>
      <c r="C101" s="4" t="s">
        <v>1971</v>
      </c>
      <c r="D101" s="5">
        <v>45600</v>
      </c>
      <c r="E101" s="4" t="s">
        <v>31</v>
      </c>
      <c r="F101" s="4" t="s">
        <v>53</v>
      </c>
      <c r="G101" s="4" t="s">
        <v>2342</v>
      </c>
      <c r="H101" s="4" t="s">
        <v>1956</v>
      </c>
      <c r="I101" s="4" t="s">
        <v>1968</v>
      </c>
      <c r="J101" s="4" t="s">
        <v>1968</v>
      </c>
      <c r="K101" s="4" t="s">
        <v>1968</v>
      </c>
      <c r="L101" s="4" t="s">
        <v>1968</v>
      </c>
      <c r="M101" s="4" t="s">
        <v>36</v>
      </c>
      <c r="N101" s="4" t="s">
        <v>1956</v>
      </c>
      <c r="O101" s="4" t="s">
        <v>37</v>
      </c>
      <c r="P101" s="4" t="s">
        <v>37</v>
      </c>
      <c r="Q101" s="10" t="s">
        <v>57</v>
      </c>
      <c r="R101" s="4" t="str">
        <f t="shared" si="9"/>
        <v>Jirón Mz.Ct.7Asoc.Las Gardenias, Ate, Lima, Lima, Perú</v>
      </c>
      <c r="S101" s="4">
        <v>-12.025219999999999</v>
      </c>
      <c r="T101" s="4">
        <v>-76.945160000000001</v>
      </c>
      <c r="U101" s="30">
        <f t="shared" si="6"/>
        <v>5.79</v>
      </c>
      <c r="V101" s="4" t="str">
        <f t="shared" si="7"/>
        <v>🟡 Cerca (5-10 km)</v>
      </c>
      <c r="W101" s="19" t="str" cm="1">
        <f t="array" ref="W101">_xlfn.LET(_xlpm.lat_emp,S101,_xlpm.lon_emp,T101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Av. Huarochirí con Metropolitana</v>
      </c>
      <c r="X101" s="19" t="str">
        <f>_xlfn.LET(_xlpm.paradero,W101,INDEX(PARADEROS_VALIDOS!$A$2:$A$67,MATCH(_xlpm.paradero,PARADEROS_VALIDOS!$C$2:$C$67,0)))</f>
        <v>RUTA 4A</v>
      </c>
      <c r="Y101" s="29" cm="1">
        <f t="array" ref="Y101">_xlfn.LET(_xlpm.lat_emp,S101,_xlpm.lon_emp,T101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1.7</v>
      </c>
      <c r="Z101" s="4" t="str">
        <f t="shared" si="8"/>
        <v>🟡 Cerca (1-3 km)</v>
      </c>
      <c r="AA101" s="4"/>
      <c r="AB101" s="4"/>
      <c r="AC101" s="49">
        <v>-11.997563</v>
      </c>
      <c r="AD101" s="49">
        <v>-76.900062000000005</v>
      </c>
      <c r="AE101" s="19" t="str">
        <f>IFERROR(VLOOKUP(C101,tdcargo[],2,FALSE),"DESCONOCIDO")</f>
        <v>OPERARIO</v>
      </c>
    </row>
    <row r="102" spans="1:31" hidden="1" x14ac:dyDescent="0.35">
      <c r="A102" s="8">
        <v>44398753</v>
      </c>
      <c r="B102" s="4" t="s">
        <v>2345</v>
      </c>
      <c r="C102" s="4" t="s">
        <v>1971</v>
      </c>
      <c r="D102" s="5">
        <v>45876</v>
      </c>
      <c r="E102" s="4" t="s">
        <v>31</v>
      </c>
      <c r="F102" s="4" t="s">
        <v>82</v>
      </c>
      <c r="G102" s="4" t="s">
        <v>2346</v>
      </c>
      <c r="H102" s="4" t="s">
        <v>1956</v>
      </c>
      <c r="I102" s="4" t="s">
        <v>1968</v>
      </c>
      <c r="J102" s="4" t="s">
        <v>2347</v>
      </c>
      <c r="K102" s="4" t="s">
        <v>2052</v>
      </c>
      <c r="L102" s="4" t="s">
        <v>1861</v>
      </c>
      <c r="M102" s="4" t="s">
        <v>36</v>
      </c>
      <c r="N102" s="4" t="s">
        <v>2348</v>
      </c>
      <c r="O102" s="4" t="s">
        <v>37</v>
      </c>
      <c r="P102" s="4" t="s">
        <v>37</v>
      </c>
      <c r="Q102" s="10" t="s">
        <v>38</v>
      </c>
      <c r="R102" s="4" t="str">
        <f t="shared" si="9"/>
        <v>Calle Canto Grande, Int. 4, Lote 12, Mz. D El Arenal, San Juan De Lurigancho, Lima, Lima, Perú</v>
      </c>
      <c r="S102" s="4">
        <v>-11.9794958</v>
      </c>
      <c r="T102" s="4">
        <v>-76.987676699999994</v>
      </c>
      <c r="U102" s="30">
        <f t="shared" si="6"/>
        <v>9.74</v>
      </c>
      <c r="V102" s="4" t="str">
        <f t="shared" si="7"/>
        <v>🟡 Cerca (5-10 km)</v>
      </c>
      <c r="W102" s="19" t="str" cm="1">
        <f t="array" ref="W102">_xlfn.LET(_xlpm.lat_emp,S102,_xlpm.lon_emp,T102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102" s="19" t="str">
        <f>_xlfn.LET(_xlpm.paradero,W102,INDEX(PARADEROS_VALIDOS!$A$2:$A$67,MATCH(_xlpm.paradero,PARADEROS_VALIDOS!$C$2:$C$67,0)))</f>
        <v>RUTA 6A</v>
      </c>
      <c r="Y102" s="29" cm="1">
        <f t="array" ref="Y102">_xlfn.LET(_xlpm.lat_emp,S102,_xlpm.lon_emp,T102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1.46</v>
      </c>
      <c r="Z102" s="4" t="str">
        <f t="shared" si="8"/>
        <v>🟡 Cerca (1-3 km)</v>
      </c>
      <c r="AA102" s="4"/>
      <c r="AB102" s="4"/>
      <c r="AC102" s="49">
        <v>-11.997563</v>
      </c>
      <c r="AD102" s="49">
        <v>-76.900062000000005</v>
      </c>
      <c r="AE102" s="19" t="str">
        <f>IFERROR(VLOOKUP(C102,tdcargo[],2,FALSE),"DESCONOCIDO")</f>
        <v>OPERARIO</v>
      </c>
    </row>
    <row r="103" spans="1:31" x14ac:dyDescent="0.35">
      <c r="A103" s="8">
        <v>74865585</v>
      </c>
      <c r="B103" s="4" t="s">
        <v>2349</v>
      </c>
      <c r="C103" s="4" t="s">
        <v>1971</v>
      </c>
      <c r="D103" s="5">
        <v>45566</v>
      </c>
      <c r="E103" s="4" t="s">
        <v>31</v>
      </c>
      <c r="F103" s="4" t="s">
        <v>82</v>
      </c>
      <c r="G103" s="4" t="s">
        <v>2350</v>
      </c>
      <c r="H103" s="4" t="s">
        <v>1956</v>
      </c>
      <c r="I103" s="4" t="s">
        <v>1968</v>
      </c>
      <c r="J103" s="4" t="s">
        <v>1968</v>
      </c>
      <c r="K103" s="4" t="s">
        <v>1968</v>
      </c>
      <c r="L103" s="4" t="s">
        <v>1968</v>
      </c>
      <c r="M103" s="4" t="s">
        <v>36</v>
      </c>
      <c r="N103" s="4" t="s">
        <v>799</v>
      </c>
      <c r="O103" s="4" t="s">
        <v>37</v>
      </c>
      <c r="P103" s="4" t="s">
        <v>37</v>
      </c>
      <c r="Q103" s="10" t="s">
        <v>57</v>
      </c>
      <c r="R103" s="4" t="str">
        <f t="shared" si="9"/>
        <v>Calle Villa Jardin K, Ate, Lima, Lima, Perú</v>
      </c>
      <c r="S103" s="4">
        <v>-12.0773993</v>
      </c>
      <c r="T103" s="4">
        <v>-76.992387500000007</v>
      </c>
      <c r="U103" s="30">
        <f t="shared" si="6"/>
        <v>13.4</v>
      </c>
      <c r="V103" s="4" t="str">
        <f t="shared" si="7"/>
        <v>🟠 Moderada (10-20 km)</v>
      </c>
      <c r="W103" s="19" t="str" cm="1">
        <f t="array" ref="W103">_xlfn.LET(_xlpm.lat_emp,S103,_xlpm.lon_emp,T103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Javier Prado</v>
      </c>
      <c r="X103" s="19" t="str">
        <f>_xlfn.LET(_xlpm.paradero,W103,INDEX(PARADEROS_VALIDOS!$A$2:$A$67,MATCH(_xlpm.paradero,PARADEROS_VALIDOS!$C$2:$C$67,0)))</f>
        <v>RUTA 7</v>
      </c>
      <c r="Y103" s="29" cm="1">
        <f t="array" ref="Y103">_xlfn.LET(_xlpm.lat_emp,S103,_xlpm.lon_emp,T103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1.47</v>
      </c>
      <c r="Z103" s="4" t="str">
        <f t="shared" si="8"/>
        <v>🟡 Cerca (1-3 km)</v>
      </c>
      <c r="AA103" s="4"/>
      <c r="AB103" s="4"/>
      <c r="AC103" s="49">
        <v>-11.997563</v>
      </c>
      <c r="AD103" s="49">
        <v>-76.900062000000005</v>
      </c>
      <c r="AE103" s="19" t="str">
        <f>IFERROR(VLOOKUP(C103,tdcargo[],2,FALSE),"DESCONOCIDO")</f>
        <v>OPERARIO</v>
      </c>
    </row>
    <row r="104" spans="1:31" hidden="1" x14ac:dyDescent="0.35">
      <c r="A104" s="8">
        <v>76118088</v>
      </c>
      <c r="B104" s="4" t="s">
        <v>2351</v>
      </c>
      <c r="C104" s="4" t="s">
        <v>1971</v>
      </c>
      <c r="D104" s="5">
        <v>45719</v>
      </c>
      <c r="E104" s="4" t="s">
        <v>31</v>
      </c>
      <c r="F104" s="4" t="s">
        <v>36</v>
      </c>
      <c r="G104" s="4" t="s">
        <v>2352</v>
      </c>
      <c r="H104" s="4" t="s">
        <v>1956</v>
      </c>
      <c r="I104" s="4" t="s">
        <v>1995</v>
      </c>
      <c r="J104" s="4" t="s">
        <v>1968</v>
      </c>
      <c r="K104" s="4" t="s">
        <v>1968</v>
      </c>
      <c r="L104" s="4" t="s">
        <v>1968</v>
      </c>
      <c r="M104" s="4" t="s">
        <v>36</v>
      </c>
      <c r="N104" s="4" t="s">
        <v>2353</v>
      </c>
      <c r="O104" s="4" t="s">
        <v>37</v>
      </c>
      <c r="P104" s="4" t="s">
        <v>37</v>
      </c>
      <c r="Q104" s="10" t="s">
        <v>76</v>
      </c>
      <c r="R104" s="4" t="str">
        <f t="shared" si="9"/>
        <v>A.H El Paraiso De Cajamarquilla, Apt. 1 Av Los Lirios, Lurigancho, Lima, Lima, Perú</v>
      </c>
      <c r="S104" s="4">
        <v>-11.9759993</v>
      </c>
      <c r="T104" s="4">
        <v>-76.908344900000003</v>
      </c>
      <c r="U104" s="30">
        <f t="shared" si="6"/>
        <v>2.56</v>
      </c>
      <c r="V104" s="4" t="str">
        <f t="shared" si="7"/>
        <v>🟢 Muy Cerca (0-5 km)</v>
      </c>
      <c r="W104" s="19" t="str" cm="1">
        <f t="array" ref="W104">_xlfn.LET(_xlpm.lat_emp,S104,_xlpm.lon_emp,T104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104" s="19" t="str">
        <f>_xlfn.LET(_xlpm.paradero,W104,INDEX(PARADEROS_VALIDOS!$A$2:$A$67,MATCH(_xlpm.paradero,PARADEROS_VALIDOS!$C$2:$C$67,0)))</f>
        <v>RUTA 2</v>
      </c>
      <c r="Y104" s="29" cm="1">
        <f t="array" ref="Y104">_xlfn.LET(_xlpm.lat_emp,S104,_xlpm.lon_emp,T104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2.0299999999999998</v>
      </c>
      <c r="Z104" s="4" t="str">
        <f t="shared" si="8"/>
        <v>🟡 Cerca (1-3 km)</v>
      </c>
      <c r="AA104" s="4"/>
      <c r="AB104" s="4"/>
      <c r="AC104" s="49">
        <v>-11.997563</v>
      </c>
      <c r="AD104" s="49">
        <v>-76.900062000000005</v>
      </c>
      <c r="AE104" s="19" t="str">
        <f>IFERROR(VLOOKUP(C104,tdcargo[],2,FALSE),"DESCONOCIDO")</f>
        <v>OPERARIO</v>
      </c>
    </row>
    <row r="105" spans="1:31" hidden="1" x14ac:dyDescent="0.35">
      <c r="A105" s="8">
        <v>75735329</v>
      </c>
      <c r="B105" s="4" t="s">
        <v>2354</v>
      </c>
      <c r="C105" s="4" t="s">
        <v>1971</v>
      </c>
      <c r="D105" s="5">
        <v>45362</v>
      </c>
      <c r="E105" s="4" t="s">
        <v>31</v>
      </c>
      <c r="F105" s="4" t="s">
        <v>82</v>
      </c>
      <c r="G105" s="4" t="s">
        <v>2355</v>
      </c>
      <c r="H105" s="4" t="s">
        <v>1956</v>
      </c>
      <c r="I105" s="4" t="s">
        <v>1968</v>
      </c>
      <c r="J105" s="4" t="s">
        <v>1968</v>
      </c>
      <c r="K105" s="4" t="s">
        <v>1968</v>
      </c>
      <c r="L105" s="4" t="s">
        <v>1968</v>
      </c>
      <c r="M105" s="4" t="s">
        <v>36</v>
      </c>
      <c r="N105" s="4" t="s">
        <v>1573</v>
      </c>
      <c r="O105" s="4" t="s">
        <v>37</v>
      </c>
      <c r="P105" s="4" t="s">
        <v>37</v>
      </c>
      <c r="Q105" s="10" t="s">
        <v>76</v>
      </c>
      <c r="R105" s="4" t="str">
        <f t="shared" si="9"/>
        <v>Calle Las Poncianas Villa Esperanza, Lurigancho, Lima, Lima, Perú</v>
      </c>
      <c r="S105" s="4">
        <v>-11.966341399999999</v>
      </c>
      <c r="T105" s="4">
        <v>-76.942893900000001</v>
      </c>
      <c r="U105" s="30">
        <f t="shared" si="6"/>
        <v>5.81</v>
      </c>
      <c r="V105" s="4" t="str">
        <f t="shared" si="7"/>
        <v>🟡 Cerca (5-10 km)</v>
      </c>
      <c r="W105" s="19" t="str" cm="1">
        <f t="array" ref="W105">_xlfn.LET(_xlpm.lat_emp,S105,_xlpm.lon_emp,T105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105" s="19" t="str">
        <f>_xlfn.LET(_xlpm.paradero,W105,INDEX(PARADEROS_VALIDOS!$A$2:$A$67,MATCH(_xlpm.paradero,PARADEROS_VALIDOS!$C$2:$C$67,0)))</f>
        <v>RUTA 2</v>
      </c>
      <c r="Y105" s="29" cm="1">
        <f t="array" ref="Y105">_xlfn.LET(_xlpm.lat_emp,S105,_xlpm.lon_emp,T105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5.28</v>
      </c>
      <c r="Z105" s="4" t="str">
        <f t="shared" si="8"/>
        <v>🔴 Lejos (&gt;5 km)</v>
      </c>
      <c r="AA105" s="4"/>
      <c r="AB105" s="4"/>
      <c r="AC105" s="49">
        <v>-11.997563</v>
      </c>
      <c r="AD105" s="49">
        <v>-76.900062000000005</v>
      </c>
      <c r="AE105" s="19" t="str">
        <f>IFERROR(VLOOKUP(C105,tdcargo[],2,FALSE),"DESCONOCIDO")</f>
        <v>OPERARIO</v>
      </c>
    </row>
    <row r="106" spans="1:31" hidden="1" x14ac:dyDescent="0.35">
      <c r="A106" s="8">
        <v>70353301</v>
      </c>
      <c r="B106" s="4" t="s">
        <v>2356</v>
      </c>
      <c r="C106" s="4" t="s">
        <v>1971</v>
      </c>
      <c r="D106" s="5">
        <v>45839</v>
      </c>
      <c r="E106" s="4" t="s">
        <v>31</v>
      </c>
      <c r="F106" s="4" t="s">
        <v>36</v>
      </c>
      <c r="G106" s="4" t="s">
        <v>2357</v>
      </c>
      <c r="H106" s="4" t="s">
        <v>2358</v>
      </c>
      <c r="I106" s="4" t="s">
        <v>1968</v>
      </c>
      <c r="J106" s="4" t="s">
        <v>1968</v>
      </c>
      <c r="K106" s="4" t="s">
        <v>2288</v>
      </c>
      <c r="L106" s="4" t="s">
        <v>1968</v>
      </c>
      <c r="M106" s="4" t="s">
        <v>36</v>
      </c>
      <c r="N106" s="4" t="s">
        <v>2295</v>
      </c>
      <c r="O106" s="4" t="s">
        <v>37</v>
      </c>
      <c r="P106" s="4" t="s">
        <v>37</v>
      </c>
      <c r="Q106" s="10" t="s">
        <v>57</v>
      </c>
      <c r="R106" s="4" t="str">
        <f t="shared" si="9"/>
        <v>Ramon Castilla 504, Lote 18 No Aplica, Ate, Lima, Lima, Perú</v>
      </c>
      <c r="S106" s="4">
        <v>-12.0193487</v>
      </c>
      <c r="T106" s="4">
        <v>-76.884640599999997</v>
      </c>
      <c r="U106" s="30">
        <f t="shared" si="6"/>
        <v>2.95</v>
      </c>
      <c r="V106" s="4" t="str">
        <f t="shared" si="7"/>
        <v>🟢 Muy Cerca (0-5 km)</v>
      </c>
      <c r="W106" s="19" t="str" cm="1">
        <f t="array" ref="W106">_xlfn.LET(_xlpm.lat_emp,S106,_xlpm.lon_emp,T106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Sta. Clara</v>
      </c>
      <c r="X106" s="19" t="str">
        <f>_xlfn.LET(_xlpm.paradero,W106,INDEX(PARADEROS_VALIDOS!$A$2:$A$67,MATCH(_xlpm.paradero,PARADEROS_VALIDOS!$C$2:$C$67,0)))</f>
        <v>RUTA 5C</v>
      </c>
      <c r="Y106" s="29" cm="1">
        <f t="array" ref="Y106">_xlfn.LET(_xlpm.lat_emp,S106,_xlpm.lon_emp,T106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0.51</v>
      </c>
      <c r="Z106" s="4" t="str">
        <f t="shared" si="8"/>
        <v>🟢 Muy Cerca (0-1 km)</v>
      </c>
      <c r="AA106" s="4"/>
      <c r="AB106" s="4"/>
      <c r="AC106" s="49">
        <v>-11.997563</v>
      </c>
      <c r="AD106" s="49">
        <v>-76.900062000000005</v>
      </c>
      <c r="AE106" s="19" t="str">
        <f>IFERROR(VLOOKUP(C106,tdcargo[],2,FALSE),"DESCONOCIDO")</f>
        <v>OPERARIO</v>
      </c>
    </row>
    <row r="107" spans="1:31" hidden="1" x14ac:dyDescent="0.35">
      <c r="A107" s="8">
        <v>72725857</v>
      </c>
      <c r="B107" s="4" t="s">
        <v>2359</v>
      </c>
      <c r="C107" s="4" t="s">
        <v>1971</v>
      </c>
      <c r="D107" s="5">
        <v>45870</v>
      </c>
      <c r="E107" s="4" t="s">
        <v>31</v>
      </c>
      <c r="F107" s="4" t="s">
        <v>34</v>
      </c>
      <c r="G107" s="4" t="s">
        <v>1791</v>
      </c>
      <c r="H107" s="4" t="s">
        <v>2161</v>
      </c>
      <c r="I107" s="4" t="s">
        <v>1968</v>
      </c>
      <c r="J107" s="4" t="s">
        <v>1968</v>
      </c>
      <c r="K107" s="4" t="s">
        <v>1968</v>
      </c>
      <c r="L107" s="4" t="s">
        <v>2360</v>
      </c>
      <c r="M107" s="4" t="s">
        <v>36</v>
      </c>
      <c r="N107" s="4" t="s">
        <v>322</v>
      </c>
      <c r="O107" s="4" t="s">
        <v>37</v>
      </c>
      <c r="P107" s="4" t="s">
        <v>37</v>
      </c>
      <c r="Q107" s="10" t="s">
        <v>76</v>
      </c>
      <c r="R107" s="4" t="str">
        <f t="shared" si="9"/>
        <v>Avenida Luis Pardo 14, Mz. 15A Cerro Camote, Lurigancho, Lima, Lima, Perú</v>
      </c>
      <c r="S107" s="4">
        <v>-11.966666699999999</v>
      </c>
      <c r="T107" s="4">
        <v>-76.933333300000001</v>
      </c>
      <c r="U107" s="30">
        <f t="shared" si="6"/>
        <v>4.99</v>
      </c>
      <c r="V107" s="4" t="str">
        <f t="shared" si="7"/>
        <v>🟢 Muy Cerca (0-5 km)</v>
      </c>
      <c r="W107" s="19" t="str" cm="1">
        <f t="array" ref="W107">_xlfn.LET(_xlpm.lat_emp,S107,_xlpm.lon_emp,T107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107" s="19" t="str">
        <f>_xlfn.LET(_xlpm.paradero,W107,INDEX(PARADEROS_VALIDOS!$A$2:$A$67,MATCH(_xlpm.paradero,PARADEROS_VALIDOS!$C$2:$C$67,0)))</f>
        <v>RUTA 2</v>
      </c>
      <c r="Y107" s="29" cm="1">
        <f t="array" ref="Y107">_xlfn.LET(_xlpm.lat_emp,S107,_xlpm.lon_emp,T107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4.4400000000000004</v>
      </c>
      <c r="Z107" s="4" t="str">
        <f t="shared" si="8"/>
        <v>🟠 Moderada (3-5 km)</v>
      </c>
      <c r="AA107" s="4"/>
      <c r="AB107" s="4"/>
      <c r="AC107" s="49">
        <v>-11.997563</v>
      </c>
      <c r="AD107" s="49">
        <v>-76.900062000000005</v>
      </c>
      <c r="AE107" s="19" t="str">
        <f>IFERROR(VLOOKUP(C107,tdcargo[],2,FALSE),"DESCONOCIDO")</f>
        <v>OPERARIO</v>
      </c>
    </row>
    <row r="108" spans="1:31" hidden="1" x14ac:dyDescent="0.35">
      <c r="A108" s="8">
        <v>40498240</v>
      </c>
      <c r="B108" s="4" t="s">
        <v>2361</v>
      </c>
      <c r="C108" s="4" t="s">
        <v>2001</v>
      </c>
      <c r="D108" s="5">
        <v>41883</v>
      </c>
      <c r="E108" s="4" t="s">
        <v>31</v>
      </c>
      <c r="F108" s="4" t="s">
        <v>148</v>
      </c>
      <c r="G108" s="4" t="s">
        <v>1689</v>
      </c>
      <c r="H108" s="4" t="s">
        <v>1956</v>
      </c>
      <c r="I108" s="4" t="s">
        <v>1968</v>
      </c>
      <c r="J108" s="4" t="s">
        <v>1968</v>
      </c>
      <c r="K108" s="4" t="s">
        <v>1968</v>
      </c>
      <c r="L108" s="4" t="s">
        <v>1968</v>
      </c>
      <c r="M108" s="4" t="s">
        <v>643</v>
      </c>
      <c r="N108" s="4" t="s">
        <v>2362</v>
      </c>
      <c r="O108" s="4" t="s">
        <v>37</v>
      </c>
      <c r="P108" s="4" t="s">
        <v>37</v>
      </c>
      <c r="Q108" s="10" t="s">
        <v>76</v>
      </c>
      <c r="R108" s="4" t="str">
        <f t="shared" si="9"/>
        <v>Pasaje Las Begonias, Res. Residencial Las Praderas De Huachipa, Lurigancho, Lima, Lima, Perú</v>
      </c>
      <c r="S108" s="4">
        <v>-12.042484</v>
      </c>
      <c r="T108" s="4">
        <v>-76.921706400000005</v>
      </c>
      <c r="U108" s="30">
        <f t="shared" si="6"/>
        <v>5.52</v>
      </c>
      <c r="V108" s="4" t="str">
        <f t="shared" si="7"/>
        <v>🟡 Cerca (5-10 km)</v>
      </c>
      <c r="W108" s="19" t="str" cm="1">
        <f t="array" ref="W108">_xlfn.LET(_xlpm.lat_emp,S108,_xlpm.lon_emp,T108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Real Plaza Puruchuco (Grifo Primax)</v>
      </c>
      <c r="X108" s="19" t="str">
        <f>_xlfn.LET(_xlpm.paradero,W108,INDEX(PARADEROS_VALIDOS!$A$2:$A$67,MATCH(_xlpm.paradero,PARADEROS_VALIDOS!$C$2:$C$67,0)))</f>
        <v>RUTA 4A</v>
      </c>
      <c r="Y108" s="29" cm="1">
        <f t="array" ref="Y108">_xlfn.LET(_xlpm.lat_emp,S108,_xlpm.lon_emp,T108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1.1200000000000001</v>
      </c>
      <c r="Z108" s="4" t="str">
        <f t="shared" si="8"/>
        <v>🟡 Cerca (1-3 km)</v>
      </c>
      <c r="AA108" s="4"/>
      <c r="AB108" s="4"/>
      <c r="AC108" s="49">
        <v>-11.997563</v>
      </c>
      <c r="AD108" s="49">
        <v>-76.900062000000005</v>
      </c>
      <c r="AE108" s="19" t="str">
        <f>IFERROR(VLOOKUP(C108,tdcargo[],2,FALSE),"DESCONOCIDO")</f>
        <v>OPERARIO</v>
      </c>
    </row>
    <row r="109" spans="1:31" hidden="1" x14ac:dyDescent="0.35">
      <c r="A109" s="8">
        <v>24495944</v>
      </c>
      <c r="B109" s="4" t="s">
        <v>2367</v>
      </c>
      <c r="C109" s="4" t="s">
        <v>1971</v>
      </c>
      <c r="D109" s="5">
        <v>42240</v>
      </c>
      <c r="E109" s="4" t="s">
        <v>31</v>
      </c>
      <c r="F109" s="4" t="s">
        <v>82</v>
      </c>
      <c r="G109" s="4" t="s">
        <v>1017</v>
      </c>
      <c r="H109" s="4" t="s">
        <v>1956</v>
      </c>
      <c r="I109" s="4" t="s">
        <v>1968</v>
      </c>
      <c r="J109" s="4" t="s">
        <v>1968</v>
      </c>
      <c r="K109" s="4" t="s">
        <v>1968</v>
      </c>
      <c r="L109" s="4" t="s">
        <v>1968</v>
      </c>
      <c r="M109" s="4" t="s">
        <v>88</v>
      </c>
      <c r="N109" s="4" t="s">
        <v>1573</v>
      </c>
      <c r="O109" s="4" t="s">
        <v>37</v>
      </c>
      <c r="P109" s="4" t="s">
        <v>37</v>
      </c>
      <c r="Q109" s="10" t="s">
        <v>76</v>
      </c>
      <c r="R109" s="4" t="str">
        <f t="shared" si="9"/>
        <v>Calle Cajamarquilla, A.H. Asentamiento Humano Villa Esperanza, Lurigancho, Lima, Lima, Perú</v>
      </c>
      <c r="S109" s="4">
        <v>-11.9849046</v>
      </c>
      <c r="T109" s="4">
        <v>-76.935966699999994</v>
      </c>
      <c r="U109" s="30">
        <f t="shared" si="6"/>
        <v>4.1500000000000004</v>
      </c>
      <c r="V109" s="4" t="str">
        <f t="shared" si="7"/>
        <v>🟢 Muy Cerca (0-5 km)</v>
      </c>
      <c r="W109" s="19" t="str" cm="1">
        <f t="array" ref="W109">_xlfn.LET(_xlpm.lat_emp,S109,_xlpm.lon_emp,T109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109" s="19" t="str">
        <f>_xlfn.LET(_xlpm.paradero,W109,INDEX(PARADEROS_VALIDOS!$A$2:$A$67,MATCH(_xlpm.paradero,PARADEROS_VALIDOS!$C$2:$C$67,0)))</f>
        <v>RUTA 2</v>
      </c>
      <c r="Y109" s="29" cm="1">
        <f t="array" ref="Y109">_xlfn.LET(_xlpm.lat_emp,S109,_xlpm.lon_emp,T109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3.7</v>
      </c>
      <c r="Z109" s="4" t="str">
        <f t="shared" si="8"/>
        <v>🟠 Moderada (3-5 km)</v>
      </c>
      <c r="AA109" s="4"/>
      <c r="AB109" s="4"/>
      <c r="AC109" s="49">
        <v>-11.997563</v>
      </c>
      <c r="AD109" s="49">
        <v>-76.900062000000005</v>
      </c>
      <c r="AE109" s="19" t="str">
        <f>IFERROR(VLOOKUP(C109,tdcargo[],2,FALSE),"DESCONOCIDO")</f>
        <v>OPERARIO</v>
      </c>
    </row>
    <row r="110" spans="1:31" hidden="1" x14ac:dyDescent="0.35">
      <c r="A110" s="8">
        <v>70932385</v>
      </c>
      <c r="B110" s="4" t="s">
        <v>2368</v>
      </c>
      <c r="C110" s="4" t="s">
        <v>1971</v>
      </c>
      <c r="D110" s="5">
        <v>45607</v>
      </c>
      <c r="E110" s="4" t="s">
        <v>31</v>
      </c>
      <c r="F110" s="4" t="s">
        <v>34</v>
      </c>
      <c r="G110" s="4" t="s">
        <v>2369</v>
      </c>
      <c r="H110" s="4" t="s">
        <v>2370</v>
      </c>
      <c r="I110" s="4" t="s">
        <v>1968</v>
      </c>
      <c r="J110" s="4" t="s">
        <v>1968</v>
      </c>
      <c r="K110" s="4" t="s">
        <v>1968</v>
      </c>
      <c r="L110" s="4" t="s">
        <v>1968</v>
      </c>
      <c r="M110" s="4" t="s">
        <v>36</v>
      </c>
      <c r="N110" s="4" t="s">
        <v>2371</v>
      </c>
      <c r="O110" s="4" t="s">
        <v>37</v>
      </c>
      <c r="P110" s="4" t="s">
        <v>37</v>
      </c>
      <c r="Q110" s="10" t="s">
        <v>57</v>
      </c>
      <c r="R110" s="4" t="str">
        <f t="shared" si="9"/>
        <v>Avenida Amauta B Vitarte 45 Amauta B, Ate, Lima, Lima, Perú</v>
      </c>
      <c r="S110" s="4">
        <v>-12.0449164</v>
      </c>
      <c r="T110" s="4">
        <v>-76.9017549</v>
      </c>
      <c r="U110" s="30">
        <f t="shared" si="6"/>
        <v>5.27</v>
      </c>
      <c r="V110" s="4" t="str">
        <f t="shared" si="7"/>
        <v>🟡 Cerca (5-10 km)</v>
      </c>
      <c r="W110" s="19" t="str" cm="1">
        <f t="array" ref="W110">_xlfn.LET(_xlpm.lat_emp,S110,_xlpm.lon_emp,T110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Esperanza</v>
      </c>
      <c r="X110" s="19" t="str">
        <f>_xlfn.LET(_xlpm.paradero,W110,INDEX(PARADEROS_VALIDOS!$A$2:$A$67,MATCH(_xlpm.paradero,PARADEROS_VALIDOS!$C$2:$C$67,0)))</f>
        <v>RUTA 4B</v>
      </c>
      <c r="Y110" s="29" cm="1">
        <f t="array" ref="Y110">_xlfn.LET(_xlpm.lat_emp,S110,_xlpm.lon_emp,T110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2.63</v>
      </c>
      <c r="Z110" s="4" t="str">
        <f t="shared" si="8"/>
        <v>🟡 Cerca (1-3 km)</v>
      </c>
      <c r="AA110" s="4"/>
      <c r="AB110" s="4"/>
      <c r="AC110" s="49">
        <v>-11.997563</v>
      </c>
      <c r="AD110" s="49">
        <v>-76.900062000000005</v>
      </c>
      <c r="AE110" s="19" t="str">
        <f>IFERROR(VLOOKUP(C110,tdcargo[],2,FALSE),"DESCONOCIDO")</f>
        <v>OPERARIO</v>
      </c>
    </row>
    <row r="111" spans="1:31" hidden="1" x14ac:dyDescent="0.35">
      <c r="A111" s="8">
        <v>73942939</v>
      </c>
      <c r="B111" s="4" t="s">
        <v>2375</v>
      </c>
      <c r="C111" s="4" t="s">
        <v>1971</v>
      </c>
      <c r="D111" s="5">
        <v>45901</v>
      </c>
      <c r="E111" s="4" t="s">
        <v>31</v>
      </c>
      <c r="F111" s="4" t="s">
        <v>34</v>
      </c>
      <c r="G111" s="4" t="s">
        <v>2376</v>
      </c>
      <c r="H111" s="4" t="s">
        <v>2377</v>
      </c>
      <c r="I111" s="4" t="s">
        <v>1968</v>
      </c>
      <c r="J111" s="4" t="s">
        <v>1968</v>
      </c>
      <c r="K111" s="4" t="s">
        <v>1968</v>
      </c>
      <c r="L111" s="4" t="s">
        <v>1968</v>
      </c>
      <c r="M111" s="4" t="s">
        <v>36</v>
      </c>
      <c r="N111" s="4" t="s">
        <v>67</v>
      </c>
      <c r="O111" s="4" t="s">
        <v>37</v>
      </c>
      <c r="P111" s="4" t="s">
        <v>37</v>
      </c>
      <c r="Q111" s="10" t="s">
        <v>38</v>
      </c>
      <c r="R111" s="4" t="str">
        <f t="shared" si="9"/>
        <v>Avenida Av. Santa Rosa De Lima 1786 1786 Inca Manco Capac, San Juan De Lurigancho, Lima, Lima, Perú</v>
      </c>
      <c r="S111" s="4">
        <v>-12.000197399999999</v>
      </c>
      <c r="T111" s="4">
        <v>-76.999671899999996</v>
      </c>
      <c r="U111" s="30">
        <f t="shared" si="6"/>
        <v>10.84</v>
      </c>
      <c r="V111" s="4" t="str">
        <f t="shared" si="7"/>
        <v>🟠 Moderada (10-20 km)</v>
      </c>
      <c r="W111" s="19" t="str" cm="1">
        <f t="array" ref="W111">_xlfn.LET(_xlpm.lat_emp,S111,_xlpm.lon_emp,T111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Metro Hacienda</v>
      </c>
      <c r="X111" s="19" t="str">
        <f>_xlfn.LET(_xlpm.paradero,W111,INDEX(PARADEROS_VALIDOS!$A$2:$A$67,MATCH(_xlpm.paradero,PARADEROS_VALIDOS!$C$2:$C$67,0)))</f>
        <v>RUTA 6B</v>
      </c>
      <c r="Y111" s="29" cm="1">
        <f t="array" ref="Y111">_xlfn.LET(_xlpm.lat_emp,S111,_xlpm.lon_emp,T111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1.04</v>
      </c>
      <c r="Z111" s="4" t="str">
        <f t="shared" si="8"/>
        <v>🟡 Cerca (1-3 km)</v>
      </c>
      <c r="AA111" s="4"/>
      <c r="AB111" s="4"/>
      <c r="AC111" s="49">
        <v>-11.997563</v>
      </c>
      <c r="AD111" s="49">
        <v>-76.900062000000005</v>
      </c>
      <c r="AE111" s="19" t="str">
        <f>IFERROR(VLOOKUP(C111,tdcargo[],2,FALSE),"DESCONOCIDO")</f>
        <v>OPERARIO</v>
      </c>
    </row>
    <row r="112" spans="1:31" hidden="1" x14ac:dyDescent="0.35">
      <c r="A112" s="8">
        <v>70917912</v>
      </c>
      <c r="B112" s="4" t="s">
        <v>2378</v>
      </c>
      <c r="C112" s="4" t="s">
        <v>1971</v>
      </c>
      <c r="D112" s="5">
        <v>45705</v>
      </c>
      <c r="E112" s="4" t="s">
        <v>31</v>
      </c>
      <c r="F112" s="4" t="s">
        <v>793</v>
      </c>
      <c r="G112" s="4" t="s">
        <v>2379</v>
      </c>
      <c r="H112" s="4" t="s">
        <v>1981</v>
      </c>
      <c r="I112" s="4" t="s">
        <v>1968</v>
      </c>
      <c r="J112" s="4" t="s">
        <v>1968</v>
      </c>
      <c r="K112" s="4" t="s">
        <v>1968</v>
      </c>
      <c r="L112" s="4" t="s">
        <v>1968</v>
      </c>
      <c r="M112" s="4" t="s">
        <v>36</v>
      </c>
      <c r="N112" s="4" t="s">
        <v>2380</v>
      </c>
      <c r="O112" s="4" t="s">
        <v>37</v>
      </c>
      <c r="P112" s="4" t="s">
        <v>37</v>
      </c>
      <c r="Q112" s="10" t="s">
        <v>57</v>
      </c>
      <c r="R112" s="4" t="str">
        <f t="shared" si="9"/>
        <v>Carretera Asoc.De Vivienda Los Lirios De Huaycan 6 F, Ate, Lima, Lima, Perú</v>
      </c>
      <c r="S112" s="4">
        <v>-12.020185</v>
      </c>
      <c r="T112" s="4">
        <v>-76.817478199999996</v>
      </c>
      <c r="U112" s="30">
        <f t="shared" si="6"/>
        <v>9.33</v>
      </c>
      <c r="V112" s="4" t="str">
        <f t="shared" si="7"/>
        <v>🟡 Cerca (5-10 km)</v>
      </c>
      <c r="W112" s="19" t="str" cm="1">
        <f t="array" ref="W112">_xlfn.LET(_xlpm.lat_emp,S112,_xlpm.lon_emp,T112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112" s="19" t="str">
        <f>_xlfn.LET(_xlpm.paradero,W112,INDEX(PARADEROS_VALIDOS!$A$2:$A$67,MATCH(_xlpm.paradero,PARADEROS_VALIDOS!$C$2:$C$67,0)))</f>
        <v>RUTA 3</v>
      </c>
      <c r="Y112" s="29" cm="1">
        <f t="array" ref="Y112">_xlfn.LET(_xlpm.lat_emp,S112,_xlpm.lon_emp,T112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0.84</v>
      </c>
      <c r="Z112" s="4" t="str">
        <f t="shared" si="8"/>
        <v>🟢 Muy Cerca (0-1 km)</v>
      </c>
      <c r="AA112" s="4"/>
      <c r="AB112" s="4"/>
      <c r="AC112" s="49">
        <v>-11.997563</v>
      </c>
      <c r="AD112" s="49">
        <v>-76.900062000000005</v>
      </c>
      <c r="AE112" s="19" t="str">
        <f>IFERROR(VLOOKUP(C112,tdcargo[],2,FALSE),"DESCONOCIDO")</f>
        <v>OPERARIO</v>
      </c>
    </row>
    <row r="113" spans="1:31" hidden="1" x14ac:dyDescent="0.35">
      <c r="A113" s="8">
        <v>75211820</v>
      </c>
      <c r="B113" s="4" t="s">
        <v>2390</v>
      </c>
      <c r="C113" s="4" t="s">
        <v>1971</v>
      </c>
      <c r="D113" s="5">
        <v>46034</v>
      </c>
      <c r="E113" s="4" t="s">
        <v>31</v>
      </c>
      <c r="F113" s="4" t="s">
        <v>36</v>
      </c>
      <c r="G113" s="4" t="s">
        <v>2391</v>
      </c>
      <c r="H113" s="4" t="s">
        <v>2392</v>
      </c>
      <c r="I113" s="4" t="s">
        <v>2052</v>
      </c>
      <c r="J113" s="4" t="s">
        <v>1968</v>
      </c>
      <c r="K113" s="4" t="s">
        <v>2393</v>
      </c>
      <c r="L113" s="4" t="s">
        <v>1968</v>
      </c>
      <c r="M113" s="4" t="s">
        <v>36</v>
      </c>
      <c r="N113" s="4" t="s">
        <v>3241</v>
      </c>
      <c r="O113" s="4" t="s">
        <v>37</v>
      </c>
      <c r="P113" s="4" t="s">
        <v>37</v>
      </c>
      <c r="Q113" s="10" t="s">
        <v>57</v>
      </c>
      <c r="R113" s="4" t="str">
        <f t="shared" si="9"/>
        <v>Bodega Cindy 1104, Apt. 12, Lote 53 SIN ZONA, Ate, Lima, Lima, Perú</v>
      </c>
      <c r="S113" s="4">
        <v>-12.0299824</v>
      </c>
      <c r="T113" s="4">
        <v>-76.822675899999993</v>
      </c>
      <c r="U113" s="30">
        <f t="shared" si="6"/>
        <v>9.16</v>
      </c>
      <c r="V113" s="4" t="str">
        <f t="shared" si="7"/>
        <v>🟡 Cerca (5-10 km)</v>
      </c>
      <c r="W113" s="19" t="str" cm="1">
        <f t="array" ref="W113">_xlfn.LET(_xlpm.lat_emp,S113,_xlpm.lon_emp,T113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113" s="19" t="str">
        <f>_xlfn.LET(_xlpm.paradero,W113,INDEX(PARADEROS_VALIDOS!$A$2:$A$67,MATCH(_xlpm.paradero,PARADEROS_VALIDOS!$C$2:$C$67,0)))</f>
        <v>RUTA 3</v>
      </c>
      <c r="Y113" s="29" cm="1">
        <f t="array" ref="Y113">_xlfn.LET(_xlpm.lat_emp,S113,_xlpm.lon_emp,T113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0.46</v>
      </c>
      <c r="Z113" s="4" t="str">
        <f t="shared" si="8"/>
        <v>🟢 Muy Cerca (0-1 km)</v>
      </c>
      <c r="AA113" s="4"/>
      <c r="AB113" s="4"/>
      <c r="AC113" s="49">
        <v>-11.997563</v>
      </c>
      <c r="AD113" s="49">
        <v>-76.900062000000005</v>
      </c>
      <c r="AE113" s="19" t="str">
        <f>IFERROR(VLOOKUP(C113,tdcargo[],2,FALSE),"DESCONOCIDO")</f>
        <v>OPERARIO</v>
      </c>
    </row>
    <row r="114" spans="1:31" hidden="1" x14ac:dyDescent="0.35">
      <c r="A114" s="8">
        <v>77679396</v>
      </c>
      <c r="B114" s="4" t="s">
        <v>2394</v>
      </c>
      <c r="C114" s="4" t="s">
        <v>1971</v>
      </c>
      <c r="D114" s="5">
        <v>46034</v>
      </c>
      <c r="E114" s="4" t="s">
        <v>31</v>
      </c>
      <c r="F114" s="4" t="s">
        <v>148</v>
      </c>
      <c r="G114" s="4" t="s">
        <v>1665</v>
      </c>
      <c r="H114" s="4" t="s">
        <v>1995</v>
      </c>
      <c r="I114" s="4" t="s">
        <v>2203</v>
      </c>
      <c r="J114" s="4" t="s">
        <v>1968</v>
      </c>
      <c r="K114" s="4" t="s">
        <v>2347</v>
      </c>
      <c r="L114" s="4" t="s">
        <v>1968</v>
      </c>
      <c r="M114" s="4" t="s">
        <v>36</v>
      </c>
      <c r="N114" s="4" t="s">
        <v>3241</v>
      </c>
      <c r="O114" s="4" t="s">
        <v>37</v>
      </c>
      <c r="P114" s="4" t="s">
        <v>37</v>
      </c>
      <c r="Q114" s="10" t="s">
        <v>38</v>
      </c>
      <c r="R114" s="4" t="str">
        <f t="shared" si="9"/>
        <v>Pasaje Santa Maria 1, Apt. 11, Lote 4 SIN ZONA, San Juan De Lurigancho, Lima, Lima, Perú</v>
      </c>
      <c r="S114" s="4">
        <v>-12.017769599999999</v>
      </c>
      <c r="T114" s="4">
        <v>-77.004145899999997</v>
      </c>
      <c r="U114" s="30">
        <f t="shared" si="6"/>
        <v>11.54</v>
      </c>
      <c r="V114" s="4" t="str">
        <f t="shared" si="7"/>
        <v>🟠 Moderada (10-20 km)</v>
      </c>
      <c r="W114" s="19" t="str" cm="1">
        <f t="array" ref="W114">_xlfn.LET(_xlpm.lat_emp,S114,_xlpm.lon_emp,T114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Celima</v>
      </c>
      <c r="X114" s="19" t="str">
        <f>_xlfn.LET(_xlpm.paradero,W114,INDEX(PARADEROS_VALIDOS!$A$2:$A$67,MATCH(_xlpm.paradero,PARADEROS_VALIDOS!$C$2:$C$67,0)))</f>
        <v>RUTA 6C</v>
      </c>
      <c r="Y114" s="29" cm="1">
        <f t="array" ref="Y114">_xlfn.LET(_xlpm.lat_emp,S114,_xlpm.lon_emp,T114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0.56000000000000005</v>
      </c>
      <c r="Z114" s="4" t="str">
        <f t="shared" si="8"/>
        <v>🟢 Muy Cerca (0-1 km)</v>
      </c>
      <c r="AA114" s="4"/>
      <c r="AB114" s="4"/>
      <c r="AC114" s="49">
        <v>-11.997563</v>
      </c>
      <c r="AD114" s="49">
        <v>-76.900062000000005</v>
      </c>
      <c r="AE114" s="19" t="str">
        <f>IFERROR(VLOOKUP(C114,tdcargo[],2,FALSE),"DESCONOCIDO")</f>
        <v>OPERARIO</v>
      </c>
    </row>
    <row r="115" spans="1:31" hidden="1" x14ac:dyDescent="0.35">
      <c r="A115" s="8">
        <v>75319816</v>
      </c>
      <c r="B115" s="4" t="s">
        <v>2395</v>
      </c>
      <c r="C115" s="4" t="s">
        <v>1971</v>
      </c>
      <c r="D115" s="5">
        <v>45931</v>
      </c>
      <c r="E115" s="4" t="s">
        <v>31</v>
      </c>
      <c r="F115" s="4" t="s">
        <v>36</v>
      </c>
      <c r="G115" s="4" t="s">
        <v>2396</v>
      </c>
      <c r="H115" s="4" t="s">
        <v>1956</v>
      </c>
      <c r="I115" s="4" t="s">
        <v>1968</v>
      </c>
      <c r="J115" s="4" t="s">
        <v>1968</v>
      </c>
      <c r="K115" s="4" t="s">
        <v>2308</v>
      </c>
      <c r="L115" s="4" t="s">
        <v>799</v>
      </c>
      <c r="M115" s="4" t="s">
        <v>36</v>
      </c>
      <c r="N115" s="4" t="s">
        <v>2397</v>
      </c>
      <c r="O115" s="4" t="s">
        <v>37</v>
      </c>
      <c r="P115" s="4" t="s">
        <v>37</v>
      </c>
      <c r="Q115" s="10" t="s">
        <v>57</v>
      </c>
      <c r="R115" s="4" t="str">
        <f t="shared" si="9"/>
        <v>El Lucumo Ate Vitarte, Lote 37, Mz. K El Lucumo, Ate, Lima, Lima, Perú</v>
      </c>
      <c r="S115" s="4">
        <v>-12.008165099999999</v>
      </c>
      <c r="T115" s="4">
        <v>-76.829569800000002</v>
      </c>
      <c r="U115" s="30">
        <f t="shared" si="6"/>
        <v>7.76</v>
      </c>
      <c r="V115" s="4" t="str">
        <f t="shared" si="7"/>
        <v>🟡 Cerca (5-10 km)</v>
      </c>
      <c r="W115" s="19" t="str" cm="1">
        <f t="array" ref="W115">_xlfn.LET(_xlpm.lat_emp,S115,_xlpm.lon_emp,T115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Huaycán</v>
      </c>
      <c r="X115" s="19" t="str">
        <f>_xlfn.LET(_xlpm.paradero,W115,INDEX(PARADEROS_VALIDOS!$A$2:$A$67,MATCH(_xlpm.paradero,PARADEROS_VALIDOS!$C$2:$C$67,0)))</f>
        <v>RUTA 5B</v>
      </c>
      <c r="Y115" s="29" cm="1">
        <f t="array" ref="Y115">_xlfn.LET(_xlpm.lat_emp,S115,_xlpm.lon_emp,T115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1.3</v>
      </c>
      <c r="Z115" s="4" t="str">
        <f t="shared" si="8"/>
        <v>🟡 Cerca (1-3 km)</v>
      </c>
      <c r="AA115" s="4"/>
      <c r="AB115" s="4"/>
      <c r="AC115" s="49">
        <v>-11.997563</v>
      </c>
      <c r="AD115" s="49">
        <v>-76.900062000000005</v>
      </c>
      <c r="AE115" s="19" t="str">
        <f>IFERROR(VLOOKUP(C115,tdcargo[],2,FALSE),"DESCONOCIDO")</f>
        <v>OPERARIO</v>
      </c>
    </row>
    <row r="116" spans="1:31" hidden="1" x14ac:dyDescent="0.35">
      <c r="A116" s="8">
        <v>71120175</v>
      </c>
      <c r="B116" s="4" t="s">
        <v>2398</v>
      </c>
      <c r="C116" s="4" t="s">
        <v>1971</v>
      </c>
      <c r="D116" s="5">
        <v>45978</v>
      </c>
      <c r="E116" s="4" t="s">
        <v>31</v>
      </c>
      <c r="F116" s="4" t="s">
        <v>34</v>
      </c>
      <c r="G116" s="4" t="s">
        <v>195</v>
      </c>
      <c r="H116" s="4" t="s">
        <v>2264</v>
      </c>
      <c r="I116" s="4" t="s">
        <v>1968</v>
      </c>
      <c r="J116" s="4" t="s">
        <v>1968</v>
      </c>
      <c r="K116" s="4" t="s">
        <v>2203</v>
      </c>
      <c r="L116" s="4" t="s">
        <v>2399</v>
      </c>
      <c r="M116" s="4" t="s">
        <v>36</v>
      </c>
      <c r="N116" s="4" t="s">
        <v>2400</v>
      </c>
      <c r="O116" s="4" t="s">
        <v>37</v>
      </c>
      <c r="P116" s="4" t="s">
        <v>195</v>
      </c>
      <c r="Q116" s="10" t="s">
        <v>1623</v>
      </c>
      <c r="R116" s="4" t="str">
        <f t="shared" si="9"/>
        <v>Avenida Huarochiri 8, Lote 11, Mz. V2 San Antonio De Huaro, Santa Eulalia, Huarochiri, Lima, Perú</v>
      </c>
      <c r="S116" s="4">
        <v>-11.901929600000001</v>
      </c>
      <c r="T116" s="4">
        <v>-76.665816500000005</v>
      </c>
      <c r="U116" s="30">
        <f t="shared" si="6"/>
        <v>27.61</v>
      </c>
      <c r="V116" s="4" t="str">
        <f t="shared" si="7"/>
        <v>🔴 Lejos (&gt;20 km)</v>
      </c>
      <c r="W116" s="19" t="str" cm="1">
        <f t="array" ref="W116">_xlfn.LET(_xlpm.lat_emp,S116,_xlpm.lon_emp,T116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116" s="19" t="str">
        <f>_xlfn.LET(_xlpm.paradero,W116,INDEX(PARADEROS_VALIDOS!$A$2:$A$67,MATCH(_xlpm.paradero,PARADEROS_VALIDOS!$C$2:$C$67,0)))</f>
        <v>RUTA 5A</v>
      </c>
      <c r="Y116" s="29" cm="1">
        <f t="array" ref="Y116">_xlfn.LET(_xlpm.lat_emp,S116,_xlpm.lon_emp,T116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14.26</v>
      </c>
      <c r="Z116" s="4" t="str">
        <f t="shared" si="8"/>
        <v>🔴 Lejos (&gt;5 km)</v>
      </c>
      <c r="AA116" s="4"/>
      <c r="AB116" s="4"/>
      <c r="AC116" s="49">
        <v>-11.997563</v>
      </c>
      <c r="AD116" s="49">
        <v>-76.900062000000005</v>
      </c>
      <c r="AE116" s="19" t="str">
        <f>IFERROR(VLOOKUP(C116,tdcargo[],2,FALSE),"DESCONOCIDO")</f>
        <v>OPERARIO</v>
      </c>
    </row>
    <row r="117" spans="1:31" hidden="1" x14ac:dyDescent="0.35">
      <c r="A117" s="8">
        <v>71015337</v>
      </c>
      <c r="B117" s="4" t="s">
        <v>2401</v>
      </c>
      <c r="C117" s="4" t="s">
        <v>1971</v>
      </c>
      <c r="D117" s="5">
        <v>45824</v>
      </c>
      <c r="E117" s="4" t="s">
        <v>31</v>
      </c>
      <c r="F117" s="4" t="s">
        <v>36</v>
      </c>
      <c r="G117" s="4" t="s">
        <v>2402</v>
      </c>
      <c r="H117" s="4" t="s">
        <v>2171</v>
      </c>
      <c r="I117" s="4" t="s">
        <v>1968</v>
      </c>
      <c r="J117" s="4" t="s">
        <v>1968</v>
      </c>
      <c r="K117" s="4" t="s">
        <v>2403</v>
      </c>
      <c r="L117" s="4" t="s">
        <v>2082</v>
      </c>
      <c r="M117" s="4" t="s">
        <v>36</v>
      </c>
      <c r="N117" s="4" t="s">
        <v>2404</v>
      </c>
      <c r="O117" s="4" t="s">
        <v>37</v>
      </c>
      <c r="P117" s="4" t="s">
        <v>37</v>
      </c>
      <c r="Q117" s="10" t="s">
        <v>38</v>
      </c>
      <c r="R117" s="4" t="str">
        <f t="shared" si="9"/>
        <v>Grupo 3 3, Lote 16, Mz. G Posta, San Juan De Lurigancho, Lima, Lima, Perú</v>
      </c>
      <c r="S117" s="4">
        <v>-11.968179599999999</v>
      </c>
      <c r="T117" s="4">
        <v>-77.004263699999996</v>
      </c>
      <c r="U117" s="30">
        <f t="shared" si="6"/>
        <v>11.8</v>
      </c>
      <c r="V117" s="4" t="str">
        <f t="shared" si="7"/>
        <v>🟠 Moderada (10-20 km)</v>
      </c>
      <c r="W117" s="19" t="str" cm="1">
        <f t="array" ref="W117">_xlfn.LET(_xlpm.lat_emp,S117,_xlpm.lon_emp,T117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Acho</v>
      </c>
      <c r="X117" s="19" t="str">
        <f>_xlfn.LET(_xlpm.paradero,W117,INDEX(PARADEROS_VALIDOS!$A$2:$A$67,MATCH(_xlpm.paradero,PARADEROS_VALIDOS!$C$2:$C$67,0)))</f>
        <v>RUTA 8</v>
      </c>
      <c r="Y117" s="29" cm="1">
        <f t="array" ref="Y117">_xlfn.LET(_xlpm.lat_emp,S117,_xlpm.lon_emp,T117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0.46</v>
      </c>
      <c r="Z117" s="4" t="str">
        <f t="shared" si="8"/>
        <v>🟢 Muy Cerca (0-1 km)</v>
      </c>
      <c r="AA117" s="4"/>
      <c r="AB117" s="4"/>
      <c r="AC117" s="49">
        <v>-11.997563</v>
      </c>
      <c r="AD117" s="49">
        <v>-76.900062000000005</v>
      </c>
      <c r="AE117" s="19" t="str">
        <f>IFERROR(VLOOKUP(C117,tdcargo[],2,FALSE),"DESCONOCIDO")</f>
        <v>OPERARIO</v>
      </c>
    </row>
    <row r="118" spans="1:31" hidden="1" x14ac:dyDescent="0.35">
      <c r="A118" s="8">
        <v>72152278</v>
      </c>
      <c r="B118" s="4" t="s">
        <v>2405</v>
      </c>
      <c r="C118" s="4" t="s">
        <v>1971</v>
      </c>
      <c r="D118" s="5">
        <v>46034</v>
      </c>
      <c r="E118" s="4" t="s">
        <v>31</v>
      </c>
      <c r="F118" s="4" t="s">
        <v>34</v>
      </c>
      <c r="G118" s="4" t="s">
        <v>631</v>
      </c>
      <c r="H118" s="4" t="s">
        <v>1956</v>
      </c>
      <c r="I118" s="4" t="s">
        <v>2114</v>
      </c>
      <c r="J118" s="4" t="s">
        <v>1968</v>
      </c>
      <c r="K118" s="4" t="s">
        <v>2086</v>
      </c>
      <c r="L118" s="4" t="s">
        <v>1636</v>
      </c>
      <c r="M118" s="4" t="s">
        <v>36</v>
      </c>
      <c r="N118" s="4" t="s">
        <v>3241</v>
      </c>
      <c r="O118" s="4" t="s">
        <v>37</v>
      </c>
      <c r="P118" s="4" t="s">
        <v>37</v>
      </c>
      <c r="Q118" s="10" t="s">
        <v>76</v>
      </c>
      <c r="R118" s="4" t="str">
        <f t="shared" si="9"/>
        <v>Avenida Las Torres, Apt. 10, Lote 9, Mz. I SIN ZONA, Lurigancho, Lima, Lima, Perú</v>
      </c>
      <c r="S118" s="4">
        <v>-12.0052368</v>
      </c>
      <c r="T118" s="4">
        <v>-76.914047400000001</v>
      </c>
      <c r="U118" s="30">
        <f t="shared" si="6"/>
        <v>1.74</v>
      </c>
      <c r="V118" s="4" t="str">
        <f t="shared" si="7"/>
        <v>🟢 Muy Cerca (0-5 km)</v>
      </c>
      <c r="W118" s="19" t="str" cm="1">
        <f t="array" ref="W118">_xlfn.LET(_xlpm.lat_emp,S118,_xlpm.lon_emp,T118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Estadio Huachipa</v>
      </c>
      <c r="X118" s="19" t="str">
        <f>_xlfn.LET(_xlpm.paradero,W118,INDEX(PARADEROS_VALIDOS!$A$2:$A$67,MATCH(_xlpm.paradero,PARADEROS_VALIDOS!$C$2:$C$67,0)))</f>
        <v>RUTA 5C</v>
      </c>
      <c r="Y118" s="29" cm="1">
        <f t="array" ref="Y118">_xlfn.LET(_xlpm.lat_emp,S118,_xlpm.lon_emp,T118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1.02</v>
      </c>
      <c r="Z118" s="4" t="str">
        <f t="shared" si="8"/>
        <v>🟡 Cerca (1-3 km)</v>
      </c>
      <c r="AA118" s="4"/>
      <c r="AB118" s="4"/>
      <c r="AC118" s="49">
        <v>-11.997563</v>
      </c>
      <c r="AD118" s="49">
        <v>-76.900062000000005</v>
      </c>
      <c r="AE118" s="19" t="str">
        <f>IFERROR(VLOOKUP(C118,tdcargo[],2,FALSE),"DESCONOCIDO")</f>
        <v>OPERARIO</v>
      </c>
    </row>
    <row r="119" spans="1:31" hidden="1" x14ac:dyDescent="0.35">
      <c r="A119" s="8">
        <v>75879691</v>
      </c>
      <c r="B119" s="4" t="s">
        <v>2406</v>
      </c>
      <c r="C119" s="4" t="s">
        <v>1971</v>
      </c>
      <c r="D119" s="5">
        <v>46045</v>
      </c>
      <c r="E119" s="4" t="s">
        <v>31</v>
      </c>
      <c r="F119" s="4" t="s">
        <v>34</v>
      </c>
      <c r="G119" s="4" t="s">
        <v>2407</v>
      </c>
      <c r="H119" s="4" t="s">
        <v>1956</v>
      </c>
      <c r="I119" s="4" t="s">
        <v>1968</v>
      </c>
      <c r="J119" s="4" t="s">
        <v>1968</v>
      </c>
      <c r="K119" s="4" t="s">
        <v>2161</v>
      </c>
      <c r="L119" s="4" t="s">
        <v>1974</v>
      </c>
      <c r="M119" s="4" t="s">
        <v>36</v>
      </c>
      <c r="N119" s="4" t="s">
        <v>2408</v>
      </c>
      <c r="O119" s="4" t="s">
        <v>37</v>
      </c>
      <c r="P119" s="4" t="s">
        <v>37</v>
      </c>
      <c r="Q119" s="10" t="s">
        <v>76</v>
      </c>
      <c r="R119" s="4" t="str">
        <f t="shared" si="9"/>
        <v>Avenida Santa Cruz De Cajama, Lote 14, Mz. B SANTA CRUZ CAJAMARQ, Lurigancho, Lima, Lima, Perú</v>
      </c>
      <c r="S119" s="4">
        <v>-12.118154799999999</v>
      </c>
      <c r="T119" s="4">
        <v>-77.040614700000006</v>
      </c>
      <c r="U119" s="30">
        <f t="shared" si="6"/>
        <v>20.329999999999998</v>
      </c>
      <c r="V119" s="4" t="str">
        <f t="shared" si="7"/>
        <v>🔴 Lejos (&gt;20 km)</v>
      </c>
      <c r="W119" s="19" t="str" cm="1">
        <f t="array" ref="W119">_xlfn.LET(_xlpm.lat_emp,S119,_xlpm.lon_emp,T119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Berlín con Javier prado (cruzando el semáforo) aplica solo al ingreso.</v>
      </c>
      <c r="X119" s="19" t="str">
        <f>_xlfn.LET(_xlpm.paradero,W119,INDEX(PARADEROS_VALIDOS!$A$2:$A$67,MATCH(_xlpm.paradero,PARADEROS_VALIDOS!$C$2:$C$67,0)))</f>
        <v>RUTA 4A</v>
      </c>
      <c r="Y119" s="29" cm="1">
        <f t="array" ref="Y119">_xlfn.LET(_xlpm.lat_emp,S119,_xlpm.lon_emp,T119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</v>
      </c>
      <c r="Z119" s="4" t="str">
        <f t="shared" si="8"/>
        <v>🟠 Moderada (3-5 km)</v>
      </c>
      <c r="AA119" s="4"/>
      <c r="AB119" s="4"/>
      <c r="AC119" s="49">
        <v>-11.997563</v>
      </c>
      <c r="AD119" s="49">
        <v>-76.900062000000005</v>
      </c>
      <c r="AE119" s="19" t="str">
        <f>IFERROR(VLOOKUP(C119,tdcargo[],2,FALSE),"DESCONOCIDO")</f>
        <v>OPERARIO</v>
      </c>
    </row>
    <row r="120" spans="1:31" hidden="1" x14ac:dyDescent="0.35">
      <c r="A120" s="8">
        <v>70698449</v>
      </c>
      <c r="B120" s="4" t="s">
        <v>2409</v>
      </c>
      <c r="C120" s="4" t="s">
        <v>1971</v>
      </c>
      <c r="D120" s="5">
        <v>46045</v>
      </c>
      <c r="E120" s="4" t="s">
        <v>31</v>
      </c>
      <c r="F120" s="4" t="s">
        <v>82</v>
      </c>
      <c r="G120" s="4" t="s">
        <v>2410</v>
      </c>
      <c r="H120" s="4" t="s">
        <v>1956</v>
      </c>
      <c r="I120" s="4" t="s">
        <v>1968</v>
      </c>
      <c r="J120" s="4" t="s">
        <v>1968</v>
      </c>
      <c r="K120" s="4" t="s">
        <v>2053</v>
      </c>
      <c r="L120" s="4" t="s">
        <v>2411</v>
      </c>
      <c r="M120" s="4" t="s">
        <v>36</v>
      </c>
      <c r="N120" s="4" t="s">
        <v>2412</v>
      </c>
      <c r="O120" s="4" t="s">
        <v>37</v>
      </c>
      <c r="P120" s="4" t="s">
        <v>37</v>
      </c>
      <c r="Q120" s="10" t="s">
        <v>76</v>
      </c>
      <c r="R120" s="4" t="str">
        <f t="shared" si="9"/>
        <v>Calle Las Caobas, Lote 21, Mz. C6 PROYECTO 2000, Lurigancho, Lima, Lima, Perú</v>
      </c>
      <c r="S120" s="4">
        <v>-12.003161800000001</v>
      </c>
      <c r="T120" s="4">
        <v>-76.8733079</v>
      </c>
      <c r="U120" s="30">
        <f t="shared" si="6"/>
        <v>2.98</v>
      </c>
      <c r="V120" s="4" t="str">
        <f t="shared" si="7"/>
        <v>🟢 Muy Cerca (0-5 km)</v>
      </c>
      <c r="W120" s="19" t="str" cm="1">
        <f t="array" ref="W120">_xlfn.LET(_xlpm.lat_emp,S120,_xlpm.lon_emp,T120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la Cruz</v>
      </c>
      <c r="X120" s="19" t="str">
        <f>_xlfn.LET(_xlpm.paradero,W120,INDEX(PARADEROS_VALIDOS!$A$2:$A$67,MATCH(_xlpm.paradero,PARADEROS_VALIDOS!$C$2:$C$67,0)))</f>
        <v>RUTA 4B</v>
      </c>
      <c r="Y120" s="29" cm="1">
        <f t="array" ref="Y120">_xlfn.LET(_xlpm.lat_emp,S120,_xlpm.lon_emp,T120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1.82</v>
      </c>
      <c r="Z120" s="4" t="str">
        <f t="shared" si="8"/>
        <v>🟡 Cerca (1-3 km)</v>
      </c>
      <c r="AA120" s="4"/>
      <c r="AB120" s="4"/>
      <c r="AC120" s="49">
        <v>-11.997563</v>
      </c>
      <c r="AD120" s="49">
        <v>-76.900062000000005</v>
      </c>
      <c r="AE120" s="19" t="str">
        <f>IFERROR(VLOOKUP(C120,tdcargo[],2,FALSE),"DESCONOCIDO")</f>
        <v>OPERARIO</v>
      </c>
    </row>
    <row r="121" spans="1:31" hidden="1" x14ac:dyDescent="0.35">
      <c r="A121" s="8">
        <v>74031014</v>
      </c>
      <c r="B121" s="4" t="s">
        <v>2413</v>
      </c>
      <c r="C121" s="4" t="s">
        <v>1971</v>
      </c>
      <c r="D121" s="5">
        <v>46037</v>
      </c>
      <c r="E121" s="4" t="s">
        <v>31</v>
      </c>
      <c r="F121" s="4" t="s">
        <v>960</v>
      </c>
      <c r="G121" s="4" t="s">
        <v>2414</v>
      </c>
      <c r="H121" s="4" t="s">
        <v>1956</v>
      </c>
      <c r="I121" s="4" t="s">
        <v>1968</v>
      </c>
      <c r="J121" s="4" t="s">
        <v>1968</v>
      </c>
      <c r="K121" s="4" t="s">
        <v>1974</v>
      </c>
      <c r="L121" s="4" t="s">
        <v>1968</v>
      </c>
      <c r="M121" s="4" t="s">
        <v>36</v>
      </c>
      <c r="N121" s="4" t="s">
        <v>2415</v>
      </c>
      <c r="O121" s="4" t="s">
        <v>37</v>
      </c>
      <c r="P121" s="4" t="s">
        <v>37</v>
      </c>
      <c r="Q121" s="10" t="s">
        <v>37</v>
      </c>
      <c r="R121" s="4" t="str">
        <f t="shared" si="9"/>
        <v>Ovalo De La Paz, Lote B LA MENACHO, Lima, Lima, Lima, Perú</v>
      </c>
      <c r="S121" s="4">
        <v>-12.0466888</v>
      </c>
      <c r="T121" s="4">
        <v>-77.043088600000004</v>
      </c>
      <c r="U121" s="30">
        <f t="shared" si="6"/>
        <v>16.489999999999998</v>
      </c>
      <c r="V121" s="4" t="str">
        <f t="shared" si="7"/>
        <v>🟠 Moderada (10-20 km)</v>
      </c>
      <c r="W121" s="19" t="str" cm="1">
        <f t="array" ref="W121">_xlfn.LET(_xlpm.lat_emp,S121,_xlpm.lon_emp,T121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Rompemuelle</v>
      </c>
      <c r="X121" s="19" t="str">
        <f>_xlfn.LET(_xlpm.paradero,W121,INDEX(PARADEROS_VALIDOS!$A$2:$A$67,MATCH(_xlpm.paradero,PARADEROS_VALIDOS!$C$2:$C$67,0)))</f>
        <v>RUTA 3</v>
      </c>
      <c r="Y121" s="29" cm="1">
        <f t="array" ref="Y121">_xlfn.LET(_xlpm.lat_emp,S121,_xlpm.lon_emp,T121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</v>
      </c>
      <c r="Z121" s="4" t="str">
        <f t="shared" si="8"/>
        <v>🟢 Muy Cerca (0-1 km)</v>
      </c>
      <c r="AA121" s="4"/>
      <c r="AB121" s="4"/>
      <c r="AC121" s="49">
        <v>-11.997563</v>
      </c>
      <c r="AD121" s="49">
        <v>-76.900062000000005</v>
      </c>
      <c r="AE121" s="19" t="str">
        <f>IFERROR(VLOOKUP(C121,tdcargo[],2,FALSE),"DESCONOCIDO")</f>
        <v>OPERARIO</v>
      </c>
    </row>
    <row r="122" spans="1:31" hidden="1" x14ac:dyDescent="0.35">
      <c r="A122" s="8">
        <v>76600511</v>
      </c>
      <c r="B122" s="4" t="s">
        <v>2416</v>
      </c>
      <c r="C122" s="4" t="s">
        <v>1971</v>
      </c>
      <c r="D122" s="5">
        <v>45505</v>
      </c>
      <c r="E122" s="4" t="s">
        <v>31</v>
      </c>
      <c r="F122" s="4" t="s">
        <v>148</v>
      </c>
      <c r="G122" s="4" t="s">
        <v>480</v>
      </c>
      <c r="H122" s="4" t="s">
        <v>2288</v>
      </c>
      <c r="I122" s="4" t="s">
        <v>1968</v>
      </c>
      <c r="J122" s="4" t="s">
        <v>1968</v>
      </c>
      <c r="K122" s="4" t="s">
        <v>1968</v>
      </c>
      <c r="L122" s="4" t="s">
        <v>1968</v>
      </c>
      <c r="M122" s="4" t="s">
        <v>36</v>
      </c>
      <c r="N122" s="4" t="s">
        <v>1017</v>
      </c>
      <c r="O122" s="4" t="s">
        <v>37</v>
      </c>
      <c r="P122" s="4" t="s">
        <v>195</v>
      </c>
      <c r="Q122" s="10" t="s">
        <v>196</v>
      </c>
      <c r="R122" s="4" t="str">
        <f t="shared" si="9"/>
        <v>Pasaje Los Pinos 18 Cajamarquilla, San Antonio, Huarochiri, Lima, Perú</v>
      </c>
      <c r="S122" s="4">
        <v>-11.977180499999999</v>
      </c>
      <c r="T122" s="4">
        <v>-76.937916700000002</v>
      </c>
      <c r="U122" s="30">
        <f t="shared" si="6"/>
        <v>4.7</v>
      </c>
      <c r="V122" s="4" t="str">
        <f t="shared" si="7"/>
        <v>🟢 Muy Cerca (0-5 km)</v>
      </c>
      <c r="W122" s="19" t="str" cm="1">
        <f t="array" ref="W122">_xlfn.LET(_xlpm.lat_emp,S122,_xlpm.lon_emp,T122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122" s="19" t="str">
        <f>_xlfn.LET(_xlpm.paradero,W122,INDEX(PARADEROS_VALIDOS!$A$2:$A$67,MATCH(_xlpm.paradero,PARADEROS_VALIDOS!$C$2:$C$67,0)))</f>
        <v>RUTA 2</v>
      </c>
      <c r="Y122" s="29" cm="1">
        <f t="array" ref="Y122">_xlfn.LET(_xlpm.lat_emp,S122,_xlpm.lon_emp,T122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4.2</v>
      </c>
      <c r="Z122" s="4" t="str">
        <f t="shared" si="8"/>
        <v>🟠 Moderada (3-5 km)</v>
      </c>
      <c r="AA122" s="4"/>
      <c r="AB122" s="4"/>
      <c r="AC122" s="49">
        <v>-11.997563</v>
      </c>
      <c r="AD122" s="49">
        <v>-76.900062000000005</v>
      </c>
      <c r="AE122" s="19" t="str">
        <f>IFERROR(VLOOKUP(C122,tdcargo[],2,FALSE),"DESCONOCIDO")</f>
        <v>OPERARIO</v>
      </c>
    </row>
    <row r="123" spans="1:31" hidden="1" x14ac:dyDescent="0.35">
      <c r="A123" s="8">
        <v>47487800</v>
      </c>
      <c r="B123" s="4" t="s">
        <v>2417</v>
      </c>
      <c r="C123" s="4" t="s">
        <v>1971</v>
      </c>
      <c r="D123" s="5">
        <v>46069</v>
      </c>
      <c r="E123" s="4" t="s">
        <v>31</v>
      </c>
      <c r="F123" s="4" t="s">
        <v>36</v>
      </c>
      <c r="G123" s="4" t="s">
        <v>2418</v>
      </c>
      <c r="H123" s="4" t="s">
        <v>1956</v>
      </c>
      <c r="I123" s="4" t="s">
        <v>1968</v>
      </c>
      <c r="J123" s="4" t="s">
        <v>1968</v>
      </c>
      <c r="K123" s="4" t="s">
        <v>2264</v>
      </c>
      <c r="L123" s="4" t="s">
        <v>1461</v>
      </c>
      <c r="M123" s="4" t="s">
        <v>36</v>
      </c>
      <c r="N123" s="4" t="s">
        <v>2419</v>
      </c>
      <c r="O123" s="4" t="s">
        <v>37</v>
      </c>
      <c r="P123" s="4" t="s">
        <v>37</v>
      </c>
      <c r="Q123" s="10" t="s">
        <v>57</v>
      </c>
      <c r="R123" s="4" t="str">
        <f t="shared" si="9"/>
        <v>Horacio Zeballos Gam, Lote 8, Mz. C HORACIO ZEBALLOS GAM, Ate, Lima, Lima, Perú</v>
      </c>
      <c r="S123" s="4">
        <v>-12.008354000000001</v>
      </c>
      <c r="T123" s="4">
        <v>-76.8420196</v>
      </c>
      <c r="U123" s="30">
        <f t="shared" si="6"/>
        <v>6.43</v>
      </c>
      <c r="V123" s="4" t="str">
        <f t="shared" si="7"/>
        <v>🟡 Cerca (5-10 km)</v>
      </c>
      <c r="W123" s="19" t="str" cm="1">
        <f t="array" ref="W123">_xlfn.LET(_xlpm.lat_emp,S123,_xlpm.lon_emp,T123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Horacio</v>
      </c>
      <c r="X123" s="19" t="str">
        <f>_xlfn.LET(_xlpm.paradero,W123,INDEX(PARADEROS_VALIDOS!$A$2:$A$67,MATCH(_xlpm.paradero,PARADEROS_VALIDOS!$C$2:$C$67,0)))</f>
        <v>RUTA 5B</v>
      </c>
      <c r="Y123" s="29" cm="1">
        <f t="array" ref="Y123">_xlfn.LET(_xlpm.lat_emp,S123,_xlpm.lon_emp,T123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</v>
      </c>
      <c r="Z123" s="4" t="str">
        <f t="shared" si="8"/>
        <v>🟢 Muy Cerca (0-1 km)</v>
      </c>
      <c r="AA123" s="4"/>
      <c r="AB123" s="4"/>
      <c r="AC123" s="49">
        <v>-11.997563</v>
      </c>
      <c r="AD123" s="49">
        <v>-76.900062000000005</v>
      </c>
      <c r="AE123" s="19" t="str">
        <f>IFERROR(VLOOKUP(C123,tdcargo[],2,FALSE),"DESCONOCIDO")</f>
        <v>OPERARIO</v>
      </c>
    </row>
    <row r="124" spans="1:31" hidden="1" x14ac:dyDescent="0.35">
      <c r="A124" s="8">
        <v>70576719</v>
      </c>
      <c r="B124" s="4" t="s">
        <v>2423</v>
      </c>
      <c r="C124" s="4" t="s">
        <v>1971</v>
      </c>
      <c r="D124" s="5">
        <v>45481</v>
      </c>
      <c r="E124" s="4" t="s">
        <v>31</v>
      </c>
      <c r="F124" s="4" t="s">
        <v>36</v>
      </c>
      <c r="G124" s="4" t="s">
        <v>705</v>
      </c>
      <c r="H124" s="4" t="s">
        <v>1956</v>
      </c>
      <c r="I124" s="4" t="s">
        <v>1968</v>
      </c>
      <c r="J124" s="4" t="s">
        <v>1968</v>
      </c>
      <c r="K124" s="4" t="s">
        <v>1968</v>
      </c>
      <c r="L124" s="4" t="s">
        <v>1968</v>
      </c>
      <c r="M124" s="4" t="s">
        <v>36</v>
      </c>
      <c r="N124" s="4" t="s">
        <v>2214</v>
      </c>
      <c r="O124" s="4" t="s">
        <v>37</v>
      </c>
      <c r="P124" s="4" t="s">
        <v>37</v>
      </c>
      <c r="Q124" s="10" t="s">
        <v>57</v>
      </c>
      <c r="R124" s="4" t="str">
        <f t="shared" si="9"/>
        <v>Huaycan Zona K, Ate, Lima, Lima, Perú</v>
      </c>
      <c r="S124" s="4">
        <v>-12.0258477</v>
      </c>
      <c r="T124" s="4">
        <v>-76.819476699999996</v>
      </c>
      <c r="U124" s="30">
        <f t="shared" si="6"/>
        <v>9.31</v>
      </c>
      <c r="V124" s="4" t="str">
        <f t="shared" si="7"/>
        <v>🟡 Cerca (5-10 km)</v>
      </c>
      <c r="W124" s="19" t="str" cm="1">
        <f t="array" ref="W124">_xlfn.LET(_xlpm.lat_emp,S124,_xlpm.lon_emp,T124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124" s="19" t="str">
        <f>_xlfn.LET(_xlpm.paradero,W124,INDEX(PARADEROS_VALIDOS!$A$2:$A$67,MATCH(_xlpm.paradero,PARADEROS_VALIDOS!$C$2:$C$67,0)))</f>
        <v>RUTA 3</v>
      </c>
      <c r="Y124" s="29" cm="1">
        <f t="array" ref="Y124">_xlfn.LET(_xlpm.lat_emp,S124,_xlpm.lon_emp,T124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0.34</v>
      </c>
      <c r="Z124" s="4" t="str">
        <f t="shared" si="8"/>
        <v>🟢 Muy Cerca (0-1 km)</v>
      </c>
      <c r="AA124" s="4"/>
      <c r="AB124" s="4"/>
      <c r="AC124" s="49">
        <v>-11.997563</v>
      </c>
      <c r="AD124" s="49">
        <v>-76.900062000000005</v>
      </c>
      <c r="AE124" s="19" t="str">
        <f>IFERROR(VLOOKUP(C124,tdcargo[],2,FALSE),"DESCONOCIDO")</f>
        <v>OPERARIO</v>
      </c>
    </row>
    <row r="125" spans="1:31" hidden="1" x14ac:dyDescent="0.35">
      <c r="A125" s="8">
        <v>70478712</v>
      </c>
      <c r="B125" s="4" t="s">
        <v>2424</v>
      </c>
      <c r="C125" s="4" t="s">
        <v>1971</v>
      </c>
      <c r="D125" s="5">
        <v>45481</v>
      </c>
      <c r="E125" s="4" t="s">
        <v>31</v>
      </c>
      <c r="F125" s="4" t="s">
        <v>82</v>
      </c>
      <c r="G125" s="4" t="s">
        <v>1483</v>
      </c>
      <c r="H125" s="4" t="s">
        <v>1956</v>
      </c>
      <c r="I125" s="4" t="s">
        <v>1968</v>
      </c>
      <c r="J125" s="4" t="s">
        <v>1968</v>
      </c>
      <c r="K125" s="4" t="s">
        <v>1968</v>
      </c>
      <c r="L125" s="4" t="s">
        <v>1968</v>
      </c>
      <c r="M125" s="4" t="s">
        <v>36</v>
      </c>
      <c r="N125" s="4" t="s">
        <v>1483</v>
      </c>
      <c r="O125" s="4" t="s">
        <v>37</v>
      </c>
      <c r="P125" s="4" t="s">
        <v>37</v>
      </c>
      <c r="Q125" s="10" t="s">
        <v>76</v>
      </c>
      <c r="R125" s="4" t="str">
        <f t="shared" si="9"/>
        <v>Calle Corazon De Jesus Corazon De Jesus, Lurigancho, Lima, Lima, Perú</v>
      </c>
      <c r="S125" s="4">
        <v>-12.1050828</v>
      </c>
      <c r="T125" s="4">
        <v>-76.881947499999995</v>
      </c>
      <c r="U125" s="30">
        <f t="shared" si="6"/>
        <v>12.12</v>
      </c>
      <c r="V125" s="4" t="str">
        <f t="shared" si="7"/>
        <v>🟠 Moderada (10-20 km)</v>
      </c>
      <c r="W125" s="19" t="str" cm="1">
        <f t="array" ref="W125">_xlfn.LET(_xlpm.lat_emp,S125,_xlpm.lon_emp,T125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Paraíso</v>
      </c>
      <c r="X125" s="19" t="str">
        <f>_xlfn.LET(_xlpm.paradero,W125,INDEX(PARADEROS_VALIDOS!$A$2:$A$67,MATCH(_xlpm.paradero,PARADEROS_VALIDOS!$C$2:$C$67,0)))</f>
        <v>RUTA 2</v>
      </c>
      <c r="Y125" s="29" cm="1">
        <f t="array" ref="Y125">_xlfn.LET(_xlpm.lat_emp,S125,_xlpm.lon_emp,T125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3.97</v>
      </c>
      <c r="Z125" s="4" t="str">
        <f t="shared" si="8"/>
        <v>🟠 Moderada (3-5 km)</v>
      </c>
      <c r="AA125" s="4"/>
      <c r="AB125" s="4"/>
      <c r="AC125" s="49">
        <v>-11.997563</v>
      </c>
      <c r="AD125" s="49">
        <v>-76.900062000000005</v>
      </c>
      <c r="AE125" s="19" t="str">
        <f>IFERROR(VLOOKUP(C125,tdcargo[],2,FALSE),"DESCONOCIDO")</f>
        <v>OPERARIO</v>
      </c>
    </row>
    <row r="126" spans="1:31" hidden="1" x14ac:dyDescent="0.35">
      <c r="A126" s="8">
        <v>71379346</v>
      </c>
      <c r="B126" s="4" t="s">
        <v>2425</v>
      </c>
      <c r="C126" s="4" t="s">
        <v>2001</v>
      </c>
      <c r="D126" s="5">
        <v>45152</v>
      </c>
      <c r="E126" s="4" t="s">
        <v>31</v>
      </c>
      <c r="F126" s="4" t="s">
        <v>82</v>
      </c>
      <c r="G126" s="4" t="s">
        <v>705</v>
      </c>
      <c r="H126" s="4" t="s">
        <v>1956</v>
      </c>
      <c r="I126" s="4" t="s">
        <v>1968</v>
      </c>
      <c r="J126" s="4" t="s">
        <v>1968</v>
      </c>
      <c r="K126" s="4" t="s">
        <v>1968</v>
      </c>
      <c r="L126" s="4" t="s">
        <v>1968</v>
      </c>
      <c r="M126" s="4" t="s">
        <v>36</v>
      </c>
      <c r="N126" s="4" t="s">
        <v>2426</v>
      </c>
      <c r="O126" s="4" t="s">
        <v>37</v>
      </c>
      <c r="P126" s="4" t="s">
        <v>37</v>
      </c>
      <c r="Q126" s="10" t="s">
        <v>57</v>
      </c>
      <c r="R126" s="4" t="str">
        <f t="shared" si="9"/>
        <v>Calle Huaycan Huaycan Usv195_B Zona P Manzana Blote2, Ate, Lima, Lima, Perú</v>
      </c>
      <c r="S126" s="4">
        <v>-12.014076899999999</v>
      </c>
      <c r="T126" s="4">
        <v>-76.812537199999994</v>
      </c>
      <c r="U126" s="30">
        <f t="shared" si="6"/>
        <v>9.69</v>
      </c>
      <c r="V126" s="4" t="str">
        <f t="shared" si="7"/>
        <v>🟡 Cerca (5-10 km)</v>
      </c>
      <c r="W126" s="19" t="str" cm="1">
        <f t="array" ref="W126">_xlfn.LET(_xlpm.lat_emp,S126,_xlpm.lon_emp,T126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126" s="19" t="str">
        <f>_xlfn.LET(_xlpm.paradero,W126,INDEX(PARADEROS_VALIDOS!$A$2:$A$67,MATCH(_xlpm.paradero,PARADEROS_VALIDOS!$C$2:$C$67,0)))</f>
        <v>RUTA 3</v>
      </c>
      <c r="Y126" s="29" cm="1">
        <f t="array" ref="Y126">_xlfn.LET(_xlpm.lat_emp,S126,_xlpm.lon_emp,T126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1.71</v>
      </c>
      <c r="Z126" s="4" t="str">
        <f t="shared" si="8"/>
        <v>🟡 Cerca (1-3 km)</v>
      </c>
      <c r="AA126" s="4"/>
      <c r="AB126" s="4"/>
      <c r="AC126" s="49">
        <v>-11.997563</v>
      </c>
      <c r="AD126" s="49">
        <v>-76.900062000000005</v>
      </c>
      <c r="AE126" s="19" t="str">
        <f>IFERROR(VLOOKUP(C126,tdcargo[],2,FALSE),"DESCONOCIDO")</f>
        <v>OPERARIO</v>
      </c>
    </row>
    <row r="127" spans="1:31" hidden="1" x14ac:dyDescent="0.35">
      <c r="A127" s="8">
        <v>70114043</v>
      </c>
      <c r="B127" s="4" t="s">
        <v>2427</v>
      </c>
      <c r="C127" s="4" t="s">
        <v>1971</v>
      </c>
      <c r="D127" s="5">
        <v>45488</v>
      </c>
      <c r="E127" s="4" t="s">
        <v>31</v>
      </c>
      <c r="F127" s="4" t="s">
        <v>36</v>
      </c>
      <c r="G127" s="4" t="s">
        <v>2428</v>
      </c>
      <c r="H127" s="4" t="s">
        <v>1956</v>
      </c>
      <c r="I127" s="4" t="s">
        <v>1968</v>
      </c>
      <c r="J127" s="4" t="s">
        <v>1968</v>
      </c>
      <c r="K127" s="4" t="s">
        <v>1968</v>
      </c>
      <c r="L127" s="4" t="s">
        <v>1968</v>
      </c>
      <c r="M127" s="4" t="s">
        <v>36</v>
      </c>
      <c r="N127" s="4" t="s">
        <v>2429</v>
      </c>
      <c r="O127" s="4" t="s">
        <v>37</v>
      </c>
      <c r="P127" s="4" t="s">
        <v>37</v>
      </c>
      <c r="Q127" s="10" t="s">
        <v>57</v>
      </c>
      <c r="R127" s="4" t="str">
        <f t="shared" si="9"/>
        <v>Coop. Alfa Y Omega Ate- Vitarte, Ate, Lima, Lima, Perú</v>
      </c>
      <c r="S127" s="4">
        <v>-12.0433526</v>
      </c>
      <c r="T127" s="4">
        <v>-76.919092699999993</v>
      </c>
      <c r="U127" s="30">
        <f t="shared" si="6"/>
        <v>5.5</v>
      </c>
      <c r="V127" s="4" t="str">
        <f t="shared" si="7"/>
        <v>🟡 Cerca (5-10 km)</v>
      </c>
      <c r="W127" s="19" t="str" cm="1">
        <f t="array" ref="W127">_xlfn.LET(_xlpm.lat_emp,S127,_xlpm.lon_emp,T127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Real Plaza Puruchuco (Grifo Primax)</v>
      </c>
      <c r="X127" s="19" t="str">
        <f>_xlfn.LET(_xlpm.paradero,W127,INDEX(PARADEROS_VALIDOS!$A$2:$A$67,MATCH(_xlpm.paradero,PARADEROS_VALIDOS!$C$2:$C$67,0)))</f>
        <v>RUTA 4A</v>
      </c>
      <c r="Y127" s="29" cm="1">
        <f t="array" ref="Y127">_xlfn.LET(_xlpm.lat_emp,S127,_xlpm.lon_emp,T127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1.42</v>
      </c>
      <c r="Z127" s="4" t="str">
        <f t="shared" si="8"/>
        <v>🟡 Cerca (1-3 km)</v>
      </c>
      <c r="AA127" s="4"/>
      <c r="AB127" s="4"/>
      <c r="AC127" s="49">
        <v>-11.997563</v>
      </c>
      <c r="AD127" s="49">
        <v>-76.900062000000005</v>
      </c>
      <c r="AE127" s="19" t="str">
        <f>IFERROR(VLOOKUP(C127,tdcargo[],2,FALSE),"DESCONOCIDO")</f>
        <v>OPERARIO</v>
      </c>
    </row>
    <row r="128" spans="1:31" hidden="1" x14ac:dyDescent="0.35">
      <c r="A128" s="8">
        <v>75422167</v>
      </c>
      <c r="B128" s="4" t="s">
        <v>2430</v>
      </c>
      <c r="C128" s="4" t="s">
        <v>1971</v>
      </c>
      <c r="D128" s="5">
        <v>45908</v>
      </c>
      <c r="E128" s="4" t="s">
        <v>31</v>
      </c>
      <c r="F128" s="4" t="s">
        <v>82</v>
      </c>
      <c r="G128" s="4" t="s">
        <v>991</v>
      </c>
      <c r="H128" s="4" t="s">
        <v>1995</v>
      </c>
      <c r="I128" s="4" t="s">
        <v>1968</v>
      </c>
      <c r="J128" s="4" t="s">
        <v>1968</v>
      </c>
      <c r="K128" s="4" t="s">
        <v>1995</v>
      </c>
      <c r="L128" s="4" t="s">
        <v>2380</v>
      </c>
      <c r="M128" s="4" t="s">
        <v>36</v>
      </c>
      <c r="N128" s="4" t="s">
        <v>2431</v>
      </c>
      <c r="O128" s="4" t="s">
        <v>37</v>
      </c>
      <c r="P128" s="4" t="s">
        <v>37</v>
      </c>
      <c r="Q128" s="10" t="s">
        <v>76</v>
      </c>
      <c r="R128" s="4" t="str">
        <f t="shared" si="9"/>
        <v>Calle Las Flores 1, Lote 1, Mz. F Agrup Familiar La Ri, Lurigancho, Lima, Lima, Perú</v>
      </c>
      <c r="S128" s="4">
        <v>-12.064550300000001</v>
      </c>
      <c r="T128" s="4">
        <v>-77.152945500000001</v>
      </c>
      <c r="U128" s="30">
        <f t="shared" si="6"/>
        <v>28.49</v>
      </c>
      <c r="V128" s="4" t="str">
        <f t="shared" si="7"/>
        <v>🔴 Lejos (&gt;20 km)</v>
      </c>
      <c r="W128" s="19" t="str" cm="1">
        <f t="array" ref="W128">_xlfn.LET(_xlpm.lat_emp,S128,_xlpm.lon_emp,T128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Sta. Rosa</v>
      </c>
      <c r="X128" s="19" t="str">
        <f>_xlfn.LET(_xlpm.paradero,W128,INDEX(PARADEROS_VALIDOS!$A$2:$A$67,MATCH(_xlpm.paradero,PARADEROS_VALIDOS!$C$2:$C$67,0)))</f>
        <v>RUTA 3</v>
      </c>
      <c r="Y128" s="29" cm="1">
        <f t="array" ref="Y128">_xlfn.LET(_xlpm.lat_emp,S128,_xlpm.lon_emp,T128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4.3099999999999996</v>
      </c>
      <c r="Z128" s="4" t="str">
        <f t="shared" si="8"/>
        <v>🟠 Moderada (3-5 km)</v>
      </c>
      <c r="AA128" s="4"/>
      <c r="AB128" s="4"/>
      <c r="AC128" s="49">
        <v>-11.997563</v>
      </c>
      <c r="AD128" s="49">
        <v>-76.900062000000005</v>
      </c>
      <c r="AE128" s="19" t="str">
        <f>IFERROR(VLOOKUP(C128,tdcargo[],2,FALSE),"DESCONOCIDO")</f>
        <v>OPERARIO</v>
      </c>
    </row>
    <row r="129" spans="1:31" hidden="1" x14ac:dyDescent="0.35">
      <c r="A129" s="8">
        <v>73849251</v>
      </c>
      <c r="B129" s="4" t="s">
        <v>2432</v>
      </c>
      <c r="C129" s="4" t="s">
        <v>1971</v>
      </c>
      <c r="D129" s="5">
        <v>45537</v>
      </c>
      <c r="E129" s="4" t="s">
        <v>31</v>
      </c>
      <c r="F129" s="4" t="s">
        <v>36</v>
      </c>
      <c r="G129" s="4" t="s">
        <v>2433</v>
      </c>
      <c r="H129" s="4" t="s">
        <v>1956</v>
      </c>
      <c r="I129" s="4" t="s">
        <v>1968</v>
      </c>
      <c r="J129" s="4" t="s">
        <v>1968</v>
      </c>
      <c r="K129" s="4" t="s">
        <v>2086</v>
      </c>
      <c r="L129" s="4" t="s">
        <v>2322</v>
      </c>
      <c r="M129" s="4" t="s">
        <v>36</v>
      </c>
      <c r="N129" s="4" t="s">
        <v>2434</v>
      </c>
      <c r="O129" s="4" t="s">
        <v>37</v>
      </c>
      <c r="P129" s="4" t="s">
        <v>37</v>
      </c>
      <c r="Q129" s="10" t="s">
        <v>57</v>
      </c>
      <c r="R129" s="4" t="str">
        <f t="shared" si="9"/>
        <v>4Ta Zona, Lote 9, Mz. M Asoc. Hijos De Apurimac, Ate, Lima, Lima, Perú</v>
      </c>
      <c r="S129" s="4">
        <v>-12.022729500000001</v>
      </c>
      <c r="T129" s="4">
        <v>-76.871375400000005</v>
      </c>
      <c r="U129" s="30">
        <f t="shared" si="6"/>
        <v>4.1900000000000004</v>
      </c>
      <c r="V129" s="4" t="str">
        <f t="shared" si="7"/>
        <v>🟢 Muy Cerca (0-5 km)</v>
      </c>
      <c r="W129" s="19" t="str" cm="1">
        <f t="array" ref="W129">_xlfn.LET(_xlpm.lat_emp,S129,_xlpm.lon_emp,T129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la Cruz</v>
      </c>
      <c r="X129" s="19" t="str">
        <f>_xlfn.LET(_xlpm.paradero,W129,INDEX(PARADEROS_VALIDOS!$A$2:$A$67,MATCH(_xlpm.paradero,PARADEROS_VALIDOS!$C$2:$C$67,0)))</f>
        <v>RUTA 4B</v>
      </c>
      <c r="Y129" s="29" cm="1">
        <f t="array" ref="Y129">_xlfn.LET(_xlpm.lat_emp,S129,_xlpm.lon_emp,T129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1.73</v>
      </c>
      <c r="Z129" s="4" t="str">
        <f t="shared" si="8"/>
        <v>🟡 Cerca (1-3 km)</v>
      </c>
      <c r="AA129" s="4"/>
      <c r="AB129" s="4"/>
      <c r="AC129" s="49">
        <v>-11.997563</v>
      </c>
      <c r="AD129" s="49">
        <v>-76.900062000000005</v>
      </c>
      <c r="AE129" s="19" t="str">
        <f>IFERROR(VLOOKUP(C129,tdcargo[],2,FALSE),"DESCONOCIDO")</f>
        <v>OPERARIO</v>
      </c>
    </row>
    <row r="130" spans="1:31" hidden="1" x14ac:dyDescent="0.35">
      <c r="A130" s="8">
        <v>72785062</v>
      </c>
      <c r="B130" s="4" t="s">
        <v>2435</v>
      </c>
      <c r="C130" s="4" t="s">
        <v>1971</v>
      </c>
      <c r="D130" s="5">
        <v>45628</v>
      </c>
      <c r="E130" s="4" t="s">
        <v>31</v>
      </c>
      <c r="F130" s="4" t="s">
        <v>148</v>
      </c>
      <c r="G130" s="4" t="s">
        <v>2436</v>
      </c>
      <c r="H130" s="4" t="s">
        <v>1956</v>
      </c>
      <c r="I130" s="4" t="s">
        <v>1968</v>
      </c>
      <c r="J130" s="4" t="s">
        <v>1968</v>
      </c>
      <c r="K130" s="4" t="s">
        <v>1968</v>
      </c>
      <c r="L130" s="4" t="s">
        <v>1968</v>
      </c>
      <c r="M130" s="4" t="s">
        <v>36</v>
      </c>
      <c r="N130" s="4" t="s">
        <v>2437</v>
      </c>
      <c r="O130" s="4" t="s">
        <v>37</v>
      </c>
      <c r="P130" s="4" t="s">
        <v>37</v>
      </c>
      <c r="Q130" s="10" t="s">
        <v>76</v>
      </c>
      <c r="R130" s="4" t="str">
        <f t="shared" ref="R130:R161" si="10">_xlfn.LET(_xlpm.parte1,TRIM(IF(F130="Otros / No aplica","",F130&amp;" ")&amp;G130&amp;IF(AND(H130&lt;&gt;"",H130&lt;&gt;"0",H130&lt;&gt;0)," "&amp;H130,"")&amp;IF(I130&lt;&gt;"",", Apt. "&amp;I130,"")&amp;IF(J130&lt;&gt;"",", Int. "&amp;J130,"")&amp;IF(AND(K130&lt;&gt;"",K130&lt;&gt;0),", Lote "&amp;K130,"")&amp;IF(L130&lt;&gt;"",", Mz. "&amp;L130,"")&amp;IF(AND(M130&lt;&gt;"",M130&lt;&gt;"Otros / No aplica"),", "&amp;M130,"")&amp;IF(AND(N130&lt;&gt;"",N130&lt;&gt;"0",N130&lt;&gt;0)," "&amp;N130,"")),_xlpm.parte2,Q130&amp;", "&amp;P130&amp;", "&amp;O130&amp;", Perú",IF(LEFT(_xlpm.parte1,1)=",",TRIM(MID(_xlpm.parte1,2,255))&amp;", "&amp;_xlpm.parte2,IF(_xlpm.parte1="",_xlpm.parte2,_xlpm.parte1&amp;", "&amp;_xlpm.parte2)))</f>
        <v>Pasaje Anexo 8 Banco, Lurigancho, Lima, Lima, Perú</v>
      </c>
      <c r="S130" s="4">
        <v>-11.9085023</v>
      </c>
      <c r="T130" s="4">
        <v>-76.673039900000006</v>
      </c>
      <c r="U130" s="30">
        <f t="shared" ref="U130:U193" si="11">IF(OR(S130="",T130=""),"Sin coordenadas",ROUND(6371*ACOS(COS(RADIANS(90-S130))*COS(RADIANS(90-(-11.997563)))+SIN(RADIANS(90-S130))*SIN(RADIANS(90-(-11.997563)))*COS(RADIANS(T130-(-76.900062)))),2))</f>
        <v>26.61</v>
      </c>
      <c r="V130" s="4" t="str">
        <f t="shared" ref="V130:V193" si="12">IF(U130="Sin coordenadas","N/A",IF(U130&lt;=5,"🟢 Muy Cerca (0-5 km)",IF(U130&lt;=10,"🟡 Cerca (5-10 km)",IF(U130&lt;=20,"🟠 Moderada (10-20 km)","🔴 Lejos (&gt;20 km)"))))</f>
        <v>🔴 Lejos (&gt;20 km)</v>
      </c>
      <c r="W130" s="19" t="str" cm="1">
        <f t="array" ref="W130">_xlfn.LET(_xlpm.lat_emp,S130,_xlpm.lon_emp,T130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130" s="19" t="str">
        <f>_xlfn.LET(_xlpm.paradero,W130,INDEX(PARADEROS_VALIDOS!$A$2:$A$67,MATCH(_xlpm.paradero,PARADEROS_VALIDOS!$C$2:$C$67,0)))</f>
        <v>RUTA 5A</v>
      </c>
      <c r="Y130" s="29" cm="1">
        <f t="array" ref="Y130">_xlfn.LET(_xlpm.lat_emp,S130,_xlpm.lon_emp,T130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13.2</v>
      </c>
      <c r="Z130" s="4" t="str">
        <f t="shared" ref="Z130:Z193" si="13">IF(Y130&lt;=1,"🟢 Muy Cerca (0-1 km)",IF(Y130&lt;=3,"🟡 Cerca (1-3 km)",IF(Y130&lt;=5,"🟠 Moderada (3-5 km)","🔴 Lejos (&gt;5 km)")))</f>
        <v>🔴 Lejos (&gt;5 km)</v>
      </c>
      <c r="AA130" s="4"/>
      <c r="AB130" s="4"/>
      <c r="AC130" s="49">
        <v>-11.997563</v>
      </c>
      <c r="AD130" s="49">
        <v>-76.900062000000005</v>
      </c>
      <c r="AE130" s="19" t="str">
        <f>IFERROR(VLOOKUP(C130,tdcargo[],2,FALSE),"DESCONOCIDO")</f>
        <v>OPERARIO</v>
      </c>
    </row>
    <row r="131" spans="1:31" hidden="1" x14ac:dyDescent="0.35">
      <c r="A131" s="8">
        <v>72519785</v>
      </c>
      <c r="B131" s="4" t="s">
        <v>2438</v>
      </c>
      <c r="C131" s="4" t="s">
        <v>1971</v>
      </c>
      <c r="D131" s="5">
        <v>45677</v>
      </c>
      <c r="E131" s="4" t="s">
        <v>31</v>
      </c>
      <c r="F131" s="4" t="s">
        <v>34</v>
      </c>
      <c r="G131" s="4" t="s">
        <v>991</v>
      </c>
      <c r="H131" s="4" t="s">
        <v>1968</v>
      </c>
      <c r="I131" s="4" t="s">
        <v>1968</v>
      </c>
      <c r="J131" s="4" t="s">
        <v>1968</v>
      </c>
      <c r="K131" s="4" t="s">
        <v>2118</v>
      </c>
      <c r="L131" s="4" t="s">
        <v>2322</v>
      </c>
      <c r="M131" s="4" t="s">
        <v>36</v>
      </c>
      <c r="N131" s="4" t="s">
        <v>2439</v>
      </c>
      <c r="O131" s="4" t="s">
        <v>37</v>
      </c>
      <c r="P131" s="4" t="s">
        <v>37</v>
      </c>
      <c r="Q131" s="10" t="s">
        <v>38</v>
      </c>
      <c r="R131" s="4" t="str">
        <f t="shared" si="10"/>
        <v>Avenida Las Flores, Lote 5, Mz. M Libreria Bazar, San Juan De Lurigancho, Lima, Lima, Perú</v>
      </c>
      <c r="S131" s="4">
        <v>-11.9723883</v>
      </c>
      <c r="T131" s="4">
        <v>-77.004070400000003</v>
      </c>
      <c r="U131" s="30">
        <f t="shared" si="11"/>
        <v>11.65</v>
      </c>
      <c r="V131" s="4" t="str">
        <f t="shared" si="12"/>
        <v>🟠 Moderada (10-20 km)</v>
      </c>
      <c r="W131" s="19" t="str" cm="1">
        <f t="array" ref="W131">_xlfn.LET(_xlpm.lat_emp,S131,_xlpm.lon_emp,T131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Acho</v>
      </c>
      <c r="X131" s="19" t="str">
        <f>_xlfn.LET(_xlpm.paradero,W131,INDEX(PARADEROS_VALIDOS!$A$2:$A$67,MATCH(_xlpm.paradero,PARADEROS_VALIDOS!$C$2:$C$67,0)))</f>
        <v>RUTA 8</v>
      </c>
      <c r="Y131" s="29" cm="1">
        <f t="array" ref="Y131">_xlfn.LET(_xlpm.lat_emp,S131,_xlpm.lon_emp,T131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0.01</v>
      </c>
      <c r="Z131" s="4" t="str">
        <f t="shared" si="13"/>
        <v>🟢 Muy Cerca (0-1 km)</v>
      </c>
      <c r="AA131" s="4"/>
      <c r="AB131" s="4"/>
      <c r="AC131" s="49">
        <v>-11.997563</v>
      </c>
      <c r="AD131" s="49">
        <v>-76.900062000000005</v>
      </c>
      <c r="AE131" s="19" t="str">
        <f>IFERROR(VLOOKUP(C131,tdcargo[],2,FALSE),"DESCONOCIDO")</f>
        <v>OPERARIO</v>
      </c>
    </row>
    <row r="132" spans="1:31" hidden="1" x14ac:dyDescent="0.35">
      <c r="A132" s="8">
        <v>62809491</v>
      </c>
      <c r="B132" s="4" t="s">
        <v>2440</v>
      </c>
      <c r="C132" s="4" t="s">
        <v>1971</v>
      </c>
      <c r="D132" s="5">
        <v>45691</v>
      </c>
      <c r="E132" s="4" t="s">
        <v>31</v>
      </c>
      <c r="F132" s="4" t="s">
        <v>34</v>
      </c>
      <c r="G132" s="4" t="s">
        <v>2441</v>
      </c>
      <c r="H132" s="4" t="s">
        <v>1956</v>
      </c>
      <c r="I132" s="4" t="s">
        <v>1968</v>
      </c>
      <c r="J132" s="4" t="s">
        <v>1968</v>
      </c>
      <c r="K132" s="4" t="s">
        <v>1968</v>
      </c>
      <c r="L132" s="4" t="s">
        <v>1968</v>
      </c>
      <c r="M132" s="4" t="s">
        <v>36</v>
      </c>
      <c r="N132" s="4" t="s">
        <v>2442</v>
      </c>
      <c r="O132" s="4" t="s">
        <v>37</v>
      </c>
      <c r="P132" s="4" t="s">
        <v>37</v>
      </c>
      <c r="Q132" s="10" t="s">
        <v>76</v>
      </c>
      <c r="R132" s="4" t="str">
        <f t="shared" si="10"/>
        <v>Avenida Av.Tupac Amaru C.C Jicamarca Anexo 8 Mz. V1 Lt. 12 A Tupac Amaru Lt 12, Lurigancho, Lima, Lima, Perú</v>
      </c>
      <c r="S132" s="4">
        <v>-11.936527099999999</v>
      </c>
      <c r="T132" s="4">
        <v>-76.704082600000007</v>
      </c>
      <c r="U132" s="30">
        <f t="shared" si="11"/>
        <v>22.37</v>
      </c>
      <c r="V132" s="4" t="str">
        <f t="shared" si="12"/>
        <v>🔴 Lejos (&gt;20 km)</v>
      </c>
      <c r="W132" s="19" t="str" cm="1">
        <f t="array" ref="W132">_xlfn.LET(_xlpm.lat_emp,S132,_xlpm.lon_emp,T132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132" s="19" t="str">
        <f>_xlfn.LET(_xlpm.paradero,W132,INDEX(PARADEROS_VALIDOS!$A$2:$A$67,MATCH(_xlpm.paradero,PARADEROS_VALIDOS!$C$2:$C$67,0)))</f>
        <v>RUTA 5A</v>
      </c>
      <c r="Y132" s="29" cm="1">
        <f t="array" ref="Y132">_xlfn.LET(_xlpm.lat_emp,S132,_xlpm.lon_emp,T132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8.67</v>
      </c>
      <c r="Z132" s="4" t="str">
        <f t="shared" si="13"/>
        <v>🔴 Lejos (&gt;5 km)</v>
      </c>
      <c r="AA132" s="4"/>
      <c r="AB132" s="4"/>
      <c r="AC132" s="49">
        <v>-11.997563</v>
      </c>
      <c r="AD132" s="49">
        <v>-76.900062000000005</v>
      </c>
      <c r="AE132" s="19" t="str">
        <f>IFERROR(VLOOKUP(C132,tdcargo[],2,FALSE),"DESCONOCIDO")</f>
        <v>OPERARIO</v>
      </c>
    </row>
    <row r="133" spans="1:31" x14ac:dyDescent="0.35">
      <c r="A133" s="8">
        <v>46361930</v>
      </c>
      <c r="B133" s="4" t="s">
        <v>2443</v>
      </c>
      <c r="C133" s="4" t="s">
        <v>1971</v>
      </c>
      <c r="D133" s="5">
        <v>44690</v>
      </c>
      <c r="E133" s="4" t="s">
        <v>31</v>
      </c>
      <c r="F133" s="4" t="s">
        <v>36</v>
      </c>
      <c r="G133" s="4" t="s">
        <v>2444</v>
      </c>
      <c r="H133" s="4" t="s">
        <v>1956</v>
      </c>
      <c r="I133" s="4" t="s">
        <v>1968</v>
      </c>
      <c r="J133" s="4" t="s">
        <v>1968</v>
      </c>
      <c r="K133" s="4" t="s">
        <v>1968</v>
      </c>
      <c r="L133" s="4" t="s">
        <v>1968</v>
      </c>
      <c r="M133" s="4" t="s">
        <v>88</v>
      </c>
      <c r="N133" s="4" t="s">
        <v>1665</v>
      </c>
      <c r="O133" s="4" t="s">
        <v>37</v>
      </c>
      <c r="P133" s="4" t="s">
        <v>37</v>
      </c>
      <c r="Q133" s="10" t="s">
        <v>37</v>
      </c>
      <c r="R133" s="4" t="str">
        <f t="shared" si="10"/>
        <v>Asent.H.Santa Maria, A.H. Asentamiento Humano Santa Maria, Lima, Lima, Lima, Perú</v>
      </c>
      <c r="S133" s="4">
        <v>-12.1167686</v>
      </c>
      <c r="T133" s="4">
        <v>-76.989147599999995</v>
      </c>
      <c r="U133" s="30">
        <f t="shared" si="11"/>
        <v>16.420000000000002</v>
      </c>
      <c r="V133" s="4" t="str">
        <f t="shared" si="12"/>
        <v>🟠 Moderada (10-20 km)</v>
      </c>
      <c r="W133" s="19" t="str" cm="1">
        <f t="array" ref="W133">_xlfn.LET(_xlpm.lat_emp,S133,_xlpm.lon_emp,T133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Puente Primavera</v>
      </c>
      <c r="X133" s="19" t="str">
        <f>_xlfn.LET(_xlpm.paradero,W133,INDEX(PARADEROS_VALIDOS!$A$2:$A$67,MATCH(_xlpm.paradero,PARADEROS_VALIDOS!$C$2:$C$67,0)))</f>
        <v>RUTA 7</v>
      </c>
      <c r="Y133" s="29" cm="1">
        <f t="array" ref="Y133">_xlfn.LET(_xlpm.lat_emp,S133,_xlpm.lon_emp,T133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1.37</v>
      </c>
      <c r="Z133" s="4" t="str">
        <f t="shared" si="13"/>
        <v>🟡 Cerca (1-3 km)</v>
      </c>
      <c r="AA133" s="4"/>
      <c r="AB133" s="4"/>
      <c r="AC133" s="49">
        <v>-11.997563</v>
      </c>
      <c r="AD133" s="49">
        <v>-76.900062000000005</v>
      </c>
      <c r="AE133" s="19" t="str">
        <f>IFERROR(VLOOKUP(C133,tdcargo[],2,FALSE),"DESCONOCIDO")</f>
        <v>OPERARIO</v>
      </c>
    </row>
    <row r="134" spans="1:31" hidden="1" x14ac:dyDescent="0.35">
      <c r="A134" s="8">
        <v>60183376</v>
      </c>
      <c r="B134" s="4" t="s">
        <v>2447</v>
      </c>
      <c r="C134" s="4" t="s">
        <v>1971</v>
      </c>
      <c r="D134" s="5">
        <v>45950</v>
      </c>
      <c r="E134" s="4" t="s">
        <v>31</v>
      </c>
      <c r="F134" s="4" t="s">
        <v>82</v>
      </c>
      <c r="G134" s="4" t="s">
        <v>2448</v>
      </c>
      <c r="H134" s="4" t="s">
        <v>2288</v>
      </c>
      <c r="I134" s="4" t="s">
        <v>1968</v>
      </c>
      <c r="J134" s="4" t="s">
        <v>1968</v>
      </c>
      <c r="K134" s="4" t="s">
        <v>2288</v>
      </c>
      <c r="L134" s="4" t="s">
        <v>1278</v>
      </c>
      <c r="M134" s="4" t="s">
        <v>36</v>
      </c>
      <c r="N134" s="4" t="s">
        <v>1023</v>
      </c>
      <c r="O134" s="4" t="s">
        <v>37</v>
      </c>
      <c r="P134" s="4" t="s">
        <v>37</v>
      </c>
      <c r="Q134" s="10" t="s">
        <v>76</v>
      </c>
      <c r="R134" s="4" t="str">
        <f t="shared" si="10"/>
        <v>Calle Santa Mercedez 18, Lote 18, Mz. A La Capitana, Lurigancho, Lima, Lima, Perú</v>
      </c>
      <c r="S134" s="4">
        <v>-12.0438086</v>
      </c>
      <c r="T134" s="4">
        <v>-77.030521399999998</v>
      </c>
      <c r="U134" s="30">
        <f t="shared" si="11"/>
        <v>15.09</v>
      </c>
      <c r="V134" s="4" t="str">
        <f t="shared" si="12"/>
        <v>🟠 Moderada (10-20 km)</v>
      </c>
      <c r="W134" s="19" t="str" cm="1">
        <f t="array" ref="W134">_xlfn.LET(_xlpm.lat_emp,S134,_xlpm.lon_emp,T134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Pte. Trujillo</v>
      </c>
      <c r="X134" s="19" t="str">
        <f>_xlfn.LET(_xlpm.paradero,W134,INDEX(PARADEROS_VALIDOS!$A$2:$A$67,MATCH(_xlpm.paradero,PARADEROS_VALIDOS!$C$2:$C$67,0)))</f>
        <v>RUTA 8</v>
      </c>
      <c r="Y134" s="29" cm="1">
        <f t="array" ref="Y134">_xlfn.LET(_xlpm.lat_emp,S134,_xlpm.lon_emp,T134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0.37</v>
      </c>
      <c r="Z134" s="4" t="str">
        <f t="shared" si="13"/>
        <v>🟢 Muy Cerca (0-1 km)</v>
      </c>
      <c r="AA134" s="4"/>
      <c r="AB134" s="4"/>
      <c r="AC134" s="49">
        <v>-11.997563</v>
      </c>
      <c r="AD134" s="49">
        <v>-76.900062000000005</v>
      </c>
      <c r="AE134" s="19" t="str">
        <f>IFERROR(VLOOKUP(C134,tdcargo[],2,FALSE),"DESCONOCIDO")</f>
        <v>OPERARIO</v>
      </c>
    </row>
    <row r="135" spans="1:31" hidden="1" x14ac:dyDescent="0.35">
      <c r="A135" s="8">
        <v>9187344</v>
      </c>
      <c r="B135" s="4" t="s">
        <v>2449</v>
      </c>
      <c r="C135" s="4" t="s">
        <v>1971</v>
      </c>
      <c r="D135" s="5">
        <v>46055</v>
      </c>
      <c r="E135" s="4" t="s">
        <v>31</v>
      </c>
      <c r="F135" s="4" t="s">
        <v>34</v>
      </c>
      <c r="G135" s="4" t="s">
        <v>726</v>
      </c>
      <c r="H135" s="4" t="s">
        <v>1956</v>
      </c>
      <c r="I135" s="4" t="s">
        <v>1968</v>
      </c>
      <c r="J135" s="4" t="s">
        <v>1968</v>
      </c>
      <c r="K135" s="4" t="s">
        <v>2450</v>
      </c>
      <c r="L135" s="4" t="s">
        <v>1968</v>
      </c>
      <c r="M135" s="4" t="s">
        <v>88</v>
      </c>
      <c r="N135" s="4" t="s">
        <v>727</v>
      </c>
      <c r="O135" s="4" t="s">
        <v>37</v>
      </c>
      <c r="P135" s="4" t="s">
        <v>37</v>
      </c>
      <c r="Q135" s="10" t="s">
        <v>57</v>
      </c>
      <c r="R135" s="4" t="str">
        <f t="shared" si="10"/>
        <v>Avenida Zona E, Lote 46, A.H. Asentamiento Humano HUAYCAN, Ate, Lima, Lima, Perú</v>
      </c>
      <c r="S135" s="4">
        <v>-12.016273200000001</v>
      </c>
      <c r="T135" s="4">
        <v>-76.823802400000005</v>
      </c>
      <c r="U135" s="30">
        <f t="shared" si="11"/>
        <v>8.5500000000000007</v>
      </c>
      <c r="V135" s="4" t="str">
        <f t="shared" si="12"/>
        <v>🟡 Cerca (5-10 km)</v>
      </c>
      <c r="W135" s="19" t="str" cm="1">
        <f t="array" ref="W135">_xlfn.LET(_xlpm.lat_emp,S135,_xlpm.lon_emp,T135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135" s="19" t="str">
        <f>_xlfn.LET(_xlpm.paradero,W135,INDEX(PARADEROS_VALIDOS!$A$2:$A$67,MATCH(_xlpm.paradero,PARADEROS_VALIDOS!$C$2:$C$67,0)))</f>
        <v>RUTA 3</v>
      </c>
      <c r="Y135" s="29" cm="1">
        <f t="array" ref="Y135">_xlfn.LET(_xlpm.lat_emp,S135,_xlpm.lon_emp,T135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1.07</v>
      </c>
      <c r="Z135" s="4" t="str">
        <f t="shared" si="13"/>
        <v>🟡 Cerca (1-3 km)</v>
      </c>
      <c r="AA135" s="4"/>
      <c r="AB135" s="4"/>
      <c r="AC135" s="49">
        <v>-11.997563</v>
      </c>
      <c r="AD135" s="49">
        <v>-76.900062000000005</v>
      </c>
      <c r="AE135" s="19" t="str">
        <f>IFERROR(VLOOKUP(C135,tdcargo[],2,FALSE),"DESCONOCIDO")</f>
        <v>OPERARIO</v>
      </c>
    </row>
    <row r="136" spans="1:31" hidden="1" x14ac:dyDescent="0.35">
      <c r="A136" s="8">
        <v>74363248</v>
      </c>
      <c r="B136" s="4" t="s">
        <v>2451</v>
      </c>
      <c r="C136" s="4" t="s">
        <v>2001</v>
      </c>
      <c r="D136" s="5">
        <v>45540</v>
      </c>
      <c r="E136" s="4" t="s">
        <v>31</v>
      </c>
      <c r="F136" s="4" t="s">
        <v>82</v>
      </c>
      <c r="G136" s="4" t="s">
        <v>2452</v>
      </c>
      <c r="H136" s="4" t="s">
        <v>1956</v>
      </c>
      <c r="I136" s="4" t="s">
        <v>1968</v>
      </c>
      <c r="J136" s="4" t="s">
        <v>1968</v>
      </c>
      <c r="K136" s="4" t="s">
        <v>1968</v>
      </c>
      <c r="L136" s="4" t="s">
        <v>1968</v>
      </c>
      <c r="M136" s="4" t="s">
        <v>186</v>
      </c>
      <c r="N136" s="4" t="s">
        <v>2452</v>
      </c>
      <c r="O136" s="4" t="s">
        <v>37</v>
      </c>
      <c r="P136" s="4" t="s">
        <v>37</v>
      </c>
      <c r="Q136" s="10" t="s">
        <v>57</v>
      </c>
      <c r="R136" s="4" t="str">
        <f t="shared" si="10"/>
        <v>Calle Las Mercedes, Urb. Urbanización Las Mercedes, Ate, Lima, Lima, Perú</v>
      </c>
      <c r="S136" s="4">
        <v>-12.0138339</v>
      </c>
      <c r="T136" s="4">
        <v>-76.8502984</v>
      </c>
      <c r="U136" s="30">
        <f t="shared" si="11"/>
        <v>5.71</v>
      </c>
      <c r="V136" s="4" t="str">
        <f t="shared" si="12"/>
        <v>🟡 Cerca (5-10 km)</v>
      </c>
      <c r="W136" s="19" t="str" cm="1">
        <f t="array" ref="W136">_xlfn.LET(_xlpm.lat_emp,S136,_xlpm.lon_emp,T136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Gloria Grande</v>
      </c>
      <c r="X136" s="19" t="str">
        <f>_xlfn.LET(_xlpm.paradero,W136,INDEX(PARADEROS_VALIDOS!$A$2:$A$67,MATCH(_xlpm.paradero,PARADEROS_VALIDOS!$C$2:$C$67,0)))</f>
        <v>RUTA 5B</v>
      </c>
      <c r="Y136" s="29" cm="1">
        <f t="array" ref="Y136">_xlfn.LET(_xlpm.lat_emp,S136,_xlpm.lon_emp,T136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0.72</v>
      </c>
      <c r="Z136" s="4" t="str">
        <f t="shared" si="13"/>
        <v>🟢 Muy Cerca (0-1 km)</v>
      </c>
      <c r="AA136" s="4"/>
      <c r="AB136" s="4"/>
      <c r="AC136" s="49">
        <v>-11.997563</v>
      </c>
      <c r="AD136" s="49">
        <v>-76.900062000000005</v>
      </c>
      <c r="AE136" s="19" t="str">
        <f>IFERROR(VLOOKUP(C136,tdcargo[],2,FALSE),"DESCONOCIDO")</f>
        <v>OPERARIO</v>
      </c>
    </row>
    <row r="137" spans="1:31" hidden="1" x14ac:dyDescent="0.35">
      <c r="A137" s="8">
        <v>72227340</v>
      </c>
      <c r="B137" s="4" t="s">
        <v>2453</v>
      </c>
      <c r="C137" s="4" t="s">
        <v>2006</v>
      </c>
      <c r="D137" s="5">
        <v>45845</v>
      </c>
      <c r="E137" s="4" t="s">
        <v>31</v>
      </c>
      <c r="F137" s="4" t="s">
        <v>36</v>
      </c>
      <c r="G137" s="4" t="s">
        <v>2454</v>
      </c>
      <c r="H137" s="4" t="s">
        <v>2455</v>
      </c>
      <c r="I137" s="4" t="s">
        <v>1968</v>
      </c>
      <c r="J137" s="4" t="s">
        <v>1968</v>
      </c>
      <c r="K137" s="4" t="s">
        <v>1973</v>
      </c>
      <c r="L137" s="4" t="s">
        <v>2456</v>
      </c>
      <c r="M137" s="4" t="s">
        <v>36</v>
      </c>
      <c r="N137" s="4" t="s">
        <v>705</v>
      </c>
      <c r="O137" s="4" t="s">
        <v>37</v>
      </c>
      <c r="P137" s="4" t="s">
        <v>37</v>
      </c>
      <c r="Q137" s="10" t="s">
        <v>57</v>
      </c>
      <c r="R137" s="4" t="str">
        <f t="shared" si="10"/>
        <v>Zona Z 233, Lote 15, Mz. UCV Huaycan, Ate, Lima, Lima, Perú</v>
      </c>
      <c r="S137" s="4">
        <v>-12.0109124</v>
      </c>
      <c r="T137" s="4">
        <v>-76.799288000000004</v>
      </c>
      <c r="U137" s="30">
        <f t="shared" si="11"/>
        <v>11.06</v>
      </c>
      <c r="V137" s="4" t="str">
        <f t="shared" si="12"/>
        <v>🟠 Moderada (10-20 km)</v>
      </c>
      <c r="W137" s="19" t="str" cm="1">
        <f t="array" ref="W137">_xlfn.LET(_xlpm.lat_emp,S137,_xlpm.lon_emp,T137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137" s="19" t="str">
        <f>_xlfn.LET(_xlpm.paradero,W137,INDEX(PARADEROS_VALIDOS!$A$2:$A$67,MATCH(_xlpm.paradero,PARADEROS_VALIDOS!$C$2:$C$67,0)))</f>
        <v>RUTA 3</v>
      </c>
      <c r="Y137" s="29" cm="1">
        <f t="array" ref="Y137">_xlfn.LET(_xlpm.lat_emp,S137,_xlpm.lon_emp,T137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3.03</v>
      </c>
      <c r="Z137" s="4" t="str">
        <f t="shared" si="13"/>
        <v>🟠 Moderada (3-5 km)</v>
      </c>
      <c r="AA137" s="4"/>
      <c r="AB137" s="4"/>
      <c r="AC137" s="49">
        <v>-11.997563</v>
      </c>
      <c r="AD137" s="49">
        <v>-76.900062000000005</v>
      </c>
      <c r="AE137" s="19" t="str">
        <f>IFERROR(VLOOKUP(C137,tdcargo[],2,FALSE),"DESCONOCIDO")</f>
        <v>OPERARIO</v>
      </c>
    </row>
    <row r="138" spans="1:31" hidden="1" x14ac:dyDescent="0.35">
      <c r="A138" s="8">
        <v>75669231</v>
      </c>
      <c r="B138" s="4" t="s">
        <v>2457</v>
      </c>
      <c r="C138" s="4" t="s">
        <v>1971</v>
      </c>
      <c r="D138" s="5">
        <v>45964</v>
      </c>
      <c r="E138" s="4" t="s">
        <v>31</v>
      </c>
      <c r="F138" s="4" t="s">
        <v>82</v>
      </c>
      <c r="G138" s="4" t="s">
        <v>2458</v>
      </c>
      <c r="H138" s="4" t="s">
        <v>2459</v>
      </c>
      <c r="I138" s="4" t="s">
        <v>1968</v>
      </c>
      <c r="J138" s="4" t="s">
        <v>1968</v>
      </c>
      <c r="K138" s="4" t="s">
        <v>2203</v>
      </c>
      <c r="L138" s="4" t="s">
        <v>1861</v>
      </c>
      <c r="M138" s="4" t="s">
        <v>36</v>
      </c>
      <c r="N138" s="4" t="s">
        <v>2460</v>
      </c>
      <c r="O138" s="4" t="s">
        <v>37</v>
      </c>
      <c r="P138" s="4" t="s">
        <v>37</v>
      </c>
      <c r="Q138" s="10" t="s">
        <v>57</v>
      </c>
      <c r="R138" s="4" t="str">
        <f t="shared" si="10"/>
        <v>Calle Cruz De Huanchihuaylas 127, Lote 11, Mz. D Huanchihuaylas, Ate, Lima, Lima, Perú</v>
      </c>
      <c r="S138" s="4">
        <v>-12.019569000000001</v>
      </c>
      <c r="T138" s="4">
        <v>-76.900814699999998</v>
      </c>
      <c r="U138" s="30">
        <f t="shared" si="11"/>
        <v>2.4500000000000002</v>
      </c>
      <c r="V138" s="4" t="str">
        <f t="shared" si="12"/>
        <v>🟢 Muy Cerca (0-5 km)</v>
      </c>
      <c r="W138" s="19" t="str" cm="1">
        <f t="array" ref="W138">_xlfn.LET(_xlpm.lat_emp,S138,_xlpm.lon_emp,T138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Esperanza</v>
      </c>
      <c r="X138" s="19" t="str">
        <f>_xlfn.LET(_xlpm.paradero,W138,INDEX(PARADEROS_VALIDOS!$A$2:$A$67,MATCH(_xlpm.paradero,PARADEROS_VALIDOS!$C$2:$C$67,0)))</f>
        <v>RUTA 4B</v>
      </c>
      <c r="Y138" s="29" cm="1">
        <f t="array" ref="Y138">_xlfn.LET(_xlpm.lat_emp,S138,_xlpm.lon_emp,T138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0.71</v>
      </c>
      <c r="Z138" s="4" t="str">
        <f t="shared" si="13"/>
        <v>🟢 Muy Cerca (0-1 km)</v>
      </c>
      <c r="AA138" s="4"/>
      <c r="AB138" s="4"/>
      <c r="AC138" s="49">
        <v>-11.997563</v>
      </c>
      <c r="AD138" s="49">
        <v>-76.900062000000005</v>
      </c>
      <c r="AE138" s="19" t="str">
        <f>IFERROR(VLOOKUP(C138,tdcargo[],2,FALSE),"DESCONOCIDO")</f>
        <v>OPERARIO</v>
      </c>
    </row>
    <row r="139" spans="1:31" hidden="1" x14ac:dyDescent="0.35">
      <c r="A139" s="8">
        <v>73191423</v>
      </c>
      <c r="B139" s="4" t="s">
        <v>2461</v>
      </c>
      <c r="C139" s="4" t="s">
        <v>1971</v>
      </c>
      <c r="D139" s="5">
        <v>45964</v>
      </c>
      <c r="E139" s="4" t="s">
        <v>31</v>
      </c>
      <c r="F139" s="4" t="s">
        <v>34</v>
      </c>
      <c r="G139" s="4" t="s">
        <v>412</v>
      </c>
      <c r="H139" s="4" t="s">
        <v>2462</v>
      </c>
      <c r="I139" s="4" t="s">
        <v>1968</v>
      </c>
      <c r="J139" s="4" t="s">
        <v>1968</v>
      </c>
      <c r="K139" s="4" t="s">
        <v>1973</v>
      </c>
      <c r="L139" s="4" t="s">
        <v>1968</v>
      </c>
      <c r="M139" s="4" t="s">
        <v>36</v>
      </c>
      <c r="N139" s="4" t="s">
        <v>2463</v>
      </c>
      <c r="O139" s="4" t="s">
        <v>37</v>
      </c>
      <c r="P139" s="4" t="s">
        <v>37</v>
      </c>
      <c r="Q139" s="10" t="s">
        <v>38</v>
      </c>
      <c r="R139" s="4" t="str">
        <f t="shared" si="10"/>
        <v>Avenida Circunvalacion 4096, Lote 15 Urpi, San Juan De Lurigancho, Lima, Lima, Perú</v>
      </c>
      <c r="S139" s="4">
        <v>-11.9660058</v>
      </c>
      <c r="T139" s="4">
        <v>-76.992657399999999</v>
      </c>
      <c r="U139" s="30">
        <f t="shared" si="11"/>
        <v>10.67</v>
      </c>
      <c r="V139" s="4" t="str">
        <f t="shared" si="12"/>
        <v>🟠 Moderada (10-20 km)</v>
      </c>
      <c r="W139" s="19" t="str" cm="1">
        <f t="array" ref="W139">_xlfn.LET(_xlpm.lat_emp,S139,_xlpm.lon_emp,T139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139" s="19" t="str">
        <f>_xlfn.LET(_xlpm.paradero,W139,INDEX(PARADEROS_VALIDOS!$A$2:$A$67,MATCH(_xlpm.paradero,PARADEROS_VALIDOS!$C$2:$C$67,0)))</f>
        <v>RUTA 6A</v>
      </c>
      <c r="Y139" s="29" cm="1">
        <f t="array" ref="Y139">_xlfn.LET(_xlpm.lat_emp,S139,_xlpm.lon_emp,T139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1.29</v>
      </c>
      <c r="Z139" s="4" t="str">
        <f t="shared" si="13"/>
        <v>🟡 Cerca (1-3 km)</v>
      </c>
      <c r="AA139" s="4"/>
      <c r="AB139" s="4"/>
      <c r="AC139" s="49">
        <v>-11.997563</v>
      </c>
      <c r="AD139" s="49">
        <v>-76.900062000000005</v>
      </c>
      <c r="AE139" s="19" t="str">
        <f>IFERROR(VLOOKUP(C139,tdcargo[],2,FALSE),"DESCONOCIDO")</f>
        <v>OPERARIO</v>
      </c>
    </row>
    <row r="140" spans="1:31" x14ac:dyDescent="0.35">
      <c r="A140" s="8">
        <v>60481330</v>
      </c>
      <c r="B140" s="4" t="s">
        <v>2464</v>
      </c>
      <c r="C140" s="4" t="s">
        <v>1971</v>
      </c>
      <c r="D140" s="5">
        <v>45537</v>
      </c>
      <c r="E140" s="4" t="s">
        <v>31</v>
      </c>
      <c r="F140" s="4" t="s">
        <v>36</v>
      </c>
      <c r="G140" s="4" t="s">
        <v>2465</v>
      </c>
      <c r="H140" s="4" t="s">
        <v>1956</v>
      </c>
      <c r="I140" s="4" t="s">
        <v>1968</v>
      </c>
      <c r="J140" s="4" t="s">
        <v>1968</v>
      </c>
      <c r="K140" s="4" t="s">
        <v>1968</v>
      </c>
      <c r="L140" s="4" t="s">
        <v>1968</v>
      </c>
      <c r="M140" s="4" t="s">
        <v>36</v>
      </c>
      <c r="N140" s="4" t="s">
        <v>227</v>
      </c>
      <c r="O140" s="4" t="s">
        <v>37</v>
      </c>
      <c r="P140" s="4" t="s">
        <v>37</v>
      </c>
      <c r="Q140" s="10" t="s">
        <v>76</v>
      </c>
      <c r="R140" s="4" t="str">
        <f t="shared" si="10"/>
        <v>Asc. De Villa La Encantada De Cajamarquilla Huachipa, Lurigancho, Lima, Lima, Perú</v>
      </c>
      <c r="S140" s="4">
        <v>-12.211410000000001</v>
      </c>
      <c r="T140" s="4">
        <v>-77.008246600000007</v>
      </c>
      <c r="U140" s="30">
        <f t="shared" si="11"/>
        <v>26.53</v>
      </c>
      <c r="V140" s="4" t="str">
        <f t="shared" si="12"/>
        <v>🔴 Lejos (&gt;20 km)</v>
      </c>
      <c r="W140" s="19" t="str" cm="1">
        <f t="array" ref="W140">_xlfn.LET(_xlpm.lat_emp,S140,_xlpm.lon_emp,T140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Puente Alipio</v>
      </c>
      <c r="X140" s="19" t="str">
        <f>_xlfn.LET(_xlpm.paradero,W140,INDEX(PARADEROS_VALIDOS!$A$2:$A$67,MATCH(_xlpm.paradero,PARADEROS_VALIDOS!$C$2:$C$67,0)))</f>
        <v>RUTA 7</v>
      </c>
      <c r="Y140" s="29" cm="1">
        <f t="array" ref="Y140">_xlfn.LET(_xlpm.lat_emp,S140,_xlpm.lon_emp,T140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5.71</v>
      </c>
      <c r="Z140" s="4" t="str">
        <f t="shared" si="13"/>
        <v>🔴 Lejos (&gt;5 km)</v>
      </c>
      <c r="AA140" s="4"/>
      <c r="AB140" s="4"/>
      <c r="AC140" s="49">
        <v>-11.997563</v>
      </c>
      <c r="AD140" s="49">
        <v>-76.900062000000005</v>
      </c>
      <c r="AE140" s="19" t="str">
        <f>IFERROR(VLOOKUP(C140,tdcargo[],2,FALSE),"DESCONOCIDO")</f>
        <v>OPERARIO</v>
      </c>
    </row>
    <row r="141" spans="1:31" hidden="1" x14ac:dyDescent="0.35">
      <c r="A141" s="8">
        <v>76522903</v>
      </c>
      <c r="B141" s="4" t="s">
        <v>2466</v>
      </c>
      <c r="C141" s="4" t="s">
        <v>1971</v>
      </c>
      <c r="D141" s="5">
        <v>46083</v>
      </c>
      <c r="E141" s="4" t="s">
        <v>31</v>
      </c>
      <c r="F141" s="4" t="s">
        <v>82</v>
      </c>
      <c r="G141" s="4" t="s">
        <v>2467</v>
      </c>
      <c r="H141" s="4" t="s">
        <v>2288</v>
      </c>
      <c r="I141" s="4" t="s">
        <v>1968</v>
      </c>
      <c r="J141" s="4" t="s">
        <v>1968</v>
      </c>
      <c r="K141" s="4" t="s">
        <v>1968</v>
      </c>
      <c r="L141" s="4" t="s">
        <v>1968</v>
      </c>
      <c r="M141" s="4" t="s">
        <v>36</v>
      </c>
      <c r="N141" s="4" t="s">
        <v>2468</v>
      </c>
      <c r="O141" s="4" t="s">
        <v>37</v>
      </c>
      <c r="P141" s="4" t="s">
        <v>37</v>
      </c>
      <c r="Q141" s="10" t="s">
        <v>76</v>
      </c>
      <c r="R141" s="4" t="str">
        <f t="shared" si="10"/>
        <v>Calle Los Sauces 18 PARAISO DE CAJAMARQ, Lurigancho, Lima, Lima, Perú</v>
      </c>
      <c r="S141" s="4">
        <v>-11.976734</v>
      </c>
      <c r="T141" s="4">
        <v>-76.907849299999995</v>
      </c>
      <c r="U141" s="30">
        <f t="shared" si="11"/>
        <v>2.4700000000000002</v>
      </c>
      <c r="V141" s="4" t="str">
        <f t="shared" si="12"/>
        <v>🟢 Muy Cerca (0-5 km)</v>
      </c>
      <c r="W141" s="19" t="str" cm="1">
        <f t="array" ref="W141">_xlfn.LET(_xlpm.lat_emp,S141,_xlpm.lon_emp,T141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141" s="19" t="str">
        <f>_xlfn.LET(_xlpm.paradero,W141,INDEX(PARADEROS_VALIDOS!$A$2:$A$67,MATCH(_xlpm.paradero,PARADEROS_VALIDOS!$C$2:$C$67,0)))</f>
        <v>RUTA 2</v>
      </c>
      <c r="Y141" s="29" cm="1">
        <f t="array" ref="Y141">_xlfn.LET(_xlpm.lat_emp,S141,_xlpm.lon_emp,T141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1.93</v>
      </c>
      <c r="Z141" s="4" t="str">
        <f t="shared" si="13"/>
        <v>🟡 Cerca (1-3 km)</v>
      </c>
      <c r="AA141" s="4"/>
      <c r="AB141" s="4"/>
      <c r="AC141" s="49">
        <v>-11.997563</v>
      </c>
      <c r="AD141" s="49">
        <v>-76.900062000000005</v>
      </c>
      <c r="AE141" s="19" t="str">
        <f>IFERROR(VLOOKUP(C141,tdcargo[],2,FALSE),"DESCONOCIDO")</f>
        <v>OPERARIO</v>
      </c>
    </row>
    <row r="142" spans="1:31" hidden="1" x14ac:dyDescent="0.35">
      <c r="A142" s="8">
        <v>47467451</v>
      </c>
      <c r="B142" s="4" t="s">
        <v>2469</v>
      </c>
      <c r="C142" s="4" t="s">
        <v>1971</v>
      </c>
      <c r="D142" s="5">
        <v>45057</v>
      </c>
      <c r="E142" s="4" t="s">
        <v>31</v>
      </c>
      <c r="F142" s="4" t="s">
        <v>34</v>
      </c>
      <c r="G142" s="4" t="s">
        <v>2470</v>
      </c>
      <c r="H142" s="4" t="s">
        <v>2118</v>
      </c>
      <c r="I142" s="4" t="s">
        <v>1968</v>
      </c>
      <c r="J142" s="4" t="s">
        <v>2471</v>
      </c>
      <c r="K142" s="4" t="s">
        <v>1968</v>
      </c>
      <c r="L142" s="4" t="s">
        <v>1968</v>
      </c>
      <c r="M142" s="4" t="s">
        <v>66</v>
      </c>
      <c r="N142" s="4" t="s">
        <v>2472</v>
      </c>
      <c r="O142" s="4" t="s">
        <v>37</v>
      </c>
      <c r="P142" s="4" t="s">
        <v>37</v>
      </c>
      <c r="Q142" s="10" t="s">
        <v>76</v>
      </c>
      <c r="R142" s="4" t="str">
        <f t="shared" si="10"/>
        <v>Avenida Alameda Ñaña Condominio Mirador Del Golf 5, Int. 501, U.V. Unidad Vecinal Mirador Del Golf, Lurigancho, Lima, Lima, Perú</v>
      </c>
      <c r="S142" s="4">
        <v>-11.982696199999999</v>
      </c>
      <c r="T142" s="4">
        <v>-76.822028799999998</v>
      </c>
      <c r="U142" s="30">
        <f t="shared" si="11"/>
        <v>8.65</v>
      </c>
      <c r="V142" s="4" t="str">
        <f t="shared" si="12"/>
        <v>🟡 Cerca (5-10 km)</v>
      </c>
      <c r="W142" s="19" t="str" cm="1">
        <f t="array" ref="W142">_xlfn.LET(_xlpm.lat_emp,S142,_xlpm.lon_emp,T142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Ñaña</v>
      </c>
      <c r="X142" s="19" t="str">
        <f>_xlfn.LET(_xlpm.paradero,W142,INDEX(PARADEROS_VALIDOS!$A$2:$A$67,MATCH(_xlpm.paradero,PARADEROS_VALIDOS!$C$2:$C$67,0)))</f>
        <v>RUTA 5A</v>
      </c>
      <c r="Y142" s="29" cm="1">
        <f t="array" ref="Y142">_xlfn.LET(_xlpm.lat_emp,S142,_xlpm.lon_emp,T142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0.82</v>
      </c>
      <c r="Z142" s="4" t="str">
        <f t="shared" si="13"/>
        <v>🟢 Muy Cerca (0-1 km)</v>
      </c>
      <c r="AA142" s="4"/>
      <c r="AB142" s="4"/>
      <c r="AC142" s="49">
        <v>-11.997563</v>
      </c>
      <c r="AD142" s="49">
        <v>-76.900062000000005</v>
      </c>
      <c r="AE142" s="19" t="str">
        <f>IFERROR(VLOOKUP(C142,tdcargo[],2,FALSE),"DESCONOCIDO")</f>
        <v>OPERARIO</v>
      </c>
    </row>
    <row r="143" spans="1:31" hidden="1" x14ac:dyDescent="0.35">
      <c r="A143" s="8">
        <v>44942225</v>
      </c>
      <c r="B143" s="4" t="s">
        <v>2473</v>
      </c>
      <c r="C143" s="4" t="s">
        <v>1971</v>
      </c>
      <c r="D143" s="5">
        <v>46055</v>
      </c>
      <c r="E143" s="4" t="s">
        <v>31</v>
      </c>
      <c r="F143" s="4" t="s">
        <v>82</v>
      </c>
      <c r="G143" s="4" t="s">
        <v>2474</v>
      </c>
      <c r="H143" s="4" t="s">
        <v>2086</v>
      </c>
      <c r="I143" s="4" t="s">
        <v>1968</v>
      </c>
      <c r="J143" s="4" t="s">
        <v>1968</v>
      </c>
      <c r="K143" s="4" t="s">
        <v>1968</v>
      </c>
      <c r="L143" s="4" t="s">
        <v>1974</v>
      </c>
      <c r="M143" s="4" t="s">
        <v>88</v>
      </c>
      <c r="N143" s="4" t="s">
        <v>1487</v>
      </c>
      <c r="O143" s="4" t="s">
        <v>37</v>
      </c>
      <c r="P143" s="4" t="s">
        <v>37</v>
      </c>
      <c r="Q143" s="10" t="s">
        <v>76</v>
      </c>
      <c r="R143" s="4" t="str">
        <f t="shared" si="10"/>
        <v>Calle Los Frutales 9, Mz. B, A.H. Asentamiento Humano CAJAMARQUILLA, Lurigancho, Lima, Lima, Perú</v>
      </c>
      <c r="S143" s="4">
        <v>-11.984105100000001</v>
      </c>
      <c r="T143" s="4">
        <v>-76.9183594</v>
      </c>
      <c r="U143" s="30">
        <f t="shared" si="11"/>
        <v>2.4900000000000002</v>
      </c>
      <c r="V143" s="4" t="str">
        <f t="shared" si="12"/>
        <v>🟢 Muy Cerca (0-5 km)</v>
      </c>
      <c r="W143" s="19" t="str" cm="1">
        <f t="array" ref="W143">_xlfn.LET(_xlpm.lat_emp,S143,_xlpm.lon_emp,T143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143" s="19" t="str">
        <f>_xlfn.LET(_xlpm.paradero,W143,INDEX(PARADEROS_VALIDOS!$A$2:$A$67,MATCH(_xlpm.paradero,PARADEROS_VALIDOS!$C$2:$C$67,0)))</f>
        <v>RUTA 2</v>
      </c>
      <c r="Y143" s="29" cm="1">
        <f t="array" ref="Y143">_xlfn.LET(_xlpm.lat_emp,S143,_xlpm.lon_emp,T143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1.96</v>
      </c>
      <c r="Z143" s="4" t="str">
        <f t="shared" si="13"/>
        <v>🟡 Cerca (1-3 km)</v>
      </c>
      <c r="AA143" s="4"/>
      <c r="AB143" s="4"/>
      <c r="AC143" s="49">
        <v>-11.997563</v>
      </c>
      <c r="AD143" s="49">
        <v>-76.900062000000005</v>
      </c>
      <c r="AE143" s="19" t="str">
        <f>IFERROR(VLOOKUP(C143,tdcargo[],2,FALSE),"DESCONOCIDO")</f>
        <v>OPERARIO</v>
      </c>
    </row>
    <row r="144" spans="1:31" hidden="1" x14ac:dyDescent="0.35">
      <c r="A144" s="8">
        <v>76766754</v>
      </c>
      <c r="B144" s="4" t="s">
        <v>2479</v>
      </c>
      <c r="C144" s="4" t="s">
        <v>2001</v>
      </c>
      <c r="D144" s="5">
        <v>45012</v>
      </c>
      <c r="E144" s="4" t="s">
        <v>31</v>
      </c>
      <c r="F144" s="4" t="s">
        <v>82</v>
      </c>
      <c r="G144" s="4" t="s">
        <v>2480</v>
      </c>
      <c r="H144" s="4" t="s">
        <v>1956</v>
      </c>
      <c r="I144" s="4" t="s">
        <v>1968</v>
      </c>
      <c r="J144" s="4" t="s">
        <v>1968</v>
      </c>
      <c r="K144" s="4" t="s">
        <v>1968</v>
      </c>
      <c r="L144" s="4" t="s">
        <v>1968</v>
      </c>
      <c r="M144" s="4" t="s">
        <v>88</v>
      </c>
      <c r="N144" s="4" t="s">
        <v>2481</v>
      </c>
      <c r="O144" s="4" t="s">
        <v>37</v>
      </c>
      <c r="P144" s="4" t="s">
        <v>37</v>
      </c>
      <c r="Q144" s="10" t="s">
        <v>38</v>
      </c>
      <c r="R144" s="4" t="str">
        <f t="shared" si="10"/>
        <v>Calle Casa Huerta La Canpiã‘A, A.H. Asentamiento Humano Canpiã‘A, San Juan De Lurigancho, Lima, Lima, Perú</v>
      </c>
      <c r="S144" s="4">
        <v>-11.941849700000001</v>
      </c>
      <c r="T144" s="4">
        <v>-76.966758900000002</v>
      </c>
      <c r="U144" s="30">
        <f t="shared" si="11"/>
        <v>9.5399999999999991</v>
      </c>
      <c r="V144" s="4" t="str">
        <f t="shared" si="12"/>
        <v>🟡 Cerca (5-10 km)</v>
      </c>
      <c r="W144" s="19" t="str" cm="1">
        <f t="array" ref="W144">_xlfn.LET(_xlpm.lat_emp,S144,_xlpm.lon_emp,T144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144" s="19" t="str">
        <f>_xlfn.LET(_xlpm.paradero,W144,INDEX(PARADEROS_VALIDOS!$A$2:$A$67,MATCH(_xlpm.paradero,PARADEROS_VALIDOS!$C$2:$C$67,0)))</f>
        <v>RUTA 6A</v>
      </c>
      <c r="Y144" s="29" cm="1">
        <f t="array" ref="Y144">_xlfn.LET(_xlpm.lat_emp,S144,_xlpm.lon_emp,T144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5.18</v>
      </c>
      <c r="Z144" s="4" t="str">
        <f t="shared" si="13"/>
        <v>🔴 Lejos (&gt;5 km)</v>
      </c>
      <c r="AA144" s="4"/>
      <c r="AB144" s="4"/>
      <c r="AC144" s="49">
        <v>-11.997563</v>
      </c>
      <c r="AD144" s="49">
        <v>-76.900062000000005</v>
      </c>
      <c r="AE144" s="19" t="str">
        <f>IFERROR(VLOOKUP(C144,tdcargo[],2,FALSE),"DESCONOCIDO")</f>
        <v>OPERARIO</v>
      </c>
    </row>
    <row r="145" spans="1:31" hidden="1" x14ac:dyDescent="0.35">
      <c r="A145" s="8">
        <v>77000163</v>
      </c>
      <c r="B145" s="4" t="s">
        <v>2482</v>
      </c>
      <c r="C145" s="4" t="s">
        <v>1971</v>
      </c>
      <c r="D145" s="5">
        <v>46072</v>
      </c>
      <c r="E145" s="4" t="s">
        <v>31</v>
      </c>
      <c r="F145" s="4" t="s">
        <v>34</v>
      </c>
      <c r="G145" s="4" t="s">
        <v>2483</v>
      </c>
      <c r="H145" s="4" t="s">
        <v>1956</v>
      </c>
      <c r="I145" s="4" t="s">
        <v>1968</v>
      </c>
      <c r="J145" s="4" t="s">
        <v>1968</v>
      </c>
      <c r="K145" s="4" t="s">
        <v>2484</v>
      </c>
      <c r="L145" s="4" t="s">
        <v>1974</v>
      </c>
      <c r="M145" s="4" t="s">
        <v>36</v>
      </c>
      <c r="N145" s="4" t="s">
        <v>2485</v>
      </c>
      <c r="O145" s="4" t="s">
        <v>37</v>
      </c>
      <c r="P145" s="4" t="s">
        <v>37</v>
      </c>
      <c r="Q145" s="10" t="s">
        <v>57</v>
      </c>
      <c r="R145" s="4" t="str">
        <f t="shared" si="10"/>
        <v>Avenida Entrada Huachipa, Lote 25, Mz. B VIRGEN DE COCHARCAS, Ate, Lima, Lima, Perú</v>
      </c>
      <c r="S145" s="4">
        <v>-12.016613899999999</v>
      </c>
      <c r="T145" s="4">
        <v>-76.895054099999996</v>
      </c>
      <c r="U145" s="30">
        <f t="shared" si="11"/>
        <v>2.19</v>
      </c>
      <c r="V145" s="4" t="str">
        <f t="shared" si="12"/>
        <v>🟢 Muy Cerca (0-5 km)</v>
      </c>
      <c r="W145" s="19" t="str" cm="1">
        <f t="array" ref="W145">_xlfn.LET(_xlpm.lat_emp,S145,_xlpm.lon_emp,T145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Sta. Clara</v>
      </c>
      <c r="X145" s="19" t="str">
        <f>_xlfn.LET(_xlpm.paradero,W145,INDEX(PARADEROS_VALIDOS!$A$2:$A$67,MATCH(_xlpm.paradero,PARADEROS_VALIDOS!$C$2:$C$67,0)))</f>
        <v>RUTA 5C</v>
      </c>
      <c r="Y145" s="29" cm="1">
        <f t="array" ref="Y145">_xlfn.LET(_xlpm.lat_emp,S145,_xlpm.lon_emp,T145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1.08</v>
      </c>
      <c r="Z145" s="4" t="str">
        <f t="shared" si="13"/>
        <v>🟡 Cerca (1-3 km)</v>
      </c>
      <c r="AA145" s="4"/>
      <c r="AB145" s="4"/>
      <c r="AC145" s="49">
        <v>-11.997563</v>
      </c>
      <c r="AD145" s="49">
        <v>-76.900062000000005</v>
      </c>
      <c r="AE145" s="19" t="str">
        <f>IFERROR(VLOOKUP(C145,tdcargo[],2,FALSE),"DESCONOCIDO")</f>
        <v>OPERARIO</v>
      </c>
    </row>
    <row r="146" spans="1:31" hidden="1" x14ac:dyDescent="0.35">
      <c r="A146" s="8">
        <v>5195084</v>
      </c>
      <c r="B146" s="4" t="s">
        <v>2486</v>
      </c>
      <c r="C146" s="4" t="s">
        <v>1971</v>
      </c>
      <c r="D146" s="5">
        <v>46024</v>
      </c>
      <c r="E146" s="4" t="s">
        <v>31</v>
      </c>
      <c r="F146" s="4" t="s">
        <v>34</v>
      </c>
      <c r="G146" s="4" t="s">
        <v>2487</v>
      </c>
      <c r="H146" s="4" t="s">
        <v>2488</v>
      </c>
      <c r="I146" s="4" t="s">
        <v>1968</v>
      </c>
      <c r="J146" s="4" t="s">
        <v>1968</v>
      </c>
      <c r="K146" s="4" t="s">
        <v>1968</v>
      </c>
      <c r="L146" s="4" t="s">
        <v>1968</v>
      </c>
      <c r="M146" s="4" t="s">
        <v>36</v>
      </c>
      <c r="N146" s="4" t="s">
        <v>2489</v>
      </c>
      <c r="O146" s="4" t="s">
        <v>37</v>
      </c>
      <c r="P146" s="4" t="s">
        <v>37</v>
      </c>
      <c r="Q146" s="10" t="s">
        <v>38</v>
      </c>
      <c r="R146" s="4" t="str">
        <f t="shared" si="10"/>
        <v>Avenida Progreso 648 SANTA ROSITA, San Juan De Lurigancho, Lima, Lima, Perú</v>
      </c>
      <c r="S146" s="4">
        <v>-12.032564199999999</v>
      </c>
      <c r="T146" s="4">
        <v>-77.012998300000007</v>
      </c>
      <c r="U146" s="30">
        <f t="shared" si="11"/>
        <v>12.88</v>
      </c>
      <c r="V146" s="4" t="str">
        <f t="shared" si="12"/>
        <v>🟠 Moderada (10-20 km)</v>
      </c>
      <c r="W146" s="19" t="str" cm="1">
        <f t="array" ref="W146">_xlfn.LET(_xlpm.lat_emp,S146,_xlpm.lon_emp,T146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Mercado Las Flores</v>
      </c>
      <c r="X146" s="19" t="str">
        <f>_xlfn.LET(_xlpm.paradero,W146,INDEX(PARADEROS_VALIDOS!$A$2:$A$67,MATCH(_xlpm.paradero,PARADEROS_VALIDOS!$C$2:$C$67,0)))</f>
        <v>RUTA 8</v>
      </c>
      <c r="Y146" s="29" cm="1">
        <f t="array" ref="Y146">_xlfn.LET(_xlpm.lat_emp,S146,_xlpm.lon_emp,T146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1.86</v>
      </c>
      <c r="Z146" s="4" t="str">
        <f t="shared" si="13"/>
        <v>🟡 Cerca (1-3 km)</v>
      </c>
      <c r="AA146" s="4"/>
      <c r="AB146" s="4"/>
      <c r="AC146" s="49">
        <v>-11.997563</v>
      </c>
      <c r="AD146" s="49">
        <v>-76.900062000000005</v>
      </c>
      <c r="AE146" s="19" t="str">
        <f>IFERROR(VLOOKUP(C146,tdcargo[],2,FALSE),"DESCONOCIDO")</f>
        <v>OPERARIO</v>
      </c>
    </row>
    <row r="147" spans="1:31" hidden="1" x14ac:dyDescent="0.35">
      <c r="A147" s="8">
        <v>70642683</v>
      </c>
      <c r="B147" s="4" t="s">
        <v>2490</v>
      </c>
      <c r="C147" s="4" t="s">
        <v>1971</v>
      </c>
      <c r="D147" s="5">
        <v>46045</v>
      </c>
      <c r="E147" s="4" t="s">
        <v>31</v>
      </c>
      <c r="F147" s="4" t="s">
        <v>34</v>
      </c>
      <c r="G147" s="4" t="s">
        <v>2491</v>
      </c>
      <c r="H147" s="4" t="s">
        <v>1956</v>
      </c>
      <c r="I147" s="4" t="s">
        <v>1968</v>
      </c>
      <c r="J147" s="4" t="s">
        <v>1968</v>
      </c>
      <c r="K147" s="4" t="s">
        <v>1968</v>
      </c>
      <c r="L147" s="4" t="s">
        <v>2492</v>
      </c>
      <c r="M147" s="4" t="s">
        <v>36</v>
      </c>
      <c r="N147" s="4" t="s">
        <v>2493</v>
      </c>
      <c r="O147" s="4" t="s">
        <v>37</v>
      </c>
      <c r="P147" s="4" t="s">
        <v>37</v>
      </c>
      <c r="Q147" s="10" t="s">
        <v>76</v>
      </c>
      <c r="R147" s="4" t="str">
        <f t="shared" si="10"/>
        <v>Avenida Los Robles, Mz. B2 PARAISO CAJAMARQUILA, Lurigancho, Lima, Lima, Perú</v>
      </c>
      <c r="S147" s="4">
        <v>-11.9800586</v>
      </c>
      <c r="T147" s="4">
        <v>-76.908272699999998</v>
      </c>
      <c r="U147" s="30">
        <f t="shared" si="11"/>
        <v>2.14</v>
      </c>
      <c r="V147" s="4" t="str">
        <f t="shared" si="12"/>
        <v>🟢 Muy Cerca (0-5 km)</v>
      </c>
      <c r="W147" s="19" t="str" cm="1">
        <f t="array" ref="W147">_xlfn.LET(_xlpm.lat_emp,S147,_xlpm.lon_emp,T147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147" s="19" t="str">
        <f>_xlfn.LET(_xlpm.paradero,W147,INDEX(PARADEROS_VALIDOS!$A$2:$A$67,MATCH(_xlpm.paradero,PARADEROS_VALIDOS!$C$2:$C$67,0)))</f>
        <v>RUTA 2</v>
      </c>
      <c r="Y147" s="29" cm="1">
        <f t="array" ref="Y147">_xlfn.LET(_xlpm.lat_emp,S147,_xlpm.lon_emp,T147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1.6</v>
      </c>
      <c r="Z147" s="4" t="str">
        <f t="shared" si="13"/>
        <v>🟡 Cerca (1-3 km)</v>
      </c>
      <c r="AA147" s="4"/>
      <c r="AB147" s="4"/>
      <c r="AC147" s="49">
        <v>-11.997563</v>
      </c>
      <c r="AD147" s="49">
        <v>-76.900062000000005</v>
      </c>
      <c r="AE147" s="19" t="str">
        <f>IFERROR(VLOOKUP(C147,tdcargo[],2,FALSE),"DESCONOCIDO")</f>
        <v>OPERARIO</v>
      </c>
    </row>
    <row r="148" spans="1:31" hidden="1" x14ac:dyDescent="0.35">
      <c r="A148" s="8">
        <v>71164153</v>
      </c>
      <c r="B148" s="4" t="s">
        <v>2494</v>
      </c>
      <c r="C148" s="4" t="s">
        <v>1971</v>
      </c>
      <c r="D148" s="5">
        <v>46045</v>
      </c>
      <c r="E148" s="4" t="s">
        <v>31</v>
      </c>
      <c r="F148" s="4" t="s">
        <v>82</v>
      </c>
      <c r="G148" s="4" t="s">
        <v>2495</v>
      </c>
      <c r="H148" s="4" t="s">
        <v>1981</v>
      </c>
      <c r="I148" s="4" t="s">
        <v>1968</v>
      </c>
      <c r="J148" s="4" t="s">
        <v>1968</v>
      </c>
      <c r="K148" s="4" t="s">
        <v>2264</v>
      </c>
      <c r="L148" s="4" t="s">
        <v>2496</v>
      </c>
      <c r="M148" s="4" t="s">
        <v>36</v>
      </c>
      <c r="N148" s="4" t="s">
        <v>2497</v>
      </c>
      <c r="O148" s="4" t="s">
        <v>37</v>
      </c>
      <c r="P148" s="4" t="s">
        <v>37</v>
      </c>
      <c r="Q148" s="10" t="s">
        <v>118</v>
      </c>
      <c r="R148" s="4" t="str">
        <f t="shared" si="10"/>
        <v>Calle Huascata 6, Lote 8, Mz. U3 CERRO VECIN HUASCATA, Chaclacayo, Lima, Lima, Perú</v>
      </c>
      <c r="S148" s="4">
        <v>-11.994911</v>
      </c>
      <c r="T148" s="4">
        <v>-76.820873000000006</v>
      </c>
      <c r="U148" s="30">
        <f t="shared" si="11"/>
        <v>8.6199999999999992</v>
      </c>
      <c r="V148" s="4" t="str">
        <f t="shared" si="12"/>
        <v>🟡 Cerca (5-10 km)</v>
      </c>
      <c r="W148" s="19" t="str" cm="1">
        <f t="array" ref="W148">_xlfn.LET(_xlpm.lat_emp,S148,_xlpm.lon_emp,T148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Ñaña</v>
      </c>
      <c r="X148" s="19" t="str">
        <f>_xlfn.LET(_xlpm.paradero,W148,INDEX(PARADEROS_VALIDOS!$A$2:$A$67,MATCH(_xlpm.paradero,PARADEROS_VALIDOS!$C$2:$C$67,0)))</f>
        <v>RUTA 5A</v>
      </c>
      <c r="Y148" s="29" cm="1">
        <f t="array" ref="Y148">_xlfn.LET(_xlpm.lat_emp,S148,_xlpm.lon_emp,T148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0.69</v>
      </c>
      <c r="Z148" s="4" t="str">
        <f t="shared" si="13"/>
        <v>🟢 Muy Cerca (0-1 km)</v>
      </c>
      <c r="AA148" s="4"/>
      <c r="AB148" s="4"/>
      <c r="AC148" s="49">
        <v>-11.997563</v>
      </c>
      <c r="AD148" s="49">
        <v>-76.900062000000005</v>
      </c>
      <c r="AE148" s="19" t="str">
        <f>IFERROR(VLOOKUP(C148,tdcargo[],2,FALSE),"DESCONOCIDO")</f>
        <v>OPERARIO</v>
      </c>
    </row>
    <row r="149" spans="1:31" hidden="1" x14ac:dyDescent="0.35">
      <c r="A149" s="8">
        <v>72979319</v>
      </c>
      <c r="B149" s="4" t="s">
        <v>2498</v>
      </c>
      <c r="C149" s="4" t="s">
        <v>2001</v>
      </c>
      <c r="D149" s="5">
        <v>44588</v>
      </c>
      <c r="E149" s="4" t="s">
        <v>31</v>
      </c>
      <c r="F149" s="4" t="s">
        <v>34</v>
      </c>
      <c r="G149" s="4" t="s">
        <v>2499</v>
      </c>
      <c r="H149" s="4" t="s">
        <v>1956</v>
      </c>
      <c r="I149" s="4" t="s">
        <v>1968</v>
      </c>
      <c r="J149" s="4" t="s">
        <v>1968</v>
      </c>
      <c r="K149" s="4" t="s">
        <v>1968</v>
      </c>
      <c r="L149" s="4" t="s">
        <v>1968</v>
      </c>
      <c r="M149" s="4" t="s">
        <v>36</v>
      </c>
      <c r="N149" s="4" t="s">
        <v>34</v>
      </c>
      <c r="O149" s="4" t="s">
        <v>37</v>
      </c>
      <c r="P149" s="4" t="s">
        <v>37</v>
      </c>
      <c r="Q149" s="10" t="s">
        <v>347</v>
      </c>
      <c r="R149" s="4" t="str">
        <f t="shared" si="10"/>
        <v>Avenida Av. Los Claveles Avenida, El Agustino, Lima, Lima, Perú</v>
      </c>
      <c r="S149" s="4">
        <v>-12.044150800000001</v>
      </c>
      <c r="T149" s="4">
        <v>-77.001018000000002</v>
      </c>
      <c r="U149" s="30">
        <f t="shared" si="11"/>
        <v>12.14</v>
      </c>
      <c r="V149" s="4" t="str">
        <f t="shared" si="12"/>
        <v>🟠 Moderada (10-20 km)</v>
      </c>
      <c r="W149" s="19" t="str" cm="1">
        <f t="array" ref="W149">_xlfn.LET(_xlpm.lat_emp,S149,_xlpm.lon_emp,T149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Villa Hermosa</v>
      </c>
      <c r="X149" s="19" t="str">
        <f>_xlfn.LET(_xlpm.paradero,W149,INDEX(PARADEROS_VALIDOS!$A$2:$A$67,MATCH(_xlpm.paradero,PARADEROS_VALIDOS!$C$2:$C$67,0)))</f>
        <v>RUTA 3</v>
      </c>
      <c r="Y149" s="29" cm="1">
        <f t="array" ref="Y149">_xlfn.LET(_xlpm.lat_emp,S149,_xlpm.lon_emp,T149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1.54</v>
      </c>
      <c r="Z149" s="4" t="str">
        <f t="shared" si="13"/>
        <v>🟡 Cerca (1-3 km)</v>
      </c>
      <c r="AA149" s="4"/>
      <c r="AB149" s="4"/>
      <c r="AC149" s="49">
        <v>-11.997563</v>
      </c>
      <c r="AD149" s="49">
        <v>-76.900062000000005</v>
      </c>
      <c r="AE149" s="19" t="str">
        <f>IFERROR(VLOOKUP(C149,tdcargo[],2,FALSE),"DESCONOCIDO")</f>
        <v>OPERARIO</v>
      </c>
    </row>
    <row r="150" spans="1:31" hidden="1" x14ac:dyDescent="0.35">
      <c r="A150" s="8">
        <v>60004864</v>
      </c>
      <c r="B150" s="4" t="s">
        <v>2504</v>
      </c>
      <c r="C150" s="4" t="s">
        <v>1971</v>
      </c>
      <c r="D150" s="5">
        <v>46069</v>
      </c>
      <c r="E150" s="4" t="s">
        <v>31</v>
      </c>
      <c r="F150" s="4" t="s">
        <v>82</v>
      </c>
      <c r="G150" s="4" t="s">
        <v>1573</v>
      </c>
      <c r="H150" s="4" t="s">
        <v>1956</v>
      </c>
      <c r="I150" s="4" t="s">
        <v>1968</v>
      </c>
      <c r="J150" s="4" t="s">
        <v>1968</v>
      </c>
      <c r="K150" s="4" t="s">
        <v>2052</v>
      </c>
      <c r="L150" s="4" t="s">
        <v>2505</v>
      </c>
      <c r="M150" s="4" t="s">
        <v>36</v>
      </c>
      <c r="N150" s="4" t="s">
        <v>2506</v>
      </c>
      <c r="O150" s="4" t="s">
        <v>37</v>
      </c>
      <c r="P150" s="4" t="s">
        <v>195</v>
      </c>
      <c r="Q150" s="10" t="s">
        <v>196</v>
      </c>
      <c r="R150" s="4" t="str">
        <f t="shared" si="10"/>
        <v>Calle Villa Esperanza, Lote 12, Mz. W1 VILLA ESPERANZA, San Antonio, Huarochiri, Lima, Perú</v>
      </c>
      <c r="S150" s="4">
        <v>-11.909913899999999</v>
      </c>
      <c r="T150" s="4">
        <v>-76.953495599999997</v>
      </c>
      <c r="U150" s="30">
        <f t="shared" si="11"/>
        <v>11.35</v>
      </c>
      <c r="V150" s="4" t="str">
        <f t="shared" si="12"/>
        <v>🟠 Moderada (10-20 km)</v>
      </c>
      <c r="W150" s="19" t="str" cm="1">
        <f t="array" ref="W150">_xlfn.LET(_xlpm.lat_emp,S150,_xlpm.lon_emp,T150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150" s="19" t="str">
        <f>_xlfn.LET(_xlpm.paradero,W150,INDEX(PARADEROS_VALIDOS!$A$2:$A$67,MATCH(_xlpm.paradero,PARADEROS_VALIDOS!$C$2:$C$67,0)))</f>
        <v>RUTA 6A</v>
      </c>
      <c r="Y150" s="29" cm="1">
        <f t="array" ref="Y150">_xlfn.LET(_xlpm.lat_emp,S150,_xlpm.lon_emp,T150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8.84</v>
      </c>
      <c r="Z150" s="4" t="str">
        <f t="shared" si="13"/>
        <v>🔴 Lejos (&gt;5 km)</v>
      </c>
      <c r="AA150" s="4"/>
      <c r="AB150" s="4"/>
      <c r="AC150" s="49">
        <v>-11.997563</v>
      </c>
      <c r="AD150" s="49">
        <v>-76.900062000000005</v>
      </c>
      <c r="AE150" s="19" t="str">
        <f>IFERROR(VLOOKUP(C150,tdcargo[],2,FALSE),"DESCONOCIDO")</f>
        <v>OPERARIO</v>
      </c>
    </row>
    <row r="151" spans="1:31" hidden="1" x14ac:dyDescent="0.35">
      <c r="A151" s="8">
        <v>48542937</v>
      </c>
      <c r="B151" s="4" t="s">
        <v>2513</v>
      </c>
      <c r="C151" s="4" t="s">
        <v>1971</v>
      </c>
      <c r="D151" s="5">
        <v>44504</v>
      </c>
      <c r="E151" s="4" t="s">
        <v>31</v>
      </c>
      <c r="F151" s="4" t="s">
        <v>53</v>
      </c>
      <c r="G151" s="4" t="s">
        <v>2514</v>
      </c>
      <c r="H151" s="4" t="s">
        <v>1956</v>
      </c>
      <c r="I151" s="4" t="s">
        <v>1968</v>
      </c>
      <c r="J151" s="4" t="s">
        <v>1968</v>
      </c>
      <c r="K151" s="4" t="s">
        <v>1968</v>
      </c>
      <c r="L151" s="4" t="s">
        <v>1968</v>
      </c>
      <c r="M151" s="4" t="s">
        <v>186</v>
      </c>
      <c r="N151" s="4" t="s">
        <v>2515</v>
      </c>
      <c r="O151" s="4" t="s">
        <v>37</v>
      </c>
      <c r="P151" s="4" t="s">
        <v>37</v>
      </c>
      <c r="Q151" s="10" t="s">
        <v>38</v>
      </c>
      <c r="R151" s="4" t="str">
        <f t="shared" si="10"/>
        <v>Jirón Nevado Coropuna, Urb. Urbanización Santa Elizabeth, San Juan De Lurigancho, Lima, Lima, Perú</v>
      </c>
      <c r="S151" s="4">
        <v>-11.9811804</v>
      </c>
      <c r="T151" s="4">
        <v>-77.016863499999999</v>
      </c>
      <c r="U151" s="30">
        <f t="shared" si="11"/>
        <v>12.83</v>
      </c>
      <c r="V151" s="4" t="str">
        <f t="shared" si="12"/>
        <v>🟠 Moderada (10-20 km)</v>
      </c>
      <c r="W151" s="19" t="str" cm="1">
        <f t="array" ref="W151">_xlfn.LET(_xlpm.lat_emp,S151,_xlpm.lon_emp,T151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Carlos</v>
      </c>
      <c r="X151" s="19" t="str">
        <f>_xlfn.LET(_xlpm.paradero,W151,INDEX(PARADEROS_VALIDOS!$A$2:$A$67,MATCH(_xlpm.paradero,PARADEROS_VALIDOS!$C$2:$C$67,0)))</f>
        <v>RUTA 6B</v>
      </c>
      <c r="Y151" s="29" cm="1">
        <f t="array" ref="Y151">_xlfn.LET(_xlpm.lat_emp,S151,_xlpm.lon_emp,T151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1.1000000000000001</v>
      </c>
      <c r="Z151" s="4" t="str">
        <f t="shared" si="13"/>
        <v>🟡 Cerca (1-3 km)</v>
      </c>
      <c r="AA151" s="4"/>
      <c r="AB151" s="4"/>
      <c r="AC151" s="49">
        <v>-11.997563</v>
      </c>
      <c r="AD151" s="49">
        <v>-76.900062000000005</v>
      </c>
      <c r="AE151" s="19" t="str">
        <f>IFERROR(VLOOKUP(C151,tdcargo[],2,FALSE),"DESCONOCIDO")</f>
        <v>OPERARIO</v>
      </c>
    </row>
    <row r="152" spans="1:31" hidden="1" x14ac:dyDescent="0.35">
      <c r="A152" s="8">
        <v>76766775</v>
      </c>
      <c r="B152" s="4" t="s">
        <v>2516</v>
      </c>
      <c r="C152" s="4" t="s">
        <v>1971</v>
      </c>
      <c r="D152" s="5">
        <v>45369</v>
      </c>
      <c r="E152" s="4" t="s">
        <v>31</v>
      </c>
      <c r="F152" s="4" t="s">
        <v>34</v>
      </c>
      <c r="G152" s="4" t="s">
        <v>1741</v>
      </c>
      <c r="H152" s="4" t="s">
        <v>1956</v>
      </c>
      <c r="I152" s="4" t="s">
        <v>1968</v>
      </c>
      <c r="J152" s="4" t="s">
        <v>1968</v>
      </c>
      <c r="K152" s="4" t="s">
        <v>1968</v>
      </c>
      <c r="L152" s="4" t="s">
        <v>1968</v>
      </c>
      <c r="M152" s="4" t="s">
        <v>36</v>
      </c>
      <c r="N152" s="4" t="s">
        <v>2517</v>
      </c>
      <c r="O152" s="4" t="s">
        <v>37</v>
      </c>
      <c r="P152" s="4" t="s">
        <v>37</v>
      </c>
      <c r="Q152" s="10" t="s">
        <v>118</v>
      </c>
      <c r="R152" s="4" t="str">
        <f t="shared" si="10"/>
        <v>Avenida Union Virgen De Fatima Moron, Chaclacayo, Lima, Lima, Perú</v>
      </c>
      <c r="S152" s="4">
        <v>-11.980966799999999</v>
      </c>
      <c r="T152" s="4">
        <v>-76.793856599999998</v>
      </c>
      <c r="U152" s="30">
        <f t="shared" si="11"/>
        <v>11.7</v>
      </c>
      <c r="V152" s="4" t="str">
        <f t="shared" si="12"/>
        <v>🟠 Moderada (10-20 km)</v>
      </c>
      <c r="W152" s="19" t="str" cm="1">
        <f t="array" ref="W152">_xlfn.LET(_xlpm.lat_emp,S152,_xlpm.lon_emp,T152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Mercado Ramiro Prialé</v>
      </c>
      <c r="X152" s="19" t="str">
        <f>_xlfn.LET(_xlpm.paradero,W152,INDEX(PARADEROS_VALIDOS!$A$2:$A$67,MATCH(_xlpm.paradero,PARADEROS_VALIDOS!$C$2:$C$67,0)))</f>
        <v>RUTA 5A</v>
      </c>
      <c r="Y152" s="29" cm="1">
        <f t="array" ref="Y152">_xlfn.LET(_xlpm.lat_emp,S152,_xlpm.lon_emp,T152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1.76</v>
      </c>
      <c r="Z152" s="4" t="str">
        <f t="shared" si="13"/>
        <v>🟡 Cerca (1-3 km)</v>
      </c>
      <c r="AA152" s="4"/>
      <c r="AB152" s="4"/>
      <c r="AC152" s="49">
        <v>-11.997563</v>
      </c>
      <c r="AD152" s="49">
        <v>-76.900062000000005</v>
      </c>
      <c r="AE152" s="19" t="str">
        <f>IFERROR(VLOOKUP(C152,tdcargo[],2,FALSE),"DESCONOCIDO")</f>
        <v>OPERARIO</v>
      </c>
    </row>
    <row r="153" spans="1:31" hidden="1" x14ac:dyDescent="0.35">
      <c r="A153" s="8">
        <v>48760757</v>
      </c>
      <c r="B153" s="4" t="s">
        <v>2518</v>
      </c>
      <c r="C153" s="4" t="s">
        <v>2001</v>
      </c>
      <c r="D153" s="5">
        <v>44550</v>
      </c>
      <c r="E153" s="4" t="s">
        <v>31</v>
      </c>
      <c r="F153" s="4" t="s">
        <v>82</v>
      </c>
      <c r="G153" s="4" t="s">
        <v>2519</v>
      </c>
      <c r="H153" s="4" t="s">
        <v>1956</v>
      </c>
      <c r="I153" s="4" t="s">
        <v>1968</v>
      </c>
      <c r="J153" s="4" t="s">
        <v>1968</v>
      </c>
      <c r="K153" s="4" t="s">
        <v>1968</v>
      </c>
      <c r="L153" s="4" t="s">
        <v>1968</v>
      </c>
      <c r="M153" s="4" t="s">
        <v>66</v>
      </c>
      <c r="N153" s="4" t="s">
        <v>2520</v>
      </c>
      <c r="O153" s="4" t="s">
        <v>37</v>
      </c>
      <c r="P153" s="4" t="s">
        <v>37</v>
      </c>
      <c r="Q153" s="10" t="s">
        <v>38</v>
      </c>
      <c r="R153" s="4" t="str">
        <f t="shared" si="10"/>
        <v>Calle Asociación Laderas De Campoy, U.V. Unidad Vecinal Laderas De Campoy, San Juan De Lurigancho, Lima, Lima, Perú</v>
      </c>
      <c r="S153" s="4">
        <v>-12.018179099999999</v>
      </c>
      <c r="T153" s="4">
        <v>-76.967186499999997</v>
      </c>
      <c r="U153" s="30">
        <f t="shared" si="11"/>
        <v>7.65</v>
      </c>
      <c r="V153" s="4" t="str">
        <f t="shared" si="12"/>
        <v>🟡 Cerca (5-10 km)</v>
      </c>
      <c r="W153" s="19" t="str" cm="1">
        <f t="array" ref="W153">_xlfn.LET(_xlpm.lat_emp,S153,_xlpm.lon_emp,T153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Tottus Campoy</v>
      </c>
      <c r="X153" s="19" t="str">
        <f>_xlfn.LET(_xlpm.paradero,W153,INDEX(PARADEROS_VALIDOS!$A$2:$A$67,MATCH(_xlpm.paradero,PARADEROS_VALIDOS!$C$2:$C$67,0)))</f>
        <v>RUTA 6C</v>
      </c>
      <c r="Y153" s="29" cm="1">
        <f t="array" ref="Y153">_xlfn.LET(_xlpm.lat_emp,S153,_xlpm.lon_emp,T153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0.92</v>
      </c>
      <c r="Z153" s="4" t="str">
        <f t="shared" si="13"/>
        <v>🟢 Muy Cerca (0-1 km)</v>
      </c>
      <c r="AA153" s="4"/>
      <c r="AB153" s="4"/>
      <c r="AC153" s="49">
        <v>-11.997563</v>
      </c>
      <c r="AD153" s="49">
        <v>-76.900062000000005</v>
      </c>
      <c r="AE153" s="19" t="str">
        <f>IFERROR(VLOOKUP(C153,tdcargo[],2,FALSE),"DESCONOCIDO")</f>
        <v>OPERARIO</v>
      </c>
    </row>
    <row r="154" spans="1:31" hidden="1" x14ac:dyDescent="0.35">
      <c r="A154" s="8">
        <v>77245027</v>
      </c>
      <c r="B154" s="4" t="s">
        <v>2521</v>
      </c>
      <c r="C154" s="4" t="s">
        <v>1971</v>
      </c>
      <c r="D154" s="5">
        <v>45323</v>
      </c>
      <c r="E154" s="4" t="s">
        <v>31</v>
      </c>
      <c r="F154" s="4" t="s">
        <v>36</v>
      </c>
      <c r="G154" s="4" t="s">
        <v>46</v>
      </c>
      <c r="H154" s="4" t="s">
        <v>1956</v>
      </c>
      <c r="I154" s="4" t="s">
        <v>1968</v>
      </c>
      <c r="J154" s="4" t="s">
        <v>1968</v>
      </c>
      <c r="K154" s="4" t="s">
        <v>1968</v>
      </c>
      <c r="L154" s="4" t="s">
        <v>1968</v>
      </c>
      <c r="M154" s="4" t="s">
        <v>36</v>
      </c>
      <c r="N154" s="4" t="s">
        <v>2522</v>
      </c>
      <c r="O154" s="4" t="s">
        <v>37</v>
      </c>
      <c r="P154" s="4" t="s">
        <v>37</v>
      </c>
      <c r="Q154" s="10" t="s">
        <v>76</v>
      </c>
      <c r="R154" s="4" t="str">
        <f t="shared" si="10"/>
        <v>Nd Aahh. Violeta Correa De Belaunde, Lurigancho, Lima, Lima, Perú</v>
      </c>
      <c r="S154" s="4">
        <v>-11.971495000000001</v>
      </c>
      <c r="T154" s="4">
        <v>-77.104766100000006</v>
      </c>
      <c r="U154" s="30">
        <f t="shared" si="11"/>
        <v>22.45</v>
      </c>
      <c r="V154" s="4" t="str">
        <f t="shared" si="12"/>
        <v>🔴 Lejos (&gt;20 km)</v>
      </c>
      <c r="W154" s="19" t="str" cm="1">
        <f t="array" ref="W154">_xlfn.LET(_xlpm.lat_emp,S154,_xlpm.lon_emp,T154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Ferretería</v>
      </c>
      <c r="X154" s="19" t="str">
        <f>_xlfn.LET(_xlpm.paradero,W154,INDEX(PARADEROS_VALIDOS!$A$2:$A$67,MATCH(_xlpm.paradero,PARADEROS_VALIDOS!$C$2:$C$67,0)))</f>
        <v>RUTA 1</v>
      </c>
      <c r="Y154" s="29" cm="1">
        <f t="array" ref="Y154">_xlfn.LET(_xlpm.lat_emp,S154,_xlpm.lon_emp,T154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1.76</v>
      </c>
      <c r="Z154" s="4" t="str">
        <f t="shared" si="13"/>
        <v>🟡 Cerca (1-3 km)</v>
      </c>
      <c r="AA154" s="4"/>
      <c r="AB154" s="4"/>
      <c r="AC154" s="49">
        <v>-11.997563</v>
      </c>
      <c r="AD154" s="49">
        <v>-76.900062000000005</v>
      </c>
      <c r="AE154" s="19" t="str">
        <f>IFERROR(VLOOKUP(C154,tdcargo[],2,FALSE),"DESCONOCIDO")</f>
        <v>OPERARIO</v>
      </c>
    </row>
    <row r="155" spans="1:31" hidden="1" x14ac:dyDescent="0.35">
      <c r="A155" s="8">
        <v>46548868</v>
      </c>
      <c r="B155" s="4" t="s">
        <v>2523</v>
      </c>
      <c r="C155" s="4" t="s">
        <v>1971</v>
      </c>
      <c r="D155" s="5">
        <v>44014</v>
      </c>
      <c r="E155" s="4" t="s">
        <v>31</v>
      </c>
      <c r="F155" s="4" t="s">
        <v>82</v>
      </c>
      <c r="G155" s="4" t="s">
        <v>2524</v>
      </c>
      <c r="H155" s="4" t="s">
        <v>1995</v>
      </c>
      <c r="I155" s="4" t="s">
        <v>1968</v>
      </c>
      <c r="J155" s="4" t="s">
        <v>2525</v>
      </c>
      <c r="K155" s="4" t="s">
        <v>1968</v>
      </c>
      <c r="L155" s="4" t="s">
        <v>1968</v>
      </c>
      <c r="M155" s="4" t="s">
        <v>66</v>
      </c>
      <c r="N155" s="4" t="s">
        <v>2526</v>
      </c>
      <c r="O155" s="4" t="s">
        <v>37</v>
      </c>
      <c r="P155" s="4" t="s">
        <v>37</v>
      </c>
      <c r="Q155" s="10" t="s">
        <v>367</v>
      </c>
      <c r="R155" s="4" t="str">
        <f t="shared" si="10"/>
        <v>Calle Los Canarios 1, Int. 101, U.V. Unidad Vecinal El Rosal, Santa Anita, Lima, Lima, Perú</v>
      </c>
      <c r="S155" s="4">
        <v>-12.0483367</v>
      </c>
      <c r="T155" s="4">
        <v>-76.966954900000005</v>
      </c>
      <c r="U155" s="30">
        <f t="shared" si="11"/>
        <v>9.2100000000000009</v>
      </c>
      <c r="V155" s="4" t="str">
        <f t="shared" si="12"/>
        <v>🟡 Cerca (5-10 km)</v>
      </c>
      <c r="W155" s="19" t="str" cm="1">
        <f t="array" ref="W155">_xlfn.LET(_xlpm.lat_emp,S155,_xlpm.lon_emp,T155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Municipalidad de Santa Anita</v>
      </c>
      <c r="X155" s="19" t="str">
        <f>_xlfn.LET(_xlpm.paradero,W155,INDEX(PARADEROS_VALIDOS!$A$2:$A$67,MATCH(_xlpm.paradero,PARADEROS_VALIDOS!$C$2:$C$67,0)))</f>
        <v>RUTA 4A</v>
      </c>
      <c r="Y155" s="29" cm="1">
        <f t="array" ref="Y155">_xlfn.LET(_xlpm.lat_emp,S155,_xlpm.lon_emp,T155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0.67</v>
      </c>
      <c r="Z155" s="4" t="str">
        <f t="shared" si="13"/>
        <v>🟢 Muy Cerca (0-1 km)</v>
      </c>
      <c r="AA155" s="4"/>
      <c r="AB155" s="4"/>
      <c r="AC155" s="49">
        <v>-11.997563</v>
      </c>
      <c r="AD155" s="49">
        <v>-76.900062000000005</v>
      </c>
      <c r="AE155" s="19" t="str">
        <f>IFERROR(VLOOKUP(C155,tdcargo[],2,FALSE),"DESCONOCIDO")</f>
        <v>OPERARIO</v>
      </c>
    </row>
    <row r="156" spans="1:31" hidden="1" x14ac:dyDescent="0.35">
      <c r="A156" s="8">
        <v>74584696</v>
      </c>
      <c r="B156" s="4" t="s">
        <v>2527</v>
      </c>
      <c r="C156" s="4" t="s">
        <v>1971</v>
      </c>
      <c r="D156" s="5">
        <v>45887</v>
      </c>
      <c r="E156" s="4" t="s">
        <v>31</v>
      </c>
      <c r="F156" s="4" t="s">
        <v>36</v>
      </c>
      <c r="G156" s="4" t="s">
        <v>2528</v>
      </c>
      <c r="H156" s="4" t="s">
        <v>1956</v>
      </c>
      <c r="I156" s="4" t="s">
        <v>1968</v>
      </c>
      <c r="J156" s="4" t="s">
        <v>1968</v>
      </c>
      <c r="K156" s="4" t="s">
        <v>1968</v>
      </c>
      <c r="L156" s="4" t="s">
        <v>1461</v>
      </c>
      <c r="M156" s="4" t="s">
        <v>36</v>
      </c>
      <c r="N156" s="4" t="s">
        <v>2529</v>
      </c>
      <c r="O156" s="4" t="s">
        <v>37</v>
      </c>
      <c r="P156" s="4" t="s">
        <v>37</v>
      </c>
      <c r="Q156" s="10" t="s">
        <v>38</v>
      </c>
      <c r="R156" s="4" t="str">
        <f t="shared" si="10"/>
        <v>Santa Maria Ampliacion, Mz. C Ampliacion, San Juan De Lurigancho, Lima, Lima, Perú</v>
      </c>
      <c r="S156" s="4">
        <v>-11.968787900000001</v>
      </c>
      <c r="T156" s="4">
        <v>-76.967724700000005</v>
      </c>
      <c r="U156" s="30">
        <f t="shared" si="11"/>
        <v>8.0299999999999994</v>
      </c>
      <c r="V156" s="4" t="str">
        <f t="shared" si="12"/>
        <v>🟡 Cerca (5-10 km)</v>
      </c>
      <c r="W156" s="19" t="str" cm="1">
        <f t="array" ref="W156">_xlfn.LET(_xlpm.lat_emp,S156,_xlpm.lon_emp,T156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156" s="19" t="str">
        <f>_xlfn.LET(_xlpm.paradero,W156,INDEX(PARADEROS_VALIDOS!$A$2:$A$67,MATCH(_xlpm.paradero,PARADEROS_VALIDOS!$C$2:$C$67,0)))</f>
        <v>RUTA 6A</v>
      </c>
      <c r="Y156" s="29" cm="1">
        <f t="array" ref="Y156">_xlfn.LET(_xlpm.lat_emp,S156,_xlpm.lon_emp,T156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3.6</v>
      </c>
      <c r="Z156" s="4" t="str">
        <f t="shared" si="13"/>
        <v>🟠 Moderada (3-5 km)</v>
      </c>
      <c r="AA156" s="4"/>
      <c r="AB156" s="4"/>
      <c r="AC156" s="49">
        <v>-11.997563</v>
      </c>
      <c r="AD156" s="49">
        <v>-76.900062000000005</v>
      </c>
      <c r="AE156" s="19" t="str">
        <f>IFERROR(VLOOKUP(C156,tdcargo[],2,FALSE),"DESCONOCIDO")</f>
        <v>OPERARIO</v>
      </c>
    </row>
    <row r="157" spans="1:31" hidden="1" x14ac:dyDescent="0.35">
      <c r="A157" s="8">
        <v>41369507</v>
      </c>
      <c r="B157" s="4" t="s">
        <v>2530</v>
      </c>
      <c r="C157" s="4" t="s">
        <v>1971</v>
      </c>
      <c r="D157" s="5">
        <v>42482</v>
      </c>
      <c r="E157" s="4" t="s">
        <v>31</v>
      </c>
      <c r="F157" s="4" t="s">
        <v>36</v>
      </c>
      <c r="G157" s="4" t="s">
        <v>2531</v>
      </c>
      <c r="H157" s="4" t="s">
        <v>1956</v>
      </c>
      <c r="I157" s="4" t="s">
        <v>1968</v>
      </c>
      <c r="J157" s="4" t="s">
        <v>1968</v>
      </c>
      <c r="K157" s="4" t="s">
        <v>1968</v>
      </c>
      <c r="L157" s="4" t="s">
        <v>1968</v>
      </c>
      <c r="M157" s="4" t="s">
        <v>36</v>
      </c>
      <c r="N157" s="4" t="s">
        <v>1351</v>
      </c>
      <c r="O157" s="4" t="s">
        <v>37</v>
      </c>
      <c r="P157" s="4" t="s">
        <v>37</v>
      </c>
      <c r="Q157" s="10" t="s">
        <v>76</v>
      </c>
      <c r="R157" s="4" t="str">
        <f t="shared" si="10"/>
        <v>Otros Los Cipreces, Lurigancho, Lima, Lima, Perú</v>
      </c>
      <c r="S157" s="4">
        <v>-11.9673204</v>
      </c>
      <c r="T157" s="4">
        <v>-76.943074800000005</v>
      </c>
      <c r="U157" s="30">
        <f t="shared" si="11"/>
        <v>5.76</v>
      </c>
      <c r="V157" s="4" t="str">
        <f t="shared" si="12"/>
        <v>🟡 Cerca (5-10 km)</v>
      </c>
      <c r="W157" s="19" t="str" cm="1">
        <f t="array" ref="W157">_xlfn.LET(_xlpm.lat_emp,S157,_xlpm.lon_emp,T157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157" s="19" t="str">
        <f>_xlfn.LET(_xlpm.paradero,W157,INDEX(PARADEROS_VALIDOS!$A$2:$A$67,MATCH(_xlpm.paradero,PARADEROS_VALIDOS!$C$2:$C$67,0)))</f>
        <v>RUTA 2</v>
      </c>
      <c r="Y157" s="29" cm="1">
        <f t="array" ref="Y157">_xlfn.LET(_xlpm.lat_emp,S157,_xlpm.lon_emp,T157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5.23</v>
      </c>
      <c r="Z157" s="4" t="str">
        <f t="shared" si="13"/>
        <v>🔴 Lejos (&gt;5 km)</v>
      </c>
      <c r="AA157" s="4"/>
      <c r="AB157" s="4"/>
      <c r="AC157" s="49">
        <v>-11.997563</v>
      </c>
      <c r="AD157" s="49">
        <v>-76.900062000000005</v>
      </c>
      <c r="AE157" s="19" t="str">
        <f>IFERROR(VLOOKUP(C157,tdcargo[],2,FALSE),"DESCONOCIDO")</f>
        <v>OPERARIO</v>
      </c>
    </row>
    <row r="158" spans="1:31" hidden="1" x14ac:dyDescent="0.35">
      <c r="A158" s="8">
        <v>60840470</v>
      </c>
      <c r="B158" s="4" t="s">
        <v>2532</v>
      </c>
      <c r="C158" s="4" t="s">
        <v>1971</v>
      </c>
      <c r="D158" s="5">
        <v>45915</v>
      </c>
      <c r="E158" s="4" t="s">
        <v>31</v>
      </c>
      <c r="F158" s="4" t="s">
        <v>34</v>
      </c>
      <c r="G158" s="4" t="s">
        <v>2533</v>
      </c>
      <c r="H158" s="4" t="s">
        <v>1956</v>
      </c>
      <c r="I158" s="4" t="s">
        <v>1968</v>
      </c>
      <c r="J158" s="4" t="s">
        <v>1996</v>
      </c>
      <c r="K158" s="4" t="s">
        <v>2534</v>
      </c>
      <c r="L158" s="4" t="s">
        <v>1968</v>
      </c>
      <c r="M158" s="4" t="s">
        <v>36</v>
      </c>
      <c r="N158" s="4" t="s">
        <v>2535</v>
      </c>
      <c r="O158" s="4" t="s">
        <v>37</v>
      </c>
      <c r="P158" s="4" t="s">
        <v>37</v>
      </c>
      <c r="Q158" s="10" t="s">
        <v>37</v>
      </c>
      <c r="R158" s="4" t="str">
        <f t="shared" si="10"/>
        <v>Avenida El Paraiso, Int. 2, Lote 48 Asentamiento Humano, Lima, Lima, Lima, Perú</v>
      </c>
      <c r="S158" s="4">
        <v>-12.147085300000001</v>
      </c>
      <c r="T158" s="4">
        <v>-76.930273099999994</v>
      </c>
      <c r="U158" s="30">
        <f t="shared" si="11"/>
        <v>16.95</v>
      </c>
      <c r="V158" s="4" t="str">
        <f t="shared" si="12"/>
        <v>🟠 Moderada (10-20 km)</v>
      </c>
      <c r="W158" s="19" t="str" cm="1">
        <f t="array" ref="W158">_xlfn.LET(_xlpm.lat_emp,S158,_xlpm.lon_emp,T158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Juan</v>
      </c>
      <c r="X158" s="19" t="str">
        <f>_xlfn.LET(_xlpm.paradero,W158,INDEX(PARADEROS_VALIDOS!$A$2:$A$67,MATCH(_xlpm.paradero,PARADEROS_VALIDOS!$C$2:$C$67,0)))</f>
        <v>RUTA 5B</v>
      </c>
      <c r="Y158" s="29" cm="1">
        <f t="array" ref="Y158">_xlfn.LET(_xlpm.lat_emp,S158,_xlpm.lon_emp,T158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3.31</v>
      </c>
      <c r="Z158" s="4" t="str">
        <f t="shared" si="13"/>
        <v>🟠 Moderada (3-5 km)</v>
      </c>
      <c r="AA158" s="4"/>
      <c r="AB158" s="4"/>
      <c r="AC158" s="49">
        <v>-11.997563</v>
      </c>
      <c r="AD158" s="49">
        <v>-76.900062000000005</v>
      </c>
      <c r="AE158" s="19" t="str">
        <f>IFERROR(VLOOKUP(C158,tdcargo[],2,FALSE),"DESCONOCIDO")</f>
        <v>OPERARIO</v>
      </c>
    </row>
    <row r="159" spans="1:31" hidden="1" x14ac:dyDescent="0.35">
      <c r="A159" s="8">
        <v>77765522</v>
      </c>
      <c r="B159" s="4" t="s">
        <v>2536</v>
      </c>
      <c r="C159" s="4" t="s">
        <v>1971</v>
      </c>
      <c r="D159" s="5">
        <v>45719</v>
      </c>
      <c r="E159" s="4" t="s">
        <v>31</v>
      </c>
      <c r="F159" s="4" t="s">
        <v>34</v>
      </c>
      <c r="G159" s="4" t="s">
        <v>2537</v>
      </c>
      <c r="H159" s="4" t="s">
        <v>2288</v>
      </c>
      <c r="I159" s="4" t="s">
        <v>1996</v>
      </c>
      <c r="J159" s="4" t="s">
        <v>1968</v>
      </c>
      <c r="K159" s="4" t="s">
        <v>1968</v>
      </c>
      <c r="L159" s="4" t="s">
        <v>1968</v>
      </c>
      <c r="M159" s="4" t="s">
        <v>36</v>
      </c>
      <c r="N159" s="4" t="s">
        <v>2537</v>
      </c>
      <c r="O159" s="4" t="s">
        <v>37</v>
      </c>
      <c r="P159" s="4" t="s">
        <v>37</v>
      </c>
      <c r="Q159" s="10" t="s">
        <v>76</v>
      </c>
      <c r="R159" s="4" t="str">
        <f t="shared" si="10"/>
        <v>Avenida Julio C Tello 18, Apt. 2 Julio C Tello, Lurigancho, Lima, Lima, Perú</v>
      </c>
      <c r="S159" s="4">
        <v>-11.941865</v>
      </c>
      <c r="T159" s="4">
        <v>-77.041206399999993</v>
      </c>
      <c r="U159" s="30">
        <f t="shared" si="11"/>
        <v>16.559999999999999</v>
      </c>
      <c r="V159" s="4" t="str">
        <f t="shared" si="12"/>
        <v>🟠 Moderada (10-20 km)</v>
      </c>
      <c r="W159" s="19" t="str" cm="1">
        <f t="array" ref="W159">_xlfn.LET(_xlpm.lat_emp,S159,_xlpm.lon_emp,T159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Av. Metropolitana con Cultura</v>
      </c>
      <c r="X159" s="19" t="str">
        <f>_xlfn.LET(_xlpm.paradero,W159,INDEX(PARADEROS_VALIDOS!$A$2:$A$67,MATCH(_xlpm.paradero,PARADEROS_VALIDOS!$C$2:$C$67,0)))</f>
        <v>RUTA 4A</v>
      </c>
      <c r="Y159" s="29" cm="1">
        <f t="array" ref="Y159">_xlfn.LET(_xlpm.lat_emp,S159,_xlpm.lon_emp,T159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2.82</v>
      </c>
      <c r="Z159" s="4" t="str">
        <f t="shared" si="13"/>
        <v>🟡 Cerca (1-3 km)</v>
      </c>
      <c r="AA159" s="4"/>
      <c r="AB159" s="4"/>
      <c r="AC159" s="49">
        <v>-11.997563</v>
      </c>
      <c r="AD159" s="49">
        <v>-76.900062000000005</v>
      </c>
      <c r="AE159" s="19" t="str">
        <f>IFERROR(VLOOKUP(C159,tdcargo[],2,FALSE),"DESCONOCIDO")</f>
        <v>OPERARIO</v>
      </c>
    </row>
    <row r="160" spans="1:31" x14ac:dyDescent="0.35">
      <c r="A160" s="8">
        <v>72093616</v>
      </c>
      <c r="B160" s="4" t="s">
        <v>2538</v>
      </c>
      <c r="C160" s="4" t="s">
        <v>1971</v>
      </c>
      <c r="D160" s="5">
        <v>45876</v>
      </c>
      <c r="E160" s="4" t="s">
        <v>31</v>
      </c>
      <c r="F160" s="4" t="s">
        <v>36</v>
      </c>
      <c r="G160" s="4" t="s">
        <v>2539</v>
      </c>
      <c r="H160" s="4" t="s">
        <v>2540</v>
      </c>
      <c r="I160" s="4" t="s">
        <v>1968</v>
      </c>
      <c r="J160" s="4" t="s">
        <v>1968</v>
      </c>
      <c r="K160" s="4" t="s">
        <v>1968</v>
      </c>
      <c r="L160" s="4" t="s">
        <v>1968</v>
      </c>
      <c r="M160" s="4" t="s">
        <v>36</v>
      </c>
      <c r="N160" s="4" t="s">
        <v>2309</v>
      </c>
      <c r="O160" s="4" t="s">
        <v>37</v>
      </c>
      <c r="P160" s="4" t="s">
        <v>37</v>
      </c>
      <c r="Q160" s="10" t="s">
        <v>57</v>
      </c>
      <c r="R160" s="4" t="str">
        <f t="shared" si="10"/>
        <v>Mayta Luyo Nedia 9899 H, Ate, Lima, Lima, Perú</v>
      </c>
      <c r="S160" s="4">
        <v>-12.0534429</v>
      </c>
      <c r="T160" s="4">
        <v>-76.944665499999999</v>
      </c>
      <c r="U160" s="30">
        <f t="shared" si="11"/>
        <v>7.88</v>
      </c>
      <c r="V160" s="4" t="str">
        <f t="shared" si="12"/>
        <v>🟡 Cerca (5-10 km)</v>
      </c>
      <c r="W160" s="19" t="str" cm="1">
        <f t="array" ref="W160">_xlfn.LET(_xlpm.lat_emp,S160,_xlpm.lon_emp,T160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Pte. Prialé (solo aplica para la salida)</v>
      </c>
      <c r="X160" s="19" t="str">
        <f>_xlfn.LET(_xlpm.paradero,W160,INDEX(PARADEROS_VALIDOS!$A$2:$A$67,MATCH(_xlpm.paradero,PARADEROS_VALIDOS!$C$2:$C$67,0)))</f>
        <v>RUTA 7</v>
      </c>
      <c r="Y160" s="29" cm="1">
        <f t="array" ref="Y160">_xlfn.LET(_xlpm.lat_emp,S160,_xlpm.lon_emp,T160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1.38</v>
      </c>
      <c r="Z160" s="4" t="str">
        <f t="shared" si="13"/>
        <v>🟡 Cerca (1-3 km)</v>
      </c>
      <c r="AA160" s="4"/>
      <c r="AB160" s="4"/>
      <c r="AC160" s="49">
        <v>-11.997563</v>
      </c>
      <c r="AD160" s="49">
        <v>-76.900062000000005</v>
      </c>
      <c r="AE160" s="19" t="str">
        <f>IFERROR(VLOOKUP(C160,tdcargo[],2,FALSE),"DESCONOCIDO")</f>
        <v>OPERARIO</v>
      </c>
    </row>
    <row r="161" spans="1:31" hidden="1" x14ac:dyDescent="0.35">
      <c r="A161" s="8">
        <v>74390578</v>
      </c>
      <c r="B161" s="4" t="s">
        <v>2546</v>
      </c>
      <c r="C161" s="4" t="s">
        <v>1971</v>
      </c>
      <c r="D161" s="5">
        <v>44868</v>
      </c>
      <c r="E161" s="4" t="s">
        <v>31</v>
      </c>
      <c r="F161" s="4" t="s">
        <v>36</v>
      </c>
      <c r="G161" s="4" t="s">
        <v>46</v>
      </c>
      <c r="H161" s="4" t="s">
        <v>1956</v>
      </c>
      <c r="I161" s="4" t="s">
        <v>1968</v>
      </c>
      <c r="J161" s="4" t="s">
        <v>1968</v>
      </c>
      <c r="K161" s="4" t="s">
        <v>1968</v>
      </c>
      <c r="L161" s="4" t="s">
        <v>1968</v>
      </c>
      <c r="M161" s="4" t="s">
        <v>66</v>
      </c>
      <c r="N161" s="4" t="s">
        <v>2547</v>
      </c>
      <c r="O161" s="4" t="s">
        <v>37</v>
      </c>
      <c r="P161" s="4" t="s">
        <v>37</v>
      </c>
      <c r="Q161" s="10" t="s">
        <v>76</v>
      </c>
      <c r="R161" s="4" t="str">
        <f t="shared" si="10"/>
        <v>Nd, U.V. Unidad Vecinal Las Magnolias, Lurigancho, Lima, Lima, Perú</v>
      </c>
      <c r="S161" s="4">
        <v>-12.013579399999999</v>
      </c>
      <c r="T161" s="4">
        <v>-76.914265700000001</v>
      </c>
      <c r="U161" s="30">
        <f t="shared" si="11"/>
        <v>2.36</v>
      </c>
      <c r="V161" s="4" t="str">
        <f t="shared" si="12"/>
        <v>🟢 Muy Cerca (0-5 km)</v>
      </c>
      <c r="W161" s="19" t="str" cm="1">
        <f t="array" ref="W161">_xlfn.LET(_xlpm.lat_emp,S161,_xlpm.lon_emp,T161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Estadio Huachipa</v>
      </c>
      <c r="X161" s="19" t="str">
        <f>_xlfn.LET(_xlpm.paradero,W161,INDEX(PARADEROS_VALIDOS!$A$2:$A$67,MATCH(_xlpm.paradero,PARADEROS_VALIDOS!$C$2:$C$67,0)))</f>
        <v>RUTA 5C</v>
      </c>
      <c r="Y161" s="29" cm="1">
        <f t="array" ref="Y161">_xlfn.LET(_xlpm.lat_emp,S161,_xlpm.lon_emp,T161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0.23</v>
      </c>
      <c r="Z161" s="4" t="str">
        <f t="shared" si="13"/>
        <v>🟢 Muy Cerca (0-1 km)</v>
      </c>
      <c r="AA161" s="4"/>
      <c r="AB161" s="4"/>
      <c r="AC161" s="49">
        <v>-11.997563</v>
      </c>
      <c r="AD161" s="49">
        <v>-76.900062000000005</v>
      </c>
      <c r="AE161" s="19" t="str">
        <f>IFERROR(VLOOKUP(C161,tdcargo[],2,FALSE),"DESCONOCIDO")</f>
        <v>OPERARIO</v>
      </c>
    </row>
    <row r="162" spans="1:31" hidden="1" x14ac:dyDescent="0.35">
      <c r="A162" s="8">
        <v>75993916</v>
      </c>
      <c r="B162" s="4" t="s">
        <v>2548</v>
      </c>
      <c r="C162" s="4" t="s">
        <v>1971</v>
      </c>
      <c r="D162" s="5">
        <v>45628</v>
      </c>
      <c r="E162" s="4" t="s">
        <v>31</v>
      </c>
      <c r="F162" s="4" t="s">
        <v>82</v>
      </c>
      <c r="G162" s="4" t="s">
        <v>1402</v>
      </c>
      <c r="H162" s="4" t="s">
        <v>1995</v>
      </c>
      <c r="I162" s="4" t="s">
        <v>1968</v>
      </c>
      <c r="J162" s="4" t="s">
        <v>1968</v>
      </c>
      <c r="K162" s="4" t="s">
        <v>1968</v>
      </c>
      <c r="L162" s="4" t="s">
        <v>1968</v>
      </c>
      <c r="M162" s="4" t="s">
        <v>36</v>
      </c>
      <c r="N162" s="4" t="s">
        <v>1402</v>
      </c>
      <c r="O162" s="4" t="s">
        <v>37</v>
      </c>
      <c r="P162" s="4" t="s">
        <v>37</v>
      </c>
      <c r="Q162" s="10" t="s">
        <v>57</v>
      </c>
      <c r="R162" s="4" t="str">
        <f t="shared" ref="R162:R182" si="14">_xlfn.LET(_xlpm.parte1,TRIM(IF(F162="Otros / No aplica","",F162&amp;" ")&amp;G162&amp;IF(AND(H162&lt;&gt;"",H162&lt;&gt;"0",H162&lt;&gt;0)," "&amp;H162,"")&amp;IF(I162&lt;&gt;"",", Apt. "&amp;I162,"")&amp;IF(J162&lt;&gt;"",", Int. "&amp;J162,"")&amp;IF(AND(K162&lt;&gt;"",K162&lt;&gt;0),", Lote "&amp;K162,"")&amp;IF(L162&lt;&gt;"",", Mz. "&amp;L162,"")&amp;IF(AND(M162&lt;&gt;"",M162&lt;&gt;"Otros / No aplica"),", "&amp;M162,"")&amp;IF(AND(N162&lt;&gt;"",N162&lt;&gt;"0",N162&lt;&gt;0)," "&amp;N162,"")),_xlpm.parte2,Q162&amp;", "&amp;P162&amp;", "&amp;O162&amp;", Perú",IF(LEFT(_xlpm.parte1,1)=",",TRIM(MID(_xlpm.parte1,2,255))&amp;", "&amp;_xlpm.parte2,IF(_xlpm.parte1="",_xlpm.parte2,_xlpm.parte1&amp;", "&amp;_xlpm.parte2)))</f>
        <v>Calle Las Americas 1 Las Americas, Ate, Lima, Lima, Perú</v>
      </c>
      <c r="S162" s="4">
        <v>-12.034116900000001</v>
      </c>
      <c r="T162" s="4">
        <v>-76.905101099999996</v>
      </c>
      <c r="U162" s="30">
        <f t="shared" si="11"/>
        <v>4.0999999999999996</v>
      </c>
      <c r="V162" s="4" t="str">
        <f t="shared" si="12"/>
        <v>🟢 Muy Cerca (0-5 km)</v>
      </c>
      <c r="W162" s="19" t="str" cm="1">
        <f t="array" ref="W162">_xlfn.LET(_xlpm.lat_emp,S162,_xlpm.lon_emp,T162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Esperanza</v>
      </c>
      <c r="X162" s="19" t="str">
        <f>_xlfn.LET(_xlpm.paradero,W162,INDEX(PARADEROS_VALIDOS!$A$2:$A$67,MATCH(_xlpm.paradero,PARADEROS_VALIDOS!$C$2:$C$67,0)))</f>
        <v>RUTA 4B</v>
      </c>
      <c r="Y162" s="29" cm="1">
        <f t="array" ref="Y162">_xlfn.LET(_xlpm.lat_emp,S162,_xlpm.lon_emp,T162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1.39</v>
      </c>
      <c r="Z162" s="4" t="str">
        <f t="shared" si="13"/>
        <v>🟡 Cerca (1-3 km)</v>
      </c>
      <c r="AA162" s="4"/>
      <c r="AB162" s="4"/>
      <c r="AC162" s="49">
        <v>-11.997563</v>
      </c>
      <c r="AD162" s="49">
        <v>-76.900062000000005</v>
      </c>
      <c r="AE162" s="19" t="str">
        <f>IFERROR(VLOOKUP(C162,tdcargo[],2,FALSE),"DESCONOCIDO")</f>
        <v>OPERARIO</v>
      </c>
    </row>
    <row r="163" spans="1:31" hidden="1" x14ac:dyDescent="0.35">
      <c r="A163" s="8">
        <v>71711625</v>
      </c>
      <c r="B163" s="4" t="s">
        <v>2551</v>
      </c>
      <c r="C163" s="4" t="s">
        <v>1971</v>
      </c>
      <c r="D163" s="5">
        <v>45789</v>
      </c>
      <c r="E163" s="4" t="s">
        <v>31</v>
      </c>
      <c r="F163" s="4" t="s">
        <v>36</v>
      </c>
      <c r="G163" s="4" t="s">
        <v>509</v>
      </c>
      <c r="H163" s="4" t="s">
        <v>1956</v>
      </c>
      <c r="I163" s="4" t="s">
        <v>1968</v>
      </c>
      <c r="J163" s="4" t="s">
        <v>1968</v>
      </c>
      <c r="K163" s="4" t="s">
        <v>1995</v>
      </c>
      <c r="L163" s="4" t="s">
        <v>2309</v>
      </c>
      <c r="M163" s="4" t="s">
        <v>36</v>
      </c>
      <c r="N163" s="4" t="s">
        <v>509</v>
      </c>
      <c r="O163" s="4" t="s">
        <v>37</v>
      </c>
      <c r="P163" s="4" t="s">
        <v>37</v>
      </c>
      <c r="Q163" s="10" t="s">
        <v>76</v>
      </c>
      <c r="R163" s="4" t="str">
        <f t="shared" si="14"/>
        <v>Las Brisas De Huachipa, Lote 1, Mz. H Las Brisas De Huachipa, Lurigancho, Lima, Lima, Perú</v>
      </c>
      <c r="S163" s="4">
        <v>-11.999314999999999</v>
      </c>
      <c r="T163" s="4">
        <v>-76.919015999999999</v>
      </c>
      <c r="U163" s="30">
        <f t="shared" si="11"/>
        <v>2.0699999999999998</v>
      </c>
      <c r="V163" s="4" t="str">
        <f t="shared" si="12"/>
        <v>🟢 Muy Cerca (0-5 km)</v>
      </c>
      <c r="W163" s="19" t="str" cm="1">
        <f t="array" ref="W163">_xlfn.LET(_xlpm.lat_emp,S163,_xlpm.lon_emp,T163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Estadio Huachipa</v>
      </c>
      <c r="X163" s="19" t="str">
        <f>_xlfn.LET(_xlpm.paradero,W163,INDEX(PARADEROS_VALIDOS!$A$2:$A$67,MATCH(_xlpm.paradero,PARADEROS_VALIDOS!$C$2:$C$67,0)))</f>
        <v>RUTA 5C</v>
      </c>
      <c r="Y163" s="29" cm="1">
        <f t="array" ref="Y163">_xlfn.LET(_xlpm.lat_emp,S163,_xlpm.lon_emp,T163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1.67</v>
      </c>
      <c r="Z163" s="4" t="str">
        <f t="shared" si="13"/>
        <v>🟡 Cerca (1-3 km)</v>
      </c>
      <c r="AA163" s="4"/>
      <c r="AB163" s="4"/>
      <c r="AC163" s="49">
        <v>-11.997563</v>
      </c>
      <c r="AD163" s="49">
        <v>-76.900062000000005</v>
      </c>
      <c r="AE163" s="19" t="str">
        <f>IFERROR(VLOOKUP(C163,tdcargo[],2,FALSE),"DESCONOCIDO")</f>
        <v>OPERARIO</v>
      </c>
    </row>
    <row r="164" spans="1:31" hidden="1" x14ac:dyDescent="0.35">
      <c r="A164" s="8">
        <v>71510143</v>
      </c>
      <c r="B164" s="4" t="s">
        <v>2552</v>
      </c>
      <c r="C164" s="4" t="s">
        <v>2001</v>
      </c>
      <c r="D164" s="5">
        <v>44630</v>
      </c>
      <c r="E164" s="4" t="s">
        <v>31</v>
      </c>
      <c r="F164" s="4" t="s">
        <v>148</v>
      </c>
      <c r="G164" s="4" t="s">
        <v>2553</v>
      </c>
      <c r="H164" s="4" t="s">
        <v>1956</v>
      </c>
      <c r="I164" s="4" t="s">
        <v>1968</v>
      </c>
      <c r="J164" s="4" t="s">
        <v>1968</v>
      </c>
      <c r="K164" s="4" t="s">
        <v>1968</v>
      </c>
      <c r="L164" s="4" t="s">
        <v>1968</v>
      </c>
      <c r="M164" s="4" t="s">
        <v>66</v>
      </c>
      <c r="N164" s="4" t="s">
        <v>748</v>
      </c>
      <c r="O164" s="4" t="s">
        <v>37</v>
      </c>
      <c r="P164" s="4" t="s">
        <v>37</v>
      </c>
      <c r="Q164" s="10" t="s">
        <v>76</v>
      </c>
      <c r="R164" s="4" t="str">
        <f t="shared" si="14"/>
        <v>Pasaje Los Alamos, U.V. Unidad Vecinal Nieveria, Lurigancho, Lima, Lima, Perú</v>
      </c>
      <c r="S164" s="4">
        <v>-11.983333</v>
      </c>
      <c r="T164" s="4">
        <v>-76.916667000000004</v>
      </c>
      <c r="U164" s="30">
        <f t="shared" si="11"/>
        <v>2.4</v>
      </c>
      <c r="V164" s="4" t="str">
        <f t="shared" si="12"/>
        <v>🟢 Muy Cerca (0-5 km)</v>
      </c>
      <c r="W164" s="19" t="str" cm="1">
        <f t="array" ref="W164">_xlfn.LET(_xlpm.lat_emp,S164,_xlpm.lon_emp,T164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164" s="19" t="str">
        <f>_xlfn.LET(_xlpm.paradero,W164,INDEX(PARADEROS_VALIDOS!$A$2:$A$67,MATCH(_xlpm.paradero,PARADEROS_VALIDOS!$C$2:$C$67,0)))</f>
        <v>RUTA 2</v>
      </c>
      <c r="Y164" s="29" cm="1">
        <f t="array" ref="Y164">_xlfn.LET(_xlpm.lat_emp,S164,_xlpm.lon_emp,T164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1.86</v>
      </c>
      <c r="Z164" s="4" t="str">
        <f t="shared" si="13"/>
        <v>🟡 Cerca (1-3 km)</v>
      </c>
      <c r="AA164" s="4"/>
      <c r="AB164" s="4"/>
      <c r="AC164" s="49">
        <v>-11.997563</v>
      </c>
      <c r="AD164" s="49">
        <v>-76.900062000000005</v>
      </c>
      <c r="AE164" s="19" t="str">
        <f>IFERROR(VLOOKUP(C164,tdcargo[],2,FALSE),"DESCONOCIDO")</f>
        <v>OPERARIO</v>
      </c>
    </row>
    <row r="165" spans="1:31" hidden="1" x14ac:dyDescent="0.35">
      <c r="A165" s="8">
        <v>46359185</v>
      </c>
      <c r="B165" s="4" t="s">
        <v>2554</v>
      </c>
      <c r="C165" s="4" t="s">
        <v>1971</v>
      </c>
      <c r="D165" s="5">
        <v>45881</v>
      </c>
      <c r="E165" s="4" t="s">
        <v>31</v>
      </c>
      <c r="F165" s="4" t="s">
        <v>82</v>
      </c>
      <c r="G165" s="4" t="s">
        <v>2553</v>
      </c>
      <c r="H165" s="4" t="s">
        <v>1995</v>
      </c>
      <c r="I165" s="4" t="s">
        <v>1968</v>
      </c>
      <c r="J165" s="4" t="s">
        <v>1968</v>
      </c>
      <c r="K165" s="4" t="s">
        <v>1968</v>
      </c>
      <c r="L165" s="4" t="s">
        <v>1461</v>
      </c>
      <c r="M165" s="4" t="s">
        <v>36</v>
      </c>
      <c r="N165" s="4" t="s">
        <v>2555</v>
      </c>
      <c r="O165" s="4" t="s">
        <v>37</v>
      </c>
      <c r="P165" s="4" t="s">
        <v>37</v>
      </c>
      <c r="Q165" s="10" t="s">
        <v>76</v>
      </c>
      <c r="R165" s="4" t="str">
        <f t="shared" si="14"/>
        <v>Calle Los Alamos 1, Mz. C Carapongo, Lurigancho, Lima, Lima, Perú</v>
      </c>
      <c r="S165" s="4">
        <v>-12.0003017</v>
      </c>
      <c r="T165" s="4">
        <v>-76.852411200000006</v>
      </c>
      <c r="U165" s="30">
        <f t="shared" si="11"/>
        <v>5.19</v>
      </c>
      <c r="V165" s="4" t="str">
        <f t="shared" si="12"/>
        <v>🟡 Cerca (5-10 km)</v>
      </c>
      <c r="W165" s="19" t="str" cm="1">
        <f t="array" ref="W165">_xlfn.LET(_xlpm.lat_emp,S165,_xlpm.lon_emp,T165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Gloria Grande</v>
      </c>
      <c r="X165" s="19" t="str">
        <f>_xlfn.LET(_xlpm.paradero,W165,INDEX(PARADEROS_VALIDOS!$A$2:$A$67,MATCH(_xlpm.paradero,PARADEROS_VALIDOS!$C$2:$C$67,0)))</f>
        <v>RUTA 5B</v>
      </c>
      <c r="Y165" s="29" cm="1">
        <f t="array" ref="Y165">_xlfn.LET(_xlpm.lat_emp,S165,_xlpm.lon_emp,T165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</v>
      </c>
      <c r="Z165" s="4" t="str">
        <f t="shared" si="13"/>
        <v>🟢 Muy Cerca (0-1 km)</v>
      </c>
      <c r="AA165" s="4"/>
      <c r="AB165" s="4"/>
      <c r="AC165" s="49">
        <v>-11.997563</v>
      </c>
      <c r="AD165" s="49">
        <v>-76.900062000000005</v>
      </c>
      <c r="AE165" s="19" t="str">
        <f>IFERROR(VLOOKUP(C165,tdcargo[],2,FALSE),"DESCONOCIDO")</f>
        <v>OPERARIO</v>
      </c>
    </row>
    <row r="166" spans="1:31" hidden="1" x14ac:dyDescent="0.35">
      <c r="A166" s="8">
        <v>75009268</v>
      </c>
      <c r="B166" s="4" t="s">
        <v>2559</v>
      </c>
      <c r="C166" s="4" t="s">
        <v>1971</v>
      </c>
      <c r="D166" s="5">
        <v>46062</v>
      </c>
      <c r="E166" s="4" t="s">
        <v>31</v>
      </c>
      <c r="F166" s="4" t="s">
        <v>36</v>
      </c>
      <c r="G166" s="4" t="s">
        <v>2560</v>
      </c>
      <c r="H166" s="4" t="s">
        <v>1956</v>
      </c>
      <c r="I166" s="4" t="s">
        <v>1968</v>
      </c>
      <c r="J166" s="4" t="s">
        <v>1968</v>
      </c>
      <c r="K166" s="4" t="s">
        <v>2114</v>
      </c>
      <c r="L166" s="4" t="s">
        <v>1974</v>
      </c>
      <c r="M166" s="4" t="s">
        <v>36</v>
      </c>
      <c r="N166" s="4" t="s">
        <v>2561</v>
      </c>
      <c r="O166" s="4" t="s">
        <v>37</v>
      </c>
      <c r="P166" s="4" t="s">
        <v>37</v>
      </c>
      <c r="Q166" s="10" t="s">
        <v>76</v>
      </c>
      <c r="R166" s="4" t="str">
        <f t="shared" si="14"/>
        <v>Petramas, Lote 10, Mz. B HUERTOS DE NIEVERIA, Lurigancho, Lima, Lima, Perú</v>
      </c>
      <c r="S166" s="4">
        <v>-11.9906363</v>
      </c>
      <c r="T166" s="4">
        <v>-76.905862799999994</v>
      </c>
      <c r="U166" s="30">
        <f t="shared" si="11"/>
        <v>1</v>
      </c>
      <c r="V166" s="4" t="str">
        <f t="shared" si="12"/>
        <v>🟢 Muy Cerca (0-5 km)</v>
      </c>
      <c r="W166" s="19" t="str" cm="1">
        <f t="array" ref="W166">_xlfn.LET(_xlpm.lat_emp,S166,_xlpm.lon_emp,T166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166" s="19" t="str">
        <f>_xlfn.LET(_xlpm.paradero,W166,INDEX(PARADEROS_VALIDOS!$A$2:$A$67,MATCH(_xlpm.paradero,PARADEROS_VALIDOS!$C$2:$C$67,0)))</f>
        <v>RUTA 2</v>
      </c>
      <c r="Y166" s="29" cm="1">
        <f t="array" ref="Y166">_xlfn.LET(_xlpm.lat_emp,S166,_xlpm.lon_emp,T166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0.44</v>
      </c>
      <c r="Z166" s="4" t="str">
        <f t="shared" si="13"/>
        <v>🟢 Muy Cerca (0-1 km)</v>
      </c>
      <c r="AA166" s="4"/>
      <c r="AB166" s="4"/>
      <c r="AC166" s="49">
        <v>-11.997563</v>
      </c>
      <c r="AD166" s="49">
        <v>-76.900062000000005</v>
      </c>
      <c r="AE166" s="19" t="str">
        <f>IFERROR(VLOOKUP(C166,tdcargo[],2,FALSE),"DESCONOCIDO")</f>
        <v>OPERARIO</v>
      </c>
    </row>
    <row r="167" spans="1:31" hidden="1" x14ac:dyDescent="0.35">
      <c r="A167" s="8">
        <v>72882202</v>
      </c>
      <c r="B167" s="4" t="s">
        <v>2562</v>
      </c>
      <c r="C167" s="4" t="s">
        <v>1971</v>
      </c>
      <c r="D167" s="5">
        <v>46062</v>
      </c>
      <c r="E167" s="4" t="s">
        <v>31</v>
      </c>
      <c r="F167" s="4" t="s">
        <v>148</v>
      </c>
      <c r="G167" s="4" t="s">
        <v>2563</v>
      </c>
      <c r="H167" s="4" t="s">
        <v>1956</v>
      </c>
      <c r="I167" s="4" t="s">
        <v>1968</v>
      </c>
      <c r="J167" s="4" t="s">
        <v>1968</v>
      </c>
      <c r="K167" s="4" t="s">
        <v>2484</v>
      </c>
      <c r="L167" s="4" t="s">
        <v>2184</v>
      </c>
      <c r="M167" s="4" t="s">
        <v>36</v>
      </c>
      <c r="N167" s="4" t="s">
        <v>2564</v>
      </c>
      <c r="O167" s="4" t="s">
        <v>37</v>
      </c>
      <c r="P167" s="4" t="s">
        <v>37</v>
      </c>
      <c r="Q167" s="10" t="s">
        <v>57</v>
      </c>
      <c r="R167" s="4" t="str">
        <f t="shared" si="14"/>
        <v>Pasaje Micaela1 Pasaje, Lote 25, Mz. P MICAELA 1, Ate, Lima, Lima, Perú</v>
      </c>
      <c r="S167" s="4">
        <v>-12.02229</v>
      </c>
      <c r="T167" s="4">
        <v>-76.881534000000002</v>
      </c>
      <c r="U167" s="30">
        <f t="shared" si="11"/>
        <v>3.41</v>
      </c>
      <c r="V167" s="4" t="str">
        <f t="shared" si="12"/>
        <v>🟢 Muy Cerca (0-5 km)</v>
      </c>
      <c r="W167" s="19" t="str" cm="1">
        <f t="array" ref="W167">_xlfn.LET(_xlpm.lat_emp,S167,_xlpm.lon_emp,T167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la Cruz</v>
      </c>
      <c r="X167" s="19" t="str">
        <f>_xlfn.LET(_xlpm.paradero,W167,INDEX(PARADEROS_VALIDOS!$A$2:$A$67,MATCH(_xlpm.paradero,PARADEROS_VALIDOS!$C$2:$C$67,0)))</f>
        <v>RUTA 4B</v>
      </c>
      <c r="Y167" s="29" cm="1">
        <f t="array" ref="Y167">_xlfn.LET(_xlpm.lat_emp,S167,_xlpm.lon_emp,T167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0.92</v>
      </c>
      <c r="Z167" s="4" t="str">
        <f t="shared" si="13"/>
        <v>🟢 Muy Cerca (0-1 km)</v>
      </c>
      <c r="AA167" s="4"/>
      <c r="AB167" s="4"/>
      <c r="AC167" s="49">
        <v>-11.997563</v>
      </c>
      <c r="AD167" s="49">
        <v>-76.900062000000005</v>
      </c>
      <c r="AE167" s="19" t="str">
        <f>IFERROR(VLOOKUP(C167,tdcargo[],2,FALSE),"DESCONOCIDO")</f>
        <v>OPERARIO</v>
      </c>
    </row>
    <row r="168" spans="1:31" hidden="1" x14ac:dyDescent="0.35">
      <c r="A168" s="8">
        <v>45525632</v>
      </c>
      <c r="B168" s="4" t="s">
        <v>2565</v>
      </c>
      <c r="C168" s="4" t="s">
        <v>2001</v>
      </c>
      <c r="D168" s="5">
        <v>46083</v>
      </c>
      <c r="E168" s="4" t="s">
        <v>31</v>
      </c>
      <c r="F168" s="4" t="s">
        <v>82</v>
      </c>
      <c r="G168" s="4" t="s">
        <v>2566</v>
      </c>
      <c r="H168" s="4" t="s">
        <v>2283</v>
      </c>
      <c r="I168" s="4" t="s">
        <v>1968</v>
      </c>
      <c r="J168" s="4" t="s">
        <v>1968</v>
      </c>
      <c r="K168" s="4" t="s">
        <v>1968</v>
      </c>
      <c r="L168" s="4" t="s">
        <v>1968</v>
      </c>
      <c r="M168" s="4" t="s">
        <v>36</v>
      </c>
      <c r="N168" s="4" t="s">
        <v>2567</v>
      </c>
      <c r="O168" s="4" t="s">
        <v>37</v>
      </c>
      <c r="P168" s="4" t="s">
        <v>37</v>
      </c>
      <c r="Q168" s="10" t="s">
        <v>37</v>
      </c>
      <c r="R168" s="4" t="str">
        <f t="shared" si="14"/>
        <v>Calle Mz 22Lt2A Cmt 15 22 Nicolás de Piérola, Lima, Lima, Lima, Perú</v>
      </c>
      <c r="S168" s="4">
        <v>-11.9513336</v>
      </c>
      <c r="T168" s="4">
        <v>-76.977228499999995</v>
      </c>
      <c r="U168" s="30">
        <f t="shared" si="11"/>
        <v>9.84</v>
      </c>
      <c r="V168" s="4" t="str">
        <f t="shared" si="12"/>
        <v>🟡 Cerca (5-10 km)</v>
      </c>
      <c r="W168" s="19" t="str" cm="1">
        <f t="array" ref="W168">_xlfn.LET(_xlpm.lat_emp,S168,_xlpm.lon_emp,T168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168" s="19" t="str">
        <f>_xlfn.LET(_xlpm.paradero,W168,INDEX(PARADEROS_VALIDOS!$A$2:$A$67,MATCH(_xlpm.paradero,PARADEROS_VALIDOS!$C$2:$C$67,0)))</f>
        <v>RUTA 6A</v>
      </c>
      <c r="Y168" s="29" cm="1">
        <f t="array" ref="Y168">_xlfn.LET(_xlpm.lat_emp,S168,_xlpm.lon_emp,T168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3.63</v>
      </c>
      <c r="Z168" s="4" t="str">
        <f t="shared" si="13"/>
        <v>🟠 Moderada (3-5 km)</v>
      </c>
      <c r="AA168" s="4"/>
      <c r="AB168" s="4"/>
      <c r="AC168" s="49">
        <v>-11.997563</v>
      </c>
      <c r="AD168" s="49">
        <v>-76.900062000000005</v>
      </c>
      <c r="AE168" s="19" t="str">
        <f>IFERROR(VLOOKUP(C168,tdcargo[],2,FALSE),"DESCONOCIDO")</f>
        <v>OPERARIO</v>
      </c>
    </row>
    <row r="169" spans="1:31" hidden="1" x14ac:dyDescent="0.35">
      <c r="A169" s="8">
        <v>70643039</v>
      </c>
      <c r="B169" s="4" t="s">
        <v>2568</v>
      </c>
      <c r="C169" s="4" t="s">
        <v>1971</v>
      </c>
      <c r="D169" s="5">
        <v>45964</v>
      </c>
      <c r="E169" s="4" t="s">
        <v>31</v>
      </c>
      <c r="F169" s="4" t="s">
        <v>34</v>
      </c>
      <c r="G169" s="4" t="s">
        <v>2569</v>
      </c>
      <c r="H169" s="4" t="s">
        <v>1956</v>
      </c>
      <c r="I169" s="4" t="s">
        <v>1968</v>
      </c>
      <c r="J169" s="4" t="s">
        <v>1968</v>
      </c>
      <c r="K169" s="4" t="s">
        <v>1968</v>
      </c>
      <c r="L169" s="4" t="s">
        <v>1968</v>
      </c>
      <c r="M169" s="4" t="s">
        <v>36</v>
      </c>
      <c r="N169" s="4" t="s">
        <v>2570</v>
      </c>
      <c r="O169" s="4" t="s">
        <v>37</v>
      </c>
      <c r="P169" s="4" t="s">
        <v>37</v>
      </c>
      <c r="Q169" s="10" t="s">
        <v>57</v>
      </c>
      <c r="R169" s="4" t="str">
        <f t="shared" si="14"/>
        <v>Avenida Huaycan-Ate Zona B Lote 14 Zona B, Ate, Lima, Lima, Perú</v>
      </c>
      <c r="S169" s="4">
        <v>-12.031010200000001</v>
      </c>
      <c r="T169" s="4">
        <v>-76.823604399999994</v>
      </c>
      <c r="U169" s="30">
        <f t="shared" si="11"/>
        <v>9.11</v>
      </c>
      <c r="V169" s="4" t="str">
        <f t="shared" si="12"/>
        <v>🟡 Cerca (5-10 km)</v>
      </c>
      <c r="W169" s="19" t="str" cm="1">
        <f t="array" ref="W169">_xlfn.LET(_xlpm.lat_emp,S169,_xlpm.lon_emp,T169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169" s="19" t="str">
        <f>_xlfn.LET(_xlpm.paradero,W169,INDEX(PARADEROS_VALIDOS!$A$2:$A$67,MATCH(_xlpm.paradero,PARADEROS_VALIDOS!$C$2:$C$67,0)))</f>
        <v>RUTA 3</v>
      </c>
      <c r="Y169" s="29" cm="1">
        <f t="array" ref="Y169">_xlfn.LET(_xlpm.lat_emp,S169,_xlpm.lon_emp,T169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0.57999999999999996</v>
      </c>
      <c r="Z169" s="4" t="str">
        <f t="shared" si="13"/>
        <v>🟢 Muy Cerca (0-1 km)</v>
      </c>
      <c r="AA169" s="4"/>
      <c r="AB169" s="4"/>
      <c r="AC169" s="49">
        <v>-11.997563</v>
      </c>
      <c r="AD169" s="49">
        <v>-76.900062000000005</v>
      </c>
      <c r="AE169" s="19" t="str">
        <f>IFERROR(VLOOKUP(C169,tdcargo[],2,FALSE),"DESCONOCIDO")</f>
        <v>OPERARIO</v>
      </c>
    </row>
    <row r="170" spans="1:31" hidden="1" x14ac:dyDescent="0.35">
      <c r="A170" s="8">
        <v>76344113</v>
      </c>
      <c r="B170" s="4" t="s">
        <v>2571</v>
      </c>
      <c r="C170" s="4" t="s">
        <v>1971</v>
      </c>
      <c r="D170" s="5">
        <v>46055</v>
      </c>
      <c r="E170" s="4" t="s">
        <v>31</v>
      </c>
      <c r="F170" s="4" t="s">
        <v>82</v>
      </c>
      <c r="G170" s="4" t="s">
        <v>279</v>
      </c>
      <c r="H170" s="4" t="s">
        <v>2249</v>
      </c>
      <c r="I170" s="4" t="s">
        <v>1968</v>
      </c>
      <c r="J170" s="4" t="s">
        <v>1968</v>
      </c>
      <c r="K170" s="4" t="s">
        <v>2249</v>
      </c>
      <c r="L170" s="4" t="s">
        <v>1968</v>
      </c>
      <c r="M170" s="4" t="s">
        <v>186</v>
      </c>
      <c r="N170" s="4" t="s">
        <v>2572</v>
      </c>
      <c r="O170" s="4" t="s">
        <v>37</v>
      </c>
      <c r="P170" s="4" t="s">
        <v>37</v>
      </c>
      <c r="Q170" s="10" t="s">
        <v>38</v>
      </c>
      <c r="R170" s="4" t="str">
        <f t="shared" si="14"/>
        <v>Calle Campoy 23, Lote 23, Urb. Urbanización CAMPOY CHALAN, San Juan De Lurigancho, Lima, Lima, Perú</v>
      </c>
      <c r="S170" s="4">
        <v>-12.0125405</v>
      </c>
      <c r="T170" s="4">
        <v>-76.964397399999996</v>
      </c>
      <c r="U170" s="30">
        <f t="shared" si="11"/>
        <v>7.19</v>
      </c>
      <c r="V170" s="4" t="str">
        <f t="shared" si="12"/>
        <v>🟡 Cerca (5-10 km)</v>
      </c>
      <c r="W170" s="19" t="str" cm="1">
        <f t="array" ref="W170">_xlfn.LET(_xlpm.lat_emp,S170,_xlpm.lon_emp,T170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Tottus Campoy</v>
      </c>
      <c r="X170" s="19" t="str">
        <f>_xlfn.LET(_xlpm.paradero,W170,INDEX(PARADEROS_VALIDOS!$A$2:$A$67,MATCH(_xlpm.paradero,PARADEROS_VALIDOS!$C$2:$C$67,0)))</f>
        <v>RUTA 6C</v>
      </c>
      <c r="Y170" s="29" cm="1">
        <f t="array" ref="Y170">_xlfn.LET(_xlpm.lat_emp,S170,_xlpm.lon_emp,T170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1.6</v>
      </c>
      <c r="Z170" s="4" t="str">
        <f t="shared" si="13"/>
        <v>🟡 Cerca (1-3 km)</v>
      </c>
      <c r="AA170" s="4"/>
      <c r="AB170" s="4"/>
      <c r="AC170" s="49">
        <v>-11.997563</v>
      </c>
      <c r="AD170" s="49">
        <v>-76.900062000000005</v>
      </c>
      <c r="AE170" s="19" t="str">
        <f>IFERROR(VLOOKUP(C170,tdcargo[],2,FALSE),"DESCONOCIDO")</f>
        <v>OPERARIO</v>
      </c>
    </row>
    <row r="171" spans="1:31" hidden="1" x14ac:dyDescent="0.35">
      <c r="A171" s="8">
        <v>74901284</v>
      </c>
      <c r="B171" s="4" t="s">
        <v>2573</v>
      </c>
      <c r="C171" s="4" t="s">
        <v>2001</v>
      </c>
      <c r="D171" s="5">
        <v>42415</v>
      </c>
      <c r="E171" s="4" t="s">
        <v>31</v>
      </c>
      <c r="F171" s="4" t="s">
        <v>36</v>
      </c>
      <c r="G171" s="4" t="s">
        <v>46</v>
      </c>
      <c r="H171" s="4" t="s">
        <v>1956</v>
      </c>
      <c r="I171" s="4" t="s">
        <v>1968</v>
      </c>
      <c r="J171" s="4" t="s">
        <v>1968</v>
      </c>
      <c r="K171" s="4" t="s">
        <v>1968</v>
      </c>
      <c r="L171" s="4" t="s">
        <v>1968</v>
      </c>
      <c r="M171" s="4" t="s">
        <v>186</v>
      </c>
      <c r="N171" s="4" t="s">
        <v>898</v>
      </c>
      <c r="O171" s="4" t="s">
        <v>37</v>
      </c>
      <c r="P171" s="4" t="s">
        <v>37</v>
      </c>
      <c r="Q171" s="10" t="s">
        <v>76</v>
      </c>
      <c r="R171" s="4" t="str">
        <f t="shared" si="14"/>
        <v>Nd, Urb. Urbanización La Encalada, Lurigancho, Lima, Lima, Perú</v>
      </c>
      <c r="S171" s="4">
        <v>-12.002084999999999</v>
      </c>
      <c r="T171" s="4">
        <v>-76.923584300000002</v>
      </c>
      <c r="U171" s="30">
        <f t="shared" si="11"/>
        <v>2.61</v>
      </c>
      <c r="V171" s="4" t="str">
        <f t="shared" si="12"/>
        <v>🟢 Muy Cerca (0-5 km)</v>
      </c>
      <c r="W171" s="19" t="str" cm="1">
        <f t="array" ref="W171">_xlfn.LET(_xlpm.lat_emp,S171,_xlpm.lon_emp,T171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Estadio Huachipa</v>
      </c>
      <c r="X171" s="19" t="str">
        <f>_xlfn.LET(_xlpm.paradero,W171,INDEX(PARADEROS_VALIDOS!$A$2:$A$67,MATCH(_xlpm.paradero,PARADEROS_VALIDOS!$C$2:$C$67,0)))</f>
        <v>RUTA 5C</v>
      </c>
      <c r="Y171" s="29" cm="1">
        <f t="array" ref="Y171">_xlfn.LET(_xlpm.lat_emp,S171,_xlpm.lon_emp,T171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1.55</v>
      </c>
      <c r="Z171" s="4" t="str">
        <f t="shared" si="13"/>
        <v>🟡 Cerca (1-3 km)</v>
      </c>
      <c r="AA171" s="4"/>
      <c r="AB171" s="4"/>
      <c r="AC171" s="49">
        <v>-11.997563</v>
      </c>
      <c r="AD171" s="49">
        <v>-76.900062000000005</v>
      </c>
      <c r="AE171" s="19" t="str">
        <f>IFERROR(VLOOKUP(C171,tdcargo[],2,FALSE),"DESCONOCIDO")</f>
        <v>OPERARIO</v>
      </c>
    </row>
    <row r="172" spans="1:31" hidden="1" x14ac:dyDescent="0.35">
      <c r="A172" s="8">
        <v>70526405</v>
      </c>
      <c r="B172" s="4" t="s">
        <v>2574</v>
      </c>
      <c r="C172" s="4" t="s">
        <v>1971</v>
      </c>
      <c r="D172" s="5">
        <v>45931</v>
      </c>
      <c r="E172" s="4" t="s">
        <v>31</v>
      </c>
      <c r="F172" s="4" t="s">
        <v>148</v>
      </c>
      <c r="G172" s="4" t="s">
        <v>2575</v>
      </c>
      <c r="H172" s="4" t="s">
        <v>1956</v>
      </c>
      <c r="I172" s="4" t="s">
        <v>1968</v>
      </c>
      <c r="J172" s="4" t="s">
        <v>1968</v>
      </c>
      <c r="K172" s="4" t="s">
        <v>2249</v>
      </c>
      <c r="L172" s="4" t="s">
        <v>1278</v>
      </c>
      <c r="M172" s="4" t="s">
        <v>36</v>
      </c>
      <c r="N172" s="4" t="s">
        <v>501</v>
      </c>
      <c r="O172" s="4" t="s">
        <v>37</v>
      </c>
      <c r="P172" s="4" t="s">
        <v>37</v>
      </c>
      <c r="Q172" s="10" t="s">
        <v>76</v>
      </c>
      <c r="R172" s="4" t="str">
        <f t="shared" si="14"/>
        <v>Pasaje Algarroboz, Lote 23, Mz. A El Bosque, Lurigancho, Lima, Lima, Perú</v>
      </c>
      <c r="S172" s="4">
        <v>-11.8782207</v>
      </c>
      <c r="T172" s="4">
        <v>-77.071839699999998</v>
      </c>
      <c r="U172" s="30">
        <f t="shared" si="11"/>
        <v>22.92</v>
      </c>
      <c r="V172" s="4" t="str">
        <f t="shared" si="12"/>
        <v>🔴 Lejos (&gt;20 km)</v>
      </c>
      <c r="W172" s="19" t="str" cm="1">
        <f t="array" ref="W172">_xlfn.LET(_xlpm.lat_emp,S172,_xlpm.lon_emp,T172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Av. Metropolitana con Cultura</v>
      </c>
      <c r="X172" s="19" t="str">
        <f>_xlfn.LET(_xlpm.paradero,W172,INDEX(PARADEROS_VALIDOS!$A$2:$A$67,MATCH(_xlpm.paradero,PARADEROS_VALIDOS!$C$2:$C$67,0)))</f>
        <v>RUTA 4A</v>
      </c>
      <c r="Y172" s="29" cm="1">
        <f t="array" ref="Y172">_xlfn.LET(_xlpm.lat_emp,S172,_xlpm.lon_emp,T172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8.34</v>
      </c>
      <c r="Z172" s="4" t="str">
        <f t="shared" si="13"/>
        <v>🔴 Lejos (&gt;5 km)</v>
      </c>
      <c r="AA172" s="4"/>
      <c r="AB172" s="4"/>
      <c r="AC172" s="49">
        <v>-11.997563</v>
      </c>
      <c r="AD172" s="49">
        <v>-76.900062000000005</v>
      </c>
      <c r="AE172" s="19" t="str">
        <f>IFERROR(VLOOKUP(C172,tdcargo[],2,FALSE),"DESCONOCIDO")</f>
        <v>OPERARIO</v>
      </c>
    </row>
    <row r="173" spans="1:31" x14ac:dyDescent="0.35">
      <c r="A173" s="8">
        <v>78393525</v>
      </c>
      <c r="B173" s="4" t="s">
        <v>2576</v>
      </c>
      <c r="C173" s="4" t="s">
        <v>1971</v>
      </c>
      <c r="D173" s="5">
        <v>46045</v>
      </c>
      <c r="E173" s="4" t="s">
        <v>31</v>
      </c>
      <c r="F173" s="4" t="s">
        <v>36</v>
      </c>
      <c r="G173" s="4" t="s">
        <v>2577</v>
      </c>
      <c r="H173" s="4" t="s">
        <v>1956</v>
      </c>
      <c r="I173" s="4" t="s">
        <v>1968</v>
      </c>
      <c r="J173" s="4" t="s">
        <v>1968</v>
      </c>
      <c r="K173" s="4" t="s">
        <v>1968</v>
      </c>
      <c r="L173" s="4" t="s">
        <v>2578</v>
      </c>
      <c r="M173" s="4" t="s">
        <v>36</v>
      </c>
      <c r="N173" s="4" t="s">
        <v>2579</v>
      </c>
      <c r="O173" s="4" t="s">
        <v>37</v>
      </c>
      <c r="P173" s="4" t="s">
        <v>37</v>
      </c>
      <c r="Q173" s="10" t="s">
        <v>37</v>
      </c>
      <c r="R173" s="4" t="str">
        <f t="shared" si="14"/>
        <v>Cora Cora, Mz. LOT CORA CORA, Lima, Lima, Lima, Perú</v>
      </c>
      <c r="S173" s="4">
        <v>-12.2163109</v>
      </c>
      <c r="T173" s="4">
        <v>-76.919664299999994</v>
      </c>
      <c r="U173" s="30">
        <f t="shared" si="11"/>
        <v>24.42</v>
      </c>
      <c r="V173" s="4" t="str">
        <f t="shared" si="12"/>
        <v>🔴 Lejos (&gt;20 km)</v>
      </c>
      <c r="W173" s="19" t="str" cm="1">
        <f t="array" ref="W173">_xlfn.LET(_xlpm.lat_emp,S173,_xlpm.lon_emp,T173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Av. Mariátegui con la Ruta C</v>
      </c>
      <c r="X173" s="19" t="str">
        <f>_xlfn.LET(_xlpm.paradero,W173,INDEX(PARADEROS_VALIDOS!$A$2:$A$67,MATCH(_xlpm.paradero,PARADEROS_VALIDOS!$C$2:$C$67,0)))</f>
        <v>RUTA 7</v>
      </c>
      <c r="Y173" s="29" cm="1">
        <f t="array" ref="Y173">_xlfn.LET(_xlpm.lat_emp,S173,_xlpm.lon_emp,T173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0.42</v>
      </c>
      <c r="Z173" s="4" t="str">
        <f t="shared" si="13"/>
        <v>🟢 Muy Cerca (0-1 km)</v>
      </c>
      <c r="AA173" s="4"/>
      <c r="AB173" s="4"/>
      <c r="AC173" s="49">
        <v>-11.997563</v>
      </c>
      <c r="AD173" s="49">
        <v>-76.900062000000005</v>
      </c>
      <c r="AE173" s="19" t="str">
        <f>IFERROR(VLOOKUP(C173,tdcargo[],2,FALSE),"DESCONOCIDO")</f>
        <v>OPERARIO</v>
      </c>
    </row>
    <row r="174" spans="1:31" hidden="1" x14ac:dyDescent="0.35">
      <c r="A174" s="8">
        <v>73258177</v>
      </c>
      <c r="B174" s="4" t="s">
        <v>2580</v>
      </c>
      <c r="C174" s="4" t="s">
        <v>1971</v>
      </c>
      <c r="D174" s="5">
        <v>46045</v>
      </c>
      <c r="E174" s="4" t="s">
        <v>31</v>
      </c>
      <c r="F174" s="4" t="s">
        <v>36</v>
      </c>
      <c r="G174" s="4" t="s">
        <v>2581</v>
      </c>
      <c r="H174" s="4" t="s">
        <v>2582</v>
      </c>
      <c r="I174" s="4" t="s">
        <v>1968</v>
      </c>
      <c r="J174" s="4" t="s">
        <v>1968</v>
      </c>
      <c r="K174" s="4" t="s">
        <v>1968</v>
      </c>
      <c r="L174" s="4" t="s">
        <v>1184</v>
      </c>
      <c r="M174" s="4" t="s">
        <v>36</v>
      </c>
      <c r="N174" s="4" t="s">
        <v>727</v>
      </c>
      <c r="O174" s="4" t="s">
        <v>37</v>
      </c>
      <c r="P174" s="4" t="s">
        <v>37</v>
      </c>
      <c r="Q174" s="10" t="s">
        <v>57</v>
      </c>
      <c r="R174" s="4" t="str">
        <f t="shared" si="14"/>
        <v>Ucv 179 Lt 42 Zona O 179, Mz. O HUAYCAN, Ate, Lima, Lima, Perú</v>
      </c>
      <c r="S174" s="4">
        <v>-12.0100449</v>
      </c>
      <c r="T174" s="4">
        <v>-76.827822800000007</v>
      </c>
      <c r="U174" s="30">
        <f t="shared" si="11"/>
        <v>7.98</v>
      </c>
      <c r="V174" s="4" t="str">
        <f t="shared" si="12"/>
        <v>🟡 Cerca (5-10 km)</v>
      </c>
      <c r="W174" s="19" t="str" cm="1">
        <f t="array" ref="W174">_xlfn.LET(_xlpm.lat_emp,S174,_xlpm.lon_emp,T174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Horacio</v>
      </c>
      <c r="X174" s="19" t="str">
        <f>_xlfn.LET(_xlpm.paradero,W174,INDEX(PARADEROS_VALIDOS!$A$2:$A$67,MATCH(_xlpm.paradero,PARADEROS_VALIDOS!$C$2:$C$67,0)))</f>
        <v>RUTA 5B</v>
      </c>
      <c r="Y174" s="29" cm="1">
        <f t="array" ref="Y174">_xlfn.LET(_xlpm.lat_emp,S174,_xlpm.lon_emp,T174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1.56</v>
      </c>
      <c r="Z174" s="4" t="str">
        <f t="shared" si="13"/>
        <v>🟡 Cerca (1-3 km)</v>
      </c>
      <c r="AA174" s="4"/>
      <c r="AB174" s="4"/>
      <c r="AC174" s="49">
        <v>-11.997563</v>
      </c>
      <c r="AD174" s="49">
        <v>-76.900062000000005</v>
      </c>
      <c r="AE174" s="19" t="str">
        <f>IFERROR(VLOOKUP(C174,tdcargo[],2,FALSE),"DESCONOCIDO")</f>
        <v>OPERARIO</v>
      </c>
    </row>
    <row r="175" spans="1:31" hidden="1" x14ac:dyDescent="0.35">
      <c r="A175" s="8">
        <v>72734159</v>
      </c>
      <c r="B175" s="4" t="s">
        <v>2583</v>
      </c>
      <c r="C175" s="4" t="s">
        <v>1971</v>
      </c>
      <c r="D175" s="5">
        <v>44949</v>
      </c>
      <c r="E175" s="4" t="s">
        <v>31</v>
      </c>
      <c r="F175" s="4" t="s">
        <v>82</v>
      </c>
      <c r="G175" s="4" t="s">
        <v>2584</v>
      </c>
      <c r="H175" s="4" t="s">
        <v>1956</v>
      </c>
      <c r="I175" s="4" t="s">
        <v>1968</v>
      </c>
      <c r="J175" s="4" t="s">
        <v>1968</v>
      </c>
      <c r="K175" s="4" t="s">
        <v>1968</v>
      </c>
      <c r="L175" s="4" t="s">
        <v>1968</v>
      </c>
      <c r="M175" s="4" t="s">
        <v>66</v>
      </c>
      <c r="N175" s="4" t="s">
        <v>2011</v>
      </c>
      <c r="O175" s="4" t="s">
        <v>37</v>
      </c>
      <c r="P175" s="4" t="s">
        <v>37</v>
      </c>
      <c r="Q175" s="10" t="s">
        <v>76</v>
      </c>
      <c r="R175" s="4" t="str">
        <f t="shared" si="14"/>
        <v>Calle Las Poncanas, U.V. Unidad Vecinal Union Santa Cruz, Lurigancho, Lima, Lima, Perú</v>
      </c>
      <c r="S175" s="4">
        <v>-11.9812674</v>
      </c>
      <c r="T175" s="4">
        <v>-76.909825900000001</v>
      </c>
      <c r="U175" s="30">
        <f t="shared" si="11"/>
        <v>2.1</v>
      </c>
      <c r="V175" s="4" t="str">
        <f t="shared" si="12"/>
        <v>🟢 Muy Cerca (0-5 km)</v>
      </c>
      <c r="W175" s="19" t="str" cm="1">
        <f t="array" ref="W175">_xlfn.LET(_xlpm.lat_emp,S175,_xlpm.lon_emp,T175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175" s="19" t="str">
        <f>_xlfn.LET(_xlpm.paradero,W175,INDEX(PARADEROS_VALIDOS!$A$2:$A$67,MATCH(_xlpm.paradero,PARADEROS_VALIDOS!$C$2:$C$67,0)))</f>
        <v>RUTA 2</v>
      </c>
      <c r="Y175" s="29" cm="1">
        <f t="array" ref="Y175">_xlfn.LET(_xlpm.lat_emp,S175,_xlpm.lon_emp,T175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1.54</v>
      </c>
      <c r="Z175" s="4" t="str">
        <f t="shared" si="13"/>
        <v>🟡 Cerca (1-3 km)</v>
      </c>
      <c r="AA175" s="4"/>
      <c r="AB175" s="4"/>
      <c r="AC175" s="49">
        <v>-11.997563</v>
      </c>
      <c r="AD175" s="49">
        <v>-76.900062000000005</v>
      </c>
      <c r="AE175" s="19" t="str">
        <f>IFERROR(VLOOKUP(C175,tdcargo[],2,FALSE),"DESCONOCIDO")</f>
        <v>OPERARIO</v>
      </c>
    </row>
    <row r="176" spans="1:31" hidden="1" x14ac:dyDescent="0.35">
      <c r="A176" s="8">
        <v>75477008</v>
      </c>
      <c r="B176" s="4" t="s">
        <v>2585</v>
      </c>
      <c r="C176" s="4" t="s">
        <v>1971</v>
      </c>
      <c r="D176" s="5">
        <v>46069</v>
      </c>
      <c r="E176" s="4" t="s">
        <v>31</v>
      </c>
      <c r="F176" s="4" t="s">
        <v>36</v>
      </c>
      <c r="G176" s="4" t="s">
        <v>2586</v>
      </c>
      <c r="H176" s="4" t="s">
        <v>2587</v>
      </c>
      <c r="I176" s="4" t="s">
        <v>1968</v>
      </c>
      <c r="J176" s="4" t="s">
        <v>2587</v>
      </c>
      <c r="K176" s="4" t="s">
        <v>2003</v>
      </c>
      <c r="L176" s="4" t="s">
        <v>799</v>
      </c>
      <c r="M176" s="4" t="s">
        <v>36</v>
      </c>
      <c r="N176" s="4" t="s">
        <v>2588</v>
      </c>
      <c r="O176" s="4" t="s">
        <v>37</v>
      </c>
      <c r="P176" s="4" t="s">
        <v>37</v>
      </c>
      <c r="Q176" s="10" t="s">
        <v>76</v>
      </c>
      <c r="R176" s="4" t="str">
        <f t="shared" si="14"/>
        <v>Asoc. De Vivienda 205, Int. 205, Lote 27, Mz. K EL PORTILLO I ETAPA, Lurigancho, Lima, Lima, Perú</v>
      </c>
      <c r="S176" s="4">
        <v>-12.0335944</v>
      </c>
      <c r="T176" s="4">
        <v>-76.931468699999996</v>
      </c>
      <c r="U176" s="30">
        <f t="shared" si="11"/>
        <v>5.26</v>
      </c>
      <c r="V176" s="4" t="str">
        <f t="shared" si="12"/>
        <v>🟡 Cerca (5-10 km)</v>
      </c>
      <c r="W176" s="19" t="str" cm="1">
        <f t="array" ref="W176">_xlfn.LET(_xlpm.lat_emp,S176,_xlpm.lon_emp,T176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Real Plaza Puruchuco (Grifo Primax)</v>
      </c>
      <c r="X176" s="19" t="str">
        <f>_xlfn.LET(_xlpm.paradero,W176,INDEX(PARADEROS_VALIDOS!$A$2:$A$67,MATCH(_xlpm.paradero,PARADEROS_VALIDOS!$C$2:$C$67,0)))</f>
        <v>RUTA 4A</v>
      </c>
      <c r="Y176" s="29" cm="1">
        <f t="array" ref="Y176">_xlfn.LET(_xlpm.lat_emp,S176,_xlpm.lon_emp,T176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0.87</v>
      </c>
      <c r="Z176" s="4" t="str">
        <f t="shared" si="13"/>
        <v>🟢 Muy Cerca (0-1 km)</v>
      </c>
      <c r="AA176" s="4"/>
      <c r="AB176" s="4"/>
      <c r="AC176" s="49">
        <v>-11.997563</v>
      </c>
      <c r="AD176" s="49">
        <v>-76.900062000000005</v>
      </c>
      <c r="AE176" s="19" t="str">
        <f>IFERROR(VLOOKUP(C176,tdcargo[],2,FALSE),"DESCONOCIDO")</f>
        <v>OPERARIO</v>
      </c>
    </row>
    <row r="177" spans="1:31" hidden="1" x14ac:dyDescent="0.35">
      <c r="A177" s="8">
        <v>72353439</v>
      </c>
      <c r="B177" s="4" t="s">
        <v>2589</v>
      </c>
      <c r="C177" s="4" t="s">
        <v>1971</v>
      </c>
      <c r="D177" s="5">
        <v>46069</v>
      </c>
      <c r="E177" s="4" t="s">
        <v>31</v>
      </c>
      <c r="F177" s="4" t="s">
        <v>36</v>
      </c>
      <c r="G177" s="4" t="s">
        <v>1313</v>
      </c>
      <c r="H177" s="4" t="s">
        <v>1956</v>
      </c>
      <c r="I177" s="4" t="s">
        <v>1968</v>
      </c>
      <c r="J177" s="4" t="s">
        <v>1968</v>
      </c>
      <c r="K177" s="4" t="s">
        <v>2118</v>
      </c>
      <c r="L177" s="4" t="s">
        <v>1461</v>
      </c>
      <c r="M177" s="4" t="s">
        <v>36</v>
      </c>
      <c r="N177" s="4" t="s">
        <v>2590</v>
      </c>
      <c r="O177" s="4" t="s">
        <v>37</v>
      </c>
      <c r="P177" s="4" t="s">
        <v>37</v>
      </c>
      <c r="Q177" s="10" t="s">
        <v>1814</v>
      </c>
      <c r="R177" s="4" t="str">
        <f t="shared" si="14"/>
        <v>Las Palmeras, Lote 5, Mz. C LAS PALMERAS, Lurin, Lima, Lima, Perú</v>
      </c>
      <c r="S177" s="4">
        <v>-12.2958313</v>
      </c>
      <c r="T177" s="4">
        <v>-76.850380999999999</v>
      </c>
      <c r="U177" s="30">
        <f t="shared" si="11"/>
        <v>33.6</v>
      </c>
      <c r="V177" s="4" t="str">
        <f t="shared" si="12"/>
        <v>🔴 Lejos (&gt;20 km)</v>
      </c>
      <c r="W177" s="19" t="str" cm="1">
        <f t="array" ref="W177">_xlfn.LET(_xlpm.lat_emp,S177,_xlpm.lon_emp,T177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Calle 8</v>
      </c>
      <c r="X177" s="19" t="str">
        <f>_xlfn.LET(_xlpm.paradero,W177,INDEX(PARADEROS_VALIDOS!$A$2:$A$67,MATCH(_xlpm.paradero,PARADEROS_VALIDOS!$C$2:$C$67,0)))</f>
        <v>RUTA 6C</v>
      </c>
      <c r="Y177" s="29" cm="1">
        <f t="array" ref="Y177">_xlfn.LET(_xlpm.lat_emp,S177,_xlpm.lon_emp,T177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10</v>
      </c>
      <c r="Z177" s="4" t="str">
        <f t="shared" si="13"/>
        <v>🔴 Lejos (&gt;5 km)</v>
      </c>
      <c r="AA177" s="4"/>
      <c r="AB177" s="4"/>
      <c r="AC177" s="49">
        <v>-11.997563</v>
      </c>
      <c r="AD177" s="49">
        <v>-76.900062000000005</v>
      </c>
      <c r="AE177" s="19" t="str">
        <f>IFERROR(VLOOKUP(C177,tdcargo[],2,FALSE),"DESCONOCIDO")</f>
        <v>OPERARIO</v>
      </c>
    </row>
    <row r="178" spans="1:31" hidden="1" x14ac:dyDescent="0.35">
      <c r="A178" s="8">
        <v>78690501</v>
      </c>
      <c r="B178" s="4" t="s">
        <v>2591</v>
      </c>
      <c r="C178" s="4" t="s">
        <v>1971</v>
      </c>
      <c r="D178" s="5">
        <v>46069</v>
      </c>
      <c r="E178" s="4" t="s">
        <v>31</v>
      </c>
      <c r="F178" s="4" t="s">
        <v>36</v>
      </c>
      <c r="G178" s="4" t="s">
        <v>2592</v>
      </c>
      <c r="H178" s="4" t="s">
        <v>1981</v>
      </c>
      <c r="I178" s="4" t="s">
        <v>1968</v>
      </c>
      <c r="J178" s="4" t="s">
        <v>1968</v>
      </c>
      <c r="K178" s="4" t="s">
        <v>2058</v>
      </c>
      <c r="L178" s="4" t="s">
        <v>2196</v>
      </c>
      <c r="M178" s="4" t="s">
        <v>36</v>
      </c>
      <c r="N178" s="4" t="s">
        <v>2593</v>
      </c>
      <c r="O178" s="4" t="s">
        <v>37</v>
      </c>
      <c r="P178" s="4" t="s">
        <v>37</v>
      </c>
      <c r="Q178" s="10" t="s">
        <v>76</v>
      </c>
      <c r="R178" s="4" t="str">
        <f t="shared" si="14"/>
        <v>Campiña Mz N6 Lt7 6, Lote 7, Mz. N LA CAMPIÑA, Lurigancho, Lima, Lima, Perú</v>
      </c>
      <c r="S178" s="4">
        <v>-11.9819461</v>
      </c>
      <c r="T178" s="4">
        <v>-76.9184348</v>
      </c>
      <c r="U178" s="30">
        <f t="shared" si="11"/>
        <v>2.65</v>
      </c>
      <c r="V178" s="4" t="str">
        <f t="shared" si="12"/>
        <v>🟢 Muy Cerca (0-5 km)</v>
      </c>
      <c r="W178" s="19" t="str" cm="1">
        <f t="array" ref="W178">_xlfn.LET(_xlpm.lat_emp,S178,_xlpm.lon_emp,T178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178" s="19" t="str">
        <f>_xlfn.LET(_xlpm.paradero,W178,INDEX(PARADEROS_VALIDOS!$A$2:$A$67,MATCH(_xlpm.paradero,PARADEROS_VALIDOS!$C$2:$C$67,0)))</f>
        <v>RUTA 2</v>
      </c>
      <c r="Y178" s="29" cm="1">
        <f t="array" ref="Y178">_xlfn.LET(_xlpm.lat_emp,S178,_xlpm.lon_emp,T178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2.1</v>
      </c>
      <c r="Z178" s="4" t="str">
        <f t="shared" si="13"/>
        <v>🟡 Cerca (1-3 km)</v>
      </c>
      <c r="AA178" s="4"/>
      <c r="AB178" s="4"/>
      <c r="AC178" s="49">
        <v>-11.997563</v>
      </c>
      <c r="AD178" s="49">
        <v>-76.900062000000005</v>
      </c>
      <c r="AE178" s="19" t="str">
        <f>IFERROR(VLOOKUP(C178,tdcargo[],2,FALSE),"DESCONOCIDO")</f>
        <v>OPERARIO</v>
      </c>
    </row>
    <row r="179" spans="1:31" x14ac:dyDescent="0.35">
      <c r="A179" s="8">
        <v>75623025</v>
      </c>
      <c r="B179" s="4" t="s">
        <v>2594</v>
      </c>
      <c r="C179" s="4" t="s">
        <v>1971</v>
      </c>
      <c r="D179" s="5">
        <v>46069</v>
      </c>
      <c r="E179" s="4" t="s">
        <v>31</v>
      </c>
      <c r="F179" s="4" t="s">
        <v>793</v>
      </c>
      <c r="G179" s="4" t="s">
        <v>2595</v>
      </c>
      <c r="H179" s="4" t="s">
        <v>1956</v>
      </c>
      <c r="I179" s="4" t="s">
        <v>1968</v>
      </c>
      <c r="J179" s="4" t="s">
        <v>1968</v>
      </c>
      <c r="K179" s="4" t="s">
        <v>2052</v>
      </c>
      <c r="L179" s="4" t="s">
        <v>1974</v>
      </c>
      <c r="M179" s="4" t="s">
        <v>36</v>
      </c>
      <c r="N179" s="4" t="s">
        <v>2596</v>
      </c>
      <c r="O179" s="4" t="s">
        <v>37</v>
      </c>
      <c r="P179" s="4" t="s">
        <v>37</v>
      </c>
      <c r="Q179" s="10" t="s">
        <v>37</v>
      </c>
      <c r="R179" s="4" t="str">
        <f t="shared" si="14"/>
        <v>Carretera Carreter Petramax, Lote 12, Mz. B VILLA TOVAR, Lima, Lima, Lima, Perú</v>
      </c>
      <c r="S179" s="4">
        <v>-12.126529100000001</v>
      </c>
      <c r="T179" s="4">
        <v>-77.002241400000003</v>
      </c>
      <c r="U179" s="30">
        <f t="shared" si="11"/>
        <v>18.14</v>
      </c>
      <c r="V179" s="4" t="str">
        <f t="shared" si="12"/>
        <v>🟠 Moderada (10-20 km)</v>
      </c>
      <c r="W179" s="19" t="str" cm="1">
        <f t="array" ref="W179">_xlfn.LET(_xlpm.lat_emp,S179,_xlpm.lon_emp,T179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Puente Primavera</v>
      </c>
      <c r="X179" s="19" t="str">
        <f>_xlfn.LET(_xlpm.paradero,W179,INDEX(PARADEROS_VALIDOS!$A$2:$A$67,MATCH(_xlpm.paradero,PARADEROS_VALIDOS!$C$2:$C$67,0)))</f>
        <v>RUTA 7</v>
      </c>
      <c r="Y179" s="29" cm="1">
        <f t="array" ref="Y179">_xlfn.LET(_xlpm.lat_emp,S179,_xlpm.lon_emp,T179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3.15</v>
      </c>
      <c r="Z179" s="4" t="str">
        <f t="shared" si="13"/>
        <v>🟠 Moderada (3-5 km)</v>
      </c>
      <c r="AA179" s="4"/>
      <c r="AB179" s="4"/>
      <c r="AC179" s="49">
        <v>-11.997563</v>
      </c>
      <c r="AD179" s="49">
        <v>-76.900062000000005</v>
      </c>
      <c r="AE179" s="19" t="str">
        <f>IFERROR(VLOOKUP(C179,tdcargo[],2,FALSE),"DESCONOCIDO")</f>
        <v>OPERARIO</v>
      </c>
    </row>
    <row r="180" spans="1:31" hidden="1" x14ac:dyDescent="0.35">
      <c r="A180" s="8">
        <v>75149227</v>
      </c>
      <c r="B180" s="4" t="s">
        <v>2597</v>
      </c>
      <c r="C180" s="4" t="s">
        <v>1971</v>
      </c>
      <c r="D180" s="5">
        <v>45845</v>
      </c>
      <c r="E180" s="4" t="s">
        <v>31</v>
      </c>
      <c r="F180" s="4" t="s">
        <v>82</v>
      </c>
      <c r="G180" s="4" t="s">
        <v>625</v>
      </c>
      <c r="H180" s="4" t="s">
        <v>1996</v>
      </c>
      <c r="I180" s="4" t="s">
        <v>1968</v>
      </c>
      <c r="J180" s="4" t="s">
        <v>1968</v>
      </c>
      <c r="K180" s="4" t="s">
        <v>2052</v>
      </c>
      <c r="L180" s="4" t="s">
        <v>1861</v>
      </c>
      <c r="M180" s="4" t="s">
        <v>36</v>
      </c>
      <c r="N180" s="4" t="s">
        <v>2598</v>
      </c>
      <c r="O180" s="4" t="s">
        <v>37</v>
      </c>
      <c r="P180" s="4" t="s">
        <v>37</v>
      </c>
      <c r="Q180" s="10" t="s">
        <v>76</v>
      </c>
      <c r="R180" s="4" t="str">
        <f t="shared" si="14"/>
        <v>Calle Laureles 2, Lote 12, Mz. D Los Viñedos De San A, Lurigancho, Lima, Lima, Perú</v>
      </c>
      <c r="S180" s="4">
        <v>-11.991245899999999</v>
      </c>
      <c r="T180" s="4">
        <v>-76.867662100000004</v>
      </c>
      <c r="U180" s="30">
        <f t="shared" si="11"/>
        <v>3.59</v>
      </c>
      <c r="V180" s="4" t="str">
        <f t="shared" si="12"/>
        <v>🟢 Muy Cerca (0-5 km)</v>
      </c>
      <c r="W180" s="19" t="str" cm="1">
        <f t="array" ref="W180">_xlfn.LET(_xlpm.lat_emp,S180,_xlpm.lon_emp,T180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Gloria Grande</v>
      </c>
      <c r="X180" s="19" t="str">
        <f>_xlfn.LET(_xlpm.paradero,W180,INDEX(PARADEROS_VALIDOS!$A$2:$A$67,MATCH(_xlpm.paradero,PARADEROS_VALIDOS!$C$2:$C$67,0)))</f>
        <v>RUTA 5B</v>
      </c>
      <c r="Y180" s="29" cm="1">
        <f t="array" ref="Y180">_xlfn.LET(_xlpm.lat_emp,S180,_xlpm.lon_emp,T180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2.5099999999999998</v>
      </c>
      <c r="Z180" s="4" t="str">
        <f t="shared" si="13"/>
        <v>🟡 Cerca (1-3 km)</v>
      </c>
      <c r="AA180" s="4"/>
      <c r="AB180" s="4"/>
      <c r="AC180" s="49">
        <v>-11.997563</v>
      </c>
      <c r="AD180" s="49">
        <v>-76.900062000000005</v>
      </c>
      <c r="AE180" s="19" t="str">
        <f>IFERROR(VLOOKUP(C180,tdcargo[],2,FALSE),"DESCONOCIDO")</f>
        <v>OPERARIO</v>
      </c>
    </row>
    <row r="181" spans="1:31" hidden="1" x14ac:dyDescent="0.35">
      <c r="A181" s="8">
        <v>75736046</v>
      </c>
      <c r="B181" s="4" t="s">
        <v>2599</v>
      </c>
      <c r="C181" s="4" t="s">
        <v>1971</v>
      </c>
      <c r="D181" s="5">
        <v>45362</v>
      </c>
      <c r="E181" s="4" t="s">
        <v>31</v>
      </c>
      <c r="F181" s="4" t="s">
        <v>36</v>
      </c>
      <c r="G181" s="4" t="s">
        <v>2600</v>
      </c>
      <c r="H181" s="4" t="s">
        <v>1956</v>
      </c>
      <c r="I181" s="4" t="s">
        <v>1968</v>
      </c>
      <c r="J181" s="4" t="s">
        <v>1968</v>
      </c>
      <c r="K181" s="4" t="s">
        <v>1968</v>
      </c>
      <c r="L181" s="4" t="s">
        <v>1968</v>
      </c>
      <c r="M181" s="4" t="s">
        <v>36</v>
      </c>
      <c r="N181" s="4" t="s">
        <v>2600</v>
      </c>
      <c r="O181" s="4" t="s">
        <v>37</v>
      </c>
      <c r="P181" s="4" t="s">
        <v>37</v>
      </c>
      <c r="Q181" s="10" t="s">
        <v>76</v>
      </c>
      <c r="R181" s="4" t="str">
        <f t="shared" si="14"/>
        <v>Carapongo Los Tulipanes Carapongo Los Tulipanes, Lurigancho, Lima, Lima, Perú</v>
      </c>
      <c r="S181" s="4">
        <v>-12.00717</v>
      </c>
      <c r="T181" s="4">
        <v>-76.885959099999994</v>
      </c>
      <c r="U181" s="30">
        <f t="shared" si="11"/>
        <v>1.87</v>
      </c>
      <c r="V181" s="4" t="str">
        <f t="shared" si="12"/>
        <v>🟢 Muy Cerca (0-5 km)</v>
      </c>
      <c r="W181" s="19" t="str" cm="1">
        <f t="array" ref="W181">_xlfn.LET(_xlpm.lat_emp,S181,_xlpm.lon_emp,T181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la Cruz</v>
      </c>
      <c r="X181" s="19" t="str">
        <f>_xlfn.LET(_xlpm.paradero,W181,INDEX(PARADEROS_VALIDOS!$A$2:$A$67,MATCH(_xlpm.paradero,PARADEROS_VALIDOS!$C$2:$C$67,0)))</f>
        <v>RUTA 4B</v>
      </c>
      <c r="Y181" s="29" cm="1">
        <f t="array" ref="Y181">_xlfn.LET(_xlpm.lat_emp,S181,_xlpm.lon_emp,T181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0.85</v>
      </c>
      <c r="Z181" s="4" t="str">
        <f t="shared" si="13"/>
        <v>🟢 Muy Cerca (0-1 km)</v>
      </c>
      <c r="AA181" s="4"/>
      <c r="AB181" s="4"/>
      <c r="AC181" s="49">
        <v>-11.997563</v>
      </c>
      <c r="AD181" s="49">
        <v>-76.900062000000005</v>
      </c>
      <c r="AE181" s="19" t="str">
        <f>IFERROR(VLOOKUP(C181,tdcargo[],2,FALSE),"DESCONOCIDO")</f>
        <v>OPERARIO</v>
      </c>
    </row>
    <row r="182" spans="1:31" hidden="1" x14ac:dyDescent="0.35">
      <c r="A182" s="8">
        <v>70164434</v>
      </c>
      <c r="B182" s="4" t="s">
        <v>2601</v>
      </c>
      <c r="C182" s="4" t="s">
        <v>1971</v>
      </c>
      <c r="D182" s="5">
        <v>45607</v>
      </c>
      <c r="E182" s="4" t="s">
        <v>31</v>
      </c>
      <c r="F182" s="4" t="s">
        <v>82</v>
      </c>
      <c r="G182" s="4" t="s">
        <v>2602</v>
      </c>
      <c r="H182" s="4" t="s">
        <v>1956</v>
      </c>
      <c r="I182" s="4" t="s">
        <v>1968</v>
      </c>
      <c r="J182" s="4" t="s">
        <v>1968</v>
      </c>
      <c r="K182" s="4" t="s">
        <v>1968</v>
      </c>
      <c r="L182" s="4" t="s">
        <v>1968</v>
      </c>
      <c r="M182" s="4" t="s">
        <v>36</v>
      </c>
      <c r="N182" s="4" t="s">
        <v>1956</v>
      </c>
      <c r="O182" s="4" t="s">
        <v>37</v>
      </c>
      <c r="P182" s="4" t="s">
        <v>37</v>
      </c>
      <c r="Q182" s="10" t="s">
        <v>76</v>
      </c>
      <c r="R182" s="4" t="str">
        <f t="shared" si="14"/>
        <v>Calle Gisela Huamani Munates, Lurigancho, Lima, Lima, Perú</v>
      </c>
      <c r="S182" s="4">
        <v>-12.0315409</v>
      </c>
      <c r="T182" s="4">
        <v>-76.998538100000005</v>
      </c>
      <c r="U182" s="30">
        <f t="shared" si="11"/>
        <v>11.36</v>
      </c>
      <c r="V182" s="4" t="str">
        <f t="shared" si="12"/>
        <v>🟠 Moderada (10-20 km)</v>
      </c>
      <c r="W182" s="19" t="str" cm="1">
        <f t="array" ref="W182">_xlfn.LET(_xlpm.lat_emp,S182,_xlpm.lon_emp,T182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Puente Nuevo (Av. Chinchaysuyo &amp; Av. Malecón Checa)</v>
      </c>
      <c r="X182" s="19" t="str">
        <f>_xlfn.LET(_xlpm.paradero,W182,INDEX(PARADEROS_VALIDOS!$A$2:$A$67,MATCH(_xlpm.paradero,PARADEROS_VALIDOS!$C$2:$C$67,0)))</f>
        <v>RUTA 6C</v>
      </c>
      <c r="Y182" s="29" cm="1">
        <f t="array" ref="Y182">_xlfn.LET(_xlpm.lat_emp,S182,_xlpm.lon_emp,T182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0.62</v>
      </c>
      <c r="Z182" s="4" t="str">
        <f t="shared" si="13"/>
        <v>🟢 Muy Cerca (0-1 km)</v>
      </c>
      <c r="AA182" s="4"/>
      <c r="AB182" s="4"/>
      <c r="AC182" s="49">
        <v>-11.997563</v>
      </c>
      <c r="AD182" s="49">
        <v>-76.900062000000005</v>
      </c>
      <c r="AE182" s="19" t="str">
        <f>IFERROR(VLOOKUP(C182,tdcargo[],2,FALSE),"DESCONOCIDO")</f>
        <v>OPERARIO</v>
      </c>
    </row>
    <row r="183" spans="1:31" hidden="1" x14ac:dyDescent="0.35">
      <c r="A183" s="81">
        <v>40518022</v>
      </c>
      <c r="B183" s="82" t="s">
        <v>2603</v>
      </c>
      <c r="C183" s="82" t="s">
        <v>1971</v>
      </c>
      <c r="D183" s="83">
        <v>44837</v>
      </c>
      <c r="E183" s="82" t="s">
        <v>31</v>
      </c>
      <c r="F183" s="82" t="s">
        <v>36</v>
      </c>
      <c r="G183" s="82"/>
      <c r="H183" s="82" t="s">
        <v>1956</v>
      </c>
      <c r="I183" s="82" t="s">
        <v>1968</v>
      </c>
      <c r="J183" s="82" t="s">
        <v>1968</v>
      </c>
      <c r="K183" s="82">
        <v>3</v>
      </c>
      <c r="L183" s="82" t="s">
        <v>1461</v>
      </c>
      <c r="M183" s="82" t="s">
        <v>202</v>
      </c>
      <c r="N183" s="82" t="s">
        <v>4607</v>
      </c>
      <c r="O183" s="82" t="s">
        <v>37</v>
      </c>
      <c r="P183" s="82" t="s">
        <v>37</v>
      </c>
      <c r="Q183" s="84" t="s">
        <v>654</v>
      </c>
      <c r="R183" s="4" t="s">
        <v>4611</v>
      </c>
      <c r="S183" s="82">
        <v>-11.997563</v>
      </c>
      <c r="T183" s="82">
        <v>-76.900062000000005</v>
      </c>
      <c r="U183" s="85">
        <f t="shared" si="11"/>
        <v>0</v>
      </c>
      <c r="V183" s="82" t="str">
        <f t="shared" si="12"/>
        <v>🟢 Muy Cerca (0-5 km)</v>
      </c>
      <c r="W183" s="86" t="str" cm="1">
        <f t="array" ref="W183">_xlfn.LET(_xlpm.lat_emp,S183,_xlpm.lon_emp,T183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Tottus Huachipa</v>
      </c>
      <c r="X183" s="86" t="str">
        <f>_xlfn.LET(_xlpm.paradero,W183,INDEX(PARADEROS_VALIDOS!$A$2:$A$67,MATCH(_xlpm.paradero,PARADEROS_VALIDOS!$C$2:$C$67,0)))</f>
        <v>RUTA 1</v>
      </c>
      <c r="Y183" s="87" cm="1">
        <f t="array" ref="Y183">_xlfn.LET(_xlpm.lat_emp,S183,_xlpm.lon_emp,T183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0.3</v>
      </c>
      <c r="Z183" s="82" t="str">
        <f t="shared" si="13"/>
        <v>🟢 Muy Cerca (0-1 km)</v>
      </c>
      <c r="AA183" s="82"/>
      <c r="AB183" s="82"/>
      <c r="AC183" s="88">
        <v>-11.997563</v>
      </c>
      <c r="AD183" s="88">
        <v>-76.900062000000005</v>
      </c>
      <c r="AE183" s="86" t="str">
        <f>IFERROR(VLOOKUP(C183,tdcargo[],2,FALSE),"DESCONOCIDO")</f>
        <v>OPERARIO</v>
      </c>
    </row>
    <row r="184" spans="1:31" hidden="1" x14ac:dyDescent="0.35">
      <c r="A184" s="8">
        <v>72854156</v>
      </c>
      <c r="B184" s="4" t="s">
        <v>2608</v>
      </c>
      <c r="C184" s="4" t="s">
        <v>1971</v>
      </c>
      <c r="D184" s="5">
        <v>45779</v>
      </c>
      <c r="E184" s="4" t="s">
        <v>31</v>
      </c>
      <c r="F184" s="4" t="s">
        <v>36</v>
      </c>
      <c r="G184" s="4" t="s">
        <v>1282</v>
      </c>
      <c r="H184" s="4" t="s">
        <v>1956</v>
      </c>
      <c r="I184" s="4" t="s">
        <v>1968</v>
      </c>
      <c r="J184" s="4" t="s">
        <v>1968</v>
      </c>
      <c r="K184" s="4" t="s">
        <v>2114</v>
      </c>
      <c r="L184" s="4" t="s">
        <v>1278</v>
      </c>
      <c r="M184" s="4" t="s">
        <v>36</v>
      </c>
      <c r="N184" s="4" t="s">
        <v>1282</v>
      </c>
      <c r="O184" s="4" t="s">
        <v>37</v>
      </c>
      <c r="P184" s="4" t="s">
        <v>37</v>
      </c>
      <c r="Q184" s="10" t="s">
        <v>76</v>
      </c>
      <c r="R184" s="4" t="str">
        <f t="shared" ref="R184:R247" si="15">_xlfn.LET(_xlpm.parte1,TRIM(IF(F184="Otros / No aplica","",F184&amp;" ")&amp;G184&amp;IF(AND(H184&lt;&gt;"",H184&lt;&gt;"0",H184&lt;&gt;0)," "&amp;H184,"")&amp;IF(I184&lt;&gt;"",", Apt. "&amp;I184,"")&amp;IF(J184&lt;&gt;"",", Int. "&amp;J184,"")&amp;IF(AND(K184&lt;&gt;"",K184&lt;&gt;0),", Lote "&amp;K184,"")&amp;IF(L184&lt;&gt;"",", Mz. "&amp;L184,"")&amp;IF(AND(M184&lt;&gt;"",M184&lt;&gt;"Otros / No aplica"),", "&amp;M184,"")&amp;IF(AND(N184&lt;&gt;"",N184&lt;&gt;"0",N184&lt;&gt;0)," "&amp;N184,"")),_xlpm.parte2,Q184&amp;", "&amp;P184&amp;", "&amp;O184&amp;", Perú",IF(LEFT(_xlpm.parte1,1)=",",TRIM(MID(_xlpm.parte1,2,255))&amp;", "&amp;_xlpm.parte2,IF(_xlpm.parte1="",_xlpm.parte2,_xlpm.parte1&amp;", "&amp;_xlpm.parte2)))</f>
        <v>Nuevo Horizonte, Lote 10, Mz. A Nuevo Horizonte, Lurigancho, Lima, Lima, Perú</v>
      </c>
      <c r="S184" s="4">
        <v>-12.0003017</v>
      </c>
      <c r="T184" s="4">
        <v>-76.852411200000006</v>
      </c>
      <c r="U184" s="30">
        <f t="shared" si="11"/>
        <v>5.19</v>
      </c>
      <c r="V184" s="4" t="str">
        <f t="shared" si="12"/>
        <v>🟡 Cerca (5-10 km)</v>
      </c>
      <c r="W184" s="19" t="str" cm="1">
        <f t="array" ref="W184">_xlfn.LET(_xlpm.lat_emp,S184,_xlpm.lon_emp,T184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Gloria Grande</v>
      </c>
      <c r="X184" s="19" t="str">
        <f>_xlfn.LET(_xlpm.paradero,W184,INDEX(PARADEROS_VALIDOS!$A$2:$A$67,MATCH(_xlpm.paradero,PARADEROS_VALIDOS!$C$2:$C$67,0)))</f>
        <v>RUTA 5B</v>
      </c>
      <c r="Y184" s="29" cm="1">
        <f t="array" ref="Y184">_xlfn.LET(_xlpm.lat_emp,S184,_xlpm.lon_emp,T184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</v>
      </c>
      <c r="Z184" s="4" t="str">
        <f t="shared" si="13"/>
        <v>🟢 Muy Cerca (0-1 km)</v>
      </c>
      <c r="AA184" s="4"/>
      <c r="AB184" s="4"/>
      <c r="AC184" s="49">
        <v>-11.997563</v>
      </c>
      <c r="AD184" s="49">
        <v>-76.900062000000005</v>
      </c>
      <c r="AE184" s="19" t="str">
        <f>IFERROR(VLOOKUP(C184,tdcargo[],2,FALSE),"DESCONOCIDO")</f>
        <v>OPERARIO</v>
      </c>
    </row>
    <row r="185" spans="1:31" hidden="1" x14ac:dyDescent="0.35">
      <c r="A185" s="8">
        <v>74487796</v>
      </c>
      <c r="B185" s="4" t="s">
        <v>2609</v>
      </c>
      <c r="C185" s="4" t="s">
        <v>1971</v>
      </c>
      <c r="D185" s="5">
        <v>45736</v>
      </c>
      <c r="E185" s="4" t="s">
        <v>31</v>
      </c>
      <c r="F185" s="4" t="s">
        <v>148</v>
      </c>
      <c r="G185" s="4" t="s">
        <v>2610</v>
      </c>
      <c r="H185" s="4" t="s">
        <v>2611</v>
      </c>
      <c r="I185" s="4" t="s">
        <v>1968</v>
      </c>
      <c r="J185" s="4" t="s">
        <v>1968</v>
      </c>
      <c r="K185" s="4" t="s">
        <v>1968</v>
      </c>
      <c r="L185" s="4" t="s">
        <v>1968</v>
      </c>
      <c r="M185" s="4" t="s">
        <v>36</v>
      </c>
      <c r="N185" s="4" t="s">
        <v>1573</v>
      </c>
      <c r="O185" s="4" t="s">
        <v>37</v>
      </c>
      <c r="P185" s="4" t="s">
        <v>37</v>
      </c>
      <c r="Q185" s="10" t="s">
        <v>76</v>
      </c>
      <c r="R185" s="4" t="str">
        <f t="shared" si="15"/>
        <v>Pasaje 13 De Septiembre 5086 Villa Esperanza, Lurigancho, Lima, Lima, Perú</v>
      </c>
      <c r="S185" s="4">
        <v>-11.966341399999999</v>
      </c>
      <c r="T185" s="4">
        <v>-76.942893900000001</v>
      </c>
      <c r="U185" s="30">
        <f t="shared" si="11"/>
        <v>5.81</v>
      </c>
      <c r="V185" s="4" t="str">
        <f t="shared" si="12"/>
        <v>🟡 Cerca (5-10 km)</v>
      </c>
      <c r="W185" s="19" t="str" cm="1">
        <f t="array" ref="W185">_xlfn.LET(_xlpm.lat_emp,S185,_xlpm.lon_emp,T185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185" s="19" t="str">
        <f>_xlfn.LET(_xlpm.paradero,W185,INDEX(PARADEROS_VALIDOS!$A$2:$A$67,MATCH(_xlpm.paradero,PARADEROS_VALIDOS!$C$2:$C$67,0)))</f>
        <v>RUTA 2</v>
      </c>
      <c r="Y185" s="29" cm="1">
        <f t="array" ref="Y185">_xlfn.LET(_xlpm.lat_emp,S185,_xlpm.lon_emp,T185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5.28</v>
      </c>
      <c r="Z185" s="4" t="str">
        <f t="shared" si="13"/>
        <v>🔴 Lejos (&gt;5 km)</v>
      </c>
      <c r="AA185" s="4"/>
      <c r="AB185" s="4"/>
      <c r="AC185" s="49">
        <v>-11.997563</v>
      </c>
      <c r="AD185" s="49">
        <v>-76.900062000000005</v>
      </c>
      <c r="AE185" s="19" t="str">
        <f>IFERROR(VLOOKUP(C185,tdcargo[],2,FALSE),"DESCONOCIDO")</f>
        <v>OPERARIO</v>
      </c>
    </row>
    <row r="186" spans="1:31" hidden="1" x14ac:dyDescent="0.35">
      <c r="A186" s="8">
        <v>43585773</v>
      </c>
      <c r="B186" s="4" t="s">
        <v>2620</v>
      </c>
      <c r="C186" s="4" t="s">
        <v>1971</v>
      </c>
      <c r="D186" s="5">
        <v>45691</v>
      </c>
      <c r="E186" s="4" t="s">
        <v>31</v>
      </c>
      <c r="F186" s="4" t="s">
        <v>34</v>
      </c>
      <c r="G186" s="4" t="s">
        <v>631</v>
      </c>
      <c r="H186" s="4" t="s">
        <v>1956</v>
      </c>
      <c r="I186" s="4" t="s">
        <v>1968</v>
      </c>
      <c r="J186" s="4" t="s">
        <v>1968</v>
      </c>
      <c r="K186" s="4" t="s">
        <v>1968</v>
      </c>
      <c r="L186" s="4" t="s">
        <v>1968</v>
      </c>
      <c r="M186" s="4" t="s">
        <v>36</v>
      </c>
      <c r="N186" s="4" t="s">
        <v>227</v>
      </c>
      <c r="O186" s="4" t="s">
        <v>37</v>
      </c>
      <c r="P186" s="4" t="s">
        <v>37</v>
      </c>
      <c r="Q186" s="10" t="s">
        <v>57</v>
      </c>
      <c r="R186" s="4" t="str">
        <f t="shared" si="15"/>
        <v>Avenida Las Torres Huachipa, Ate, Lima, Lima, Perú</v>
      </c>
      <c r="S186" s="4">
        <v>-12.0066883</v>
      </c>
      <c r="T186" s="4">
        <v>-76.911398000000005</v>
      </c>
      <c r="U186" s="30">
        <f t="shared" si="11"/>
        <v>1.6</v>
      </c>
      <c r="V186" s="4" t="str">
        <f t="shared" si="12"/>
        <v>🟢 Muy Cerca (0-5 km)</v>
      </c>
      <c r="W186" s="19" t="str" cm="1">
        <f t="array" ref="W186">_xlfn.LET(_xlpm.lat_emp,S186,_xlpm.lon_emp,T186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Estadio Huachipa</v>
      </c>
      <c r="X186" s="19" t="str">
        <f>_xlfn.LET(_xlpm.paradero,W186,INDEX(PARADEROS_VALIDOS!$A$2:$A$67,MATCH(_xlpm.paradero,PARADEROS_VALIDOS!$C$2:$C$67,0)))</f>
        <v>RUTA 5C</v>
      </c>
      <c r="Y186" s="29" cm="1">
        <f t="array" ref="Y186">_xlfn.LET(_xlpm.lat_emp,S186,_xlpm.lon_emp,T186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0.98</v>
      </c>
      <c r="Z186" s="4" t="str">
        <f t="shared" si="13"/>
        <v>🟢 Muy Cerca (0-1 km)</v>
      </c>
      <c r="AA186" s="4"/>
      <c r="AB186" s="4"/>
      <c r="AC186" s="49">
        <v>-11.997563</v>
      </c>
      <c r="AD186" s="49">
        <v>-76.900062000000005</v>
      </c>
      <c r="AE186" s="19" t="str">
        <f>IFERROR(VLOOKUP(C186,tdcargo[],2,FALSE),"DESCONOCIDO")</f>
        <v>OPERARIO</v>
      </c>
    </row>
    <row r="187" spans="1:31" hidden="1" x14ac:dyDescent="0.35">
      <c r="A187" s="8">
        <v>41573673</v>
      </c>
      <c r="B187" s="4" t="s">
        <v>2621</v>
      </c>
      <c r="C187" s="4" t="s">
        <v>1971</v>
      </c>
      <c r="D187" s="5">
        <v>44711</v>
      </c>
      <c r="E187" s="4" t="s">
        <v>31</v>
      </c>
      <c r="F187" s="4" t="s">
        <v>36</v>
      </c>
      <c r="G187" s="4" t="s">
        <v>2622</v>
      </c>
      <c r="H187" s="4" t="s">
        <v>1956</v>
      </c>
      <c r="I187" s="4" t="s">
        <v>1968</v>
      </c>
      <c r="J187" s="4" t="s">
        <v>1968</v>
      </c>
      <c r="K187" s="4" t="s">
        <v>1968</v>
      </c>
      <c r="L187" s="4" t="s">
        <v>1968</v>
      </c>
      <c r="M187" s="4" t="s">
        <v>66</v>
      </c>
      <c r="N187" s="4" t="s">
        <v>2622</v>
      </c>
      <c r="O187" s="4" t="s">
        <v>37</v>
      </c>
      <c r="P187" s="4" t="s">
        <v>37</v>
      </c>
      <c r="Q187" s="10" t="s">
        <v>57</v>
      </c>
      <c r="R187" s="4" t="str">
        <f t="shared" si="15"/>
        <v>Las Palmeras Ii Etapa Gloria Baja Ate, U.V. Unidad Vecinal Las Palmeras Ii Etapa Gloria Baja Ate, Ate, Lima, Lima, Perú</v>
      </c>
      <c r="S187" s="4">
        <v>-12.010218500000001</v>
      </c>
      <c r="T187" s="4">
        <v>-76.854962499999999</v>
      </c>
      <c r="U187" s="30">
        <f t="shared" si="11"/>
        <v>5.0999999999999996</v>
      </c>
      <c r="V187" s="4" t="str">
        <f t="shared" si="12"/>
        <v>🟡 Cerca (5-10 km)</v>
      </c>
      <c r="W187" s="19" t="str" cm="1">
        <f t="array" ref="W187">_xlfn.LET(_xlpm.lat_emp,S187,_xlpm.lon_emp,T187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Gloria Grande</v>
      </c>
      <c r="X187" s="19" t="str">
        <f>_xlfn.LET(_xlpm.paradero,W187,INDEX(PARADEROS_VALIDOS!$A$2:$A$67,MATCH(_xlpm.paradero,PARADEROS_VALIDOS!$C$2:$C$67,0)))</f>
        <v>RUTA 5B</v>
      </c>
      <c r="Y187" s="29" cm="1">
        <f t="array" ref="Y187">_xlfn.LET(_xlpm.lat_emp,S187,_xlpm.lon_emp,T187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0.48</v>
      </c>
      <c r="Z187" s="4" t="str">
        <f t="shared" si="13"/>
        <v>🟢 Muy Cerca (0-1 km)</v>
      </c>
      <c r="AA187" s="4"/>
      <c r="AB187" s="4"/>
      <c r="AC187" s="49">
        <v>-11.997563</v>
      </c>
      <c r="AD187" s="49">
        <v>-76.900062000000005</v>
      </c>
      <c r="AE187" s="19" t="str">
        <f>IFERROR(VLOOKUP(C187,tdcargo[],2,FALSE),"DESCONOCIDO")</f>
        <v>OPERARIO</v>
      </c>
    </row>
    <row r="188" spans="1:31" hidden="1" x14ac:dyDescent="0.35">
      <c r="A188" s="8">
        <v>75553992</v>
      </c>
      <c r="B188" s="4" t="s">
        <v>2632</v>
      </c>
      <c r="C188" s="4" t="s">
        <v>1971</v>
      </c>
      <c r="D188" s="5">
        <v>46034</v>
      </c>
      <c r="E188" s="4" t="s">
        <v>31</v>
      </c>
      <c r="F188" s="4" t="s">
        <v>36</v>
      </c>
      <c r="G188" s="4" t="s">
        <v>2633</v>
      </c>
      <c r="H188" s="4" t="s">
        <v>1956</v>
      </c>
      <c r="I188" s="4" t="s">
        <v>2403</v>
      </c>
      <c r="J188" s="4" t="s">
        <v>1968</v>
      </c>
      <c r="K188" s="4" t="s">
        <v>2634</v>
      </c>
      <c r="L188" s="4" t="s">
        <v>2635</v>
      </c>
      <c r="M188" s="4" t="s">
        <v>36</v>
      </c>
      <c r="N188" s="4" t="s">
        <v>3241</v>
      </c>
      <c r="O188" s="4" t="s">
        <v>37</v>
      </c>
      <c r="P188" s="4" t="s">
        <v>37</v>
      </c>
      <c r="Q188" s="10" t="s">
        <v>57</v>
      </c>
      <c r="R188" s="4" t="str">
        <f t="shared" si="15"/>
        <v>Asoc. Wayta Wasi, Apt. 16, Lote 40, Mz. . SIN ZONA, Ate, Lima, Lima, Perú</v>
      </c>
      <c r="S188" s="4">
        <v>-12.020743</v>
      </c>
      <c r="T188" s="4">
        <v>-76.816586599999994</v>
      </c>
      <c r="U188" s="30">
        <f t="shared" si="11"/>
        <v>9.44</v>
      </c>
      <c r="V188" s="4" t="str">
        <f t="shared" si="12"/>
        <v>🟡 Cerca (5-10 km)</v>
      </c>
      <c r="W188" s="19" t="str" cm="1">
        <f t="array" ref="W188">_xlfn.LET(_xlpm.lat_emp,S188,_xlpm.lon_emp,T188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188" s="19" t="str">
        <f>_xlfn.LET(_xlpm.paradero,W188,INDEX(PARADEROS_VALIDOS!$A$2:$A$67,MATCH(_xlpm.paradero,PARADEROS_VALIDOS!$C$2:$C$67,0)))</f>
        <v>RUTA 3</v>
      </c>
      <c r="Y188" s="29" cm="1">
        <f t="array" ref="Y188">_xlfn.LET(_xlpm.lat_emp,S188,_xlpm.lon_emp,T188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0.87</v>
      </c>
      <c r="Z188" s="4" t="str">
        <f t="shared" si="13"/>
        <v>🟢 Muy Cerca (0-1 km)</v>
      </c>
      <c r="AA188" s="4"/>
      <c r="AB188" s="4"/>
      <c r="AC188" s="49">
        <v>-11.997563</v>
      </c>
      <c r="AD188" s="49">
        <v>-76.900062000000005</v>
      </c>
      <c r="AE188" s="19" t="str">
        <f>IFERROR(VLOOKUP(C188,tdcargo[],2,FALSE),"DESCONOCIDO")</f>
        <v>OPERARIO</v>
      </c>
    </row>
    <row r="189" spans="1:31" hidden="1" x14ac:dyDescent="0.35">
      <c r="A189" s="8">
        <v>61137160</v>
      </c>
      <c r="B189" s="4" t="s">
        <v>2636</v>
      </c>
      <c r="C189" s="4" t="s">
        <v>1971</v>
      </c>
      <c r="D189" s="5">
        <v>46034</v>
      </c>
      <c r="E189" s="4" t="s">
        <v>31</v>
      </c>
      <c r="F189" s="4" t="s">
        <v>36</v>
      </c>
      <c r="G189" s="4" t="s">
        <v>1017</v>
      </c>
      <c r="H189" s="4" t="s">
        <v>1973</v>
      </c>
      <c r="I189" s="4" t="s">
        <v>2168</v>
      </c>
      <c r="J189" s="4" t="s">
        <v>1968</v>
      </c>
      <c r="K189" s="4" t="s">
        <v>1973</v>
      </c>
      <c r="L189" s="4" t="s">
        <v>1636</v>
      </c>
      <c r="M189" s="4" t="s">
        <v>36</v>
      </c>
      <c r="N189" s="4" t="s">
        <v>3241</v>
      </c>
      <c r="O189" s="4" t="s">
        <v>37</v>
      </c>
      <c r="P189" s="4" t="s">
        <v>37</v>
      </c>
      <c r="Q189" s="10" t="s">
        <v>76</v>
      </c>
      <c r="R189" s="4" t="str">
        <f t="shared" si="15"/>
        <v>Cajamarquilla 15, Apt. 13, Lote 15, Mz. I SIN ZONA, Lurigancho, Lima, Lima, Perú</v>
      </c>
      <c r="S189" s="4">
        <v>-12.061621499999999</v>
      </c>
      <c r="T189" s="4">
        <v>-77.074483400000005</v>
      </c>
      <c r="U189" s="30">
        <f t="shared" si="11"/>
        <v>20.260000000000002</v>
      </c>
      <c r="V189" s="4" t="str">
        <f t="shared" si="12"/>
        <v>🔴 Lejos (&gt;20 km)</v>
      </c>
      <c r="W189" s="19" t="str" cm="1">
        <f t="array" ref="W189">_xlfn.LET(_xlpm.lat_emp,S189,_xlpm.lon_emp,T189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Universitaria con Colonial</v>
      </c>
      <c r="X189" s="19" t="str">
        <f>_xlfn.LET(_xlpm.paradero,W189,INDEX(PARADEROS_VALIDOS!$A$2:$A$67,MATCH(_xlpm.paradero,PARADEROS_VALIDOS!$C$2:$C$67,0)))</f>
        <v>RUTA 9</v>
      </c>
      <c r="Y189" s="29" cm="1">
        <f t="array" ref="Y189">_xlfn.LET(_xlpm.lat_emp,S189,_xlpm.lon_emp,T189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1.36</v>
      </c>
      <c r="Z189" s="4" t="str">
        <f t="shared" si="13"/>
        <v>🟡 Cerca (1-3 km)</v>
      </c>
      <c r="AA189" s="4"/>
      <c r="AB189" s="4"/>
      <c r="AC189" s="49">
        <v>-11.997563</v>
      </c>
      <c r="AD189" s="49">
        <v>-76.900062000000005</v>
      </c>
      <c r="AE189" s="19" t="str">
        <f>IFERROR(VLOOKUP(C189,tdcargo[],2,FALSE),"DESCONOCIDO")</f>
        <v>OPERARIO</v>
      </c>
    </row>
    <row r="190" spans="1:31" hidden="1" x14ac:dyDescent="0.35">
      <c r="A190" s="8">
        <v>62439715</v>
      </c>
      <c r="B190" s="4" t="s">
        <v>2637</v>
      </c>
      <c r="C190" s="4" t="s">
        <v>1971</v>
      </c>
      <c r="D190" s="5">
        <v>45950</v>
      </c>
      <c r="E190" s="4" t="s">
        <v>31</v>
      </c>
      <c r="F190" s="4" t="s">
        <v>1612</v>
      </c>
      <c r="G190" s="4" t="s">
        <v>2638</v>
      </c>
      <c r="H190" s="4" t="s">
        <v>1995</v>
      </c>
      <c r="I190" s="4" t="s">
        <v>1968</v>
      </c>
      <c r="J190" s="4" t="s">
        <v>2347</v>
      </c>
      <c r="K190" s="4" t="s">
        <v>1995</v>
      </c>
      <c r="L190" s="4" t="s">
        <v>2639</v>
      </c>
      <c r="M190" s="4" t="s">
        <v>36</v>
      </c>
      <c r="N190" s="4" t="s">
        <v>2640</v>
      </c>
      <c r="O190" s="4" t="s">
        <v>37</v>
      </c>
      <c r="P190" s="4" t="s">
        <v>37</v>
      </c>
      <c r="Q190" s="10" t="s">
        <v>57</v>
      </c>
      <c r="R190" s="4" t="str">
        <f t="shared" si="15"/>
        <v>Parque Humbold 1, Int. 4, Lote 1, Mz. G1 Ceres 2Da Etapa, Ate, Lima, Lima, Perú</v>
      </c>
      <c r="S190" s="4">
        <v>-12.0302779</v>
      </c>
      <c r="T190" s="4">
        <v>-76.9345955</v>
      </c>
      <c r="U190" s="30">
        <f t="shared" si="11"/>
        <v>5.23</v>
      </c>
      <c r="V190" s="4" t="str">
        <f t="shared" si="12"/>
        <v>🟡 Cerca (5-10 km)</v>
      </c>
      <c r="W190" s="19" t="str" cm="1">
        <f t="array" ref="W190">_xlfn.LET(_xlpm.lat_emp,S190,_xlpm.lon_emp,T190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Real Plaza Puruchuco (Grifo Primax)</v>
      </c>
      <c r="X190" s="19" t="str">
        <f>_xlfn.LET(_xlpm.paradero,W190,INDEX(PARADEROS_VALIDOS!$A$2:$A$67,MATCH(_xlpm.paradero,PARADEROS_VALIDOS!$C$2:$C$67,0)))</f>
        <v>RUTA 4A</v>
      </c>
      <c r="Y190" s="29" cm="1">
        <f t="array" ref="Y190">_xlfn.LET(_xlpm.lat_emp,S190,_xlpm.lon_emp,T190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1.27</v>
      </c>
      <c r="Z190" s="4" t="str">
        <f t="shared" si="13"/>
        <v>🟡 Cerca (1-3 km)</v>
      </c>
      <c r="AA190" s="4"/>
      <c r="AB190" s="4"/>
      <c r="AC190" s="49">
        <v>-11.997563</v>
      </c>
      <c r="AD190" s="49">
        <v>-76.900062000000005</v>
      </c>
      <c r="AE190" s="19" t="str">
        <f>IFERROR(VLOOKUP(C190,tdcargo[],2,FALSE),"DESCONOCIDO")</f>
        <v>OPERARIO</v>
      </c>
    </row>
    <row r="191" spans="1:31" hidden="1" x14ac:dyDescent="0.35">
      <c r="A191" s="8">
        <v>71402629</v>
      </c>
      <c r="B191" s="4" t="s">
        <v>2641</v>
      </c>
      <c r="C191" s="4" t="s">
        <v>1971</v>
      </c>
      <c r="D191" s="5">
        <v>45964</v>
      </c>
      <c r="E191" s="4" t="s">
        <v>31</v>
      </c>
      <c r="F191" s="4" t="s">
        <v>82</v>
      </c>
      <c r="G191" s="4" t="s">
        <v>2526</v>
      </c>
      <c r="H191" s="4" t="s">
        <v>2642</v>
      </c>
      <c r="I191" s="4" t="s">
        <v>1968</v>
      </c>
      <c r="J191" s="4" t="s">
        <v>1995</v>
      </c>
      <c r="K191" s="4" t="s">
        <v>2058</v>
      </c>
      <c r="L191" s="4" t="s">
        <v>2643</v>
      </c>
      <c r="M191" s="4" t="s">
        <v>36</v>
      </c>
      <c r="N191" s="4" t="s">
        <v>2387</v>
      </c>
      <c r="O191" s="4" t="s">
        <v>37</v>
      </c>
      <c r="P191" s="4" t="s">
        <v>37</v>
      </c>
      <c r="Q191" s="10" t="s">
        <v>57</v>
      </c>
      <c r="R191" s="4" t="str">
        <f t="shared" si="15"/>
        <v>Calle El Rosal 1005, Int. 1, Lote 7, Mz. B8 Las Gaviotas, Ate, Lima, Lima, Perú</v>
      </c>
      <c r="S191" s="4">
        <v>-11.890715500000001</v>
      </c>
      <c r="T191" s="4">
        <v>-77.048878099999996</v>
      </c>
      <c r="U191" s="30">
        <f t="shared" si="11"/>
        <v>20.079999999999998</v>
      </c>
      <c r="V191" s="4" t="str">
        <f t="shared" si="12"/>
        <v>🔴 Lejos (&gt;20 km)</v>
      </c>
      <c r="W191" s="19" t="str" cm="1">
        <f t="array" ref="W191">_xlfn.LET(_xlpm.lat_emp,S191,_xlpm.lon_emp,T191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Av. Metropolitana con Cultura</v>
      </c>
      <c r="X191" s="19" t="str">
        <f>_xlfn.LET(_xlpm.paradero,W191,INDEX(PARADEROS_VALIDOS!$A$2:$A$67,MATCH(_xlpm.paradero,PARADEROS_VALIDOS!$C$2:$C$67,0)))</f>
        <v>RUTA 4A</v>
      </c>
      <c r="Y191" s="29" cm="1">
        <f t="array" ref="Y191">_xlfn.LET(_xlpm.lat_emp,S191,_xlpm.lon_emp,T191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7.12</v>
      </c>
      <c r="Z191" s="4" t="str">
        <f t="shared" si="13"/>
        <v>🔴 Lejos (&gt;5 km)</v>
      </c>
      <c r="AA191" s="4"/>
      <c r="AB191" s="4"/>
      <c r="AC191" s="49">
        <v>-11.997563</v>
      </c>
      <c r="AD191" s="49">
        <v>-76.900062000000005</v>
      </c>
      <c r="AE191" s="19" t="str">
        <f>IFERROR(VLOOKUP(C191,tdcargo[],2,FALSE),"DESCONOCIDO")</f>
        <v>OPERARIO</v>
      </c>
    </row>
    <row r="192" spans="1:31" hidden="1" x14ac:dyDescent="0.35">
      <c r="A192" s="8">
        <v>72746786</v>
      </c>
      <c r="B192" s="4" t="s">
        <v>2644</v>
      </c>
      <c r="C192" s="4" t="s">
        <v>1971</v>
      </c>
      <c r="D192" s="5">
        <v>46069</v>
      </c>
      <c r="E192" s="4" t="s">
        <v>31</v>
      </c>
      <c r="F192" s="4" t="s">
        <v>36</v>
      </c>
      <c r="G192" s="4" t="s">
        <v>279</v>
      </c>
      <c r="H192" s="4" t="s">
        <v>2058</v>
      </c>
      <c r="I192" s="4" t="s">
        <v>1968</v>
      </c>
      <c r="J192" s="4" t="s">
        <v>1968</v>
      </c>
      <c r="K192" s="4" t="s">
        <v>2058</v>
      </c>
      <c r="L192" s="4" t="s">
        <v>1968</v>
      </c>
      <c r="M192" s="4" t="s">
        <v>36</v>
      </c>
      <c r="N192" s="4" t="s">
        <v>2645</v>
      </c>
      <c r="O192" s="4" t="s">
        <v>37</v>
      </c>
      <c r="P192" s="4" t="s">
        <v>37</v>
      </c>
      <c r="Q192" s="10" t="s">
        <v>38</v>
      </c>
      <c r="R192" s="4" t="str">
        <f t="shared" si="15"/>
        <v>Campoy 7, Lote 7 MZ. A LT.07 A.H SMP, San Juan De Lurigancho, Lima, Lima, Perú</v>
      </c>
      <c r="S192" s="4">
        <v>-12.0135086</v>
      </c>
      <c r="T192" s="4">
        <v>-77.015049099999999</v>
      </c>
      <c r="U192" s="30">
        <f t="shared" si="11"/>
        <v>12.63</v>
      </c>
      <c r="V192" s="4" t="str">
        <f t="shared" si="12"/>
        <v>🟠 Moderada (10-20 km)</v>
      </c>
      <c r="W192" s="19" t="str" cm="1">
        <f t="array" ref="W192">_xlfn.LET(_xlpm.lat_emp,S192,_xlpm.lon_emp,T192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Metro Hacienda</v>
      </c>
      <c r="X192" s="19" t="str">
        <f>_xlfn.LET(_xlpm.paradero,W192,INDEX(PARADEROS_VALIDOS!$A$2:$A$67,MATCH(_xlpm.paradero,PARADEROS_VALIDOS!$C$2:$C$67,0)))</f>
        <v>RUTA 6B</v>
      </c>
      <c r="Y192" s="29" cm="1">
        <f t="array" ref="Y192">_xlfn.LET(_xlpm.lat_emp,S192,_xlpm.lon_emp,T192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1.2</v>
      </c>
      <c r="Z192" s="4" t="str">
        <f t="shared" si="13"/>
        <v>🟡 Cerca (1-3 km)</v>
      </c>
      <c r="AA192" s="4"/>
      <c r="AB192" s="4"/>
      <c r="AC192" s="49">
        <v>-11.997563</v>
      </c>
      <c r="AD192" s="49">
        <v>-76.900062000000005</v>
      </c>
      <c r="AE192" s="19" t="str">
        <f>IFERROR(VLOOKUP(C192,tdcargo[],2,FALSE),"DESCONOCIDO")</f>
        <v>OPERARIO</v>
      </c>
    </row>
    <row r="193" spans="1:31" hidden="1" x14ac:dyDescent="0.35">
      <c r="A193" s="8">
        <v>75915370</v>
      </c>
      <c r="B193" s="4" t="s">
        <v>2646</v>
      </c>
      <c r="C193" s="4" t="s">
        <v>1971</v>
      </c>
      <c r="D193" s="5">
        <v>46062</v>
      </c>
      <c r="E193" s="4" t="s">
        <v>31</v>
      </c>
      <c r="F193" s="4" t="s">
        <v>36</v>
      </c>
      <c r="G193" s="4" t="s">
        <v>2647</v>
      </c>
      <c r="H193" s="4" t="s">
        <v>2161</v>
      </c>
      <c r="I193" s="4" t="s">
        <v>1968</v>
      </c>
      <c r="J193" s="4" t="s">
        <v>1968</v>
      </c>
      <c r="K193" s="4" t="s">
        <v>2168</v>
      </c>
      <c r="L193" s="4" t="s">
        <v>1987</v>
      </c>
      <c r="M193" s="4" t="s">
        <v>36</v>
      </c>
      <c r="N193" s="4" t="s">
        <v>2648</v>
      </c>
      <c r="O193" s="4" t="s">
        <v>37</v>
      </c>
      <c r="P193" s="4" t="s">
        <v>37</v>
      </c>
      <c r="Q193" s="10" t="s">
        <v>57</v>
      </c>
      <c r="R193" s="4" t="str">
        <f t="shared" si="15"/>
        <v>Aria Rivera 14, Lote 13, Mz. J PARIACHI, Ate, Lima, Lima, Perú</v>
      </c>
      <c r="S193" s="4">
        <v>-12.003406999999999</v>
      </c>
      <c r="T193" s="4">
        <v>-76.840150499999993</v>
      </c>
      <c r="U193" s="30">
        <f t="shared" si="11"/>
        <v>6.55</v>
      </c>
      <c r="V193" s="4" t="str">
        <f t="shared" si="12"/>
        <v>🟡 Cerca (5-10 km)</v>
      </c>
      <c r="W193" s="19" t="str" cm="1">
        <f t="array" ref="W193">_xlfn.LET(_xlpm.lat_emp,S193,_xlpm.lon_emp,T193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Huaycán</v>
      </c>
      <c r="X193" s="19" t="str">
        <f>_xlfn.LET(_xlpm.paradero,W193,INDEX(PARADEROS_VALIDOS!$A$2:$A$67,MATCH(_xlpm.paradero,PARADEROS_VALIDOS!$C$2:$C$67,0)))</f>
        <v>RUTA 5B</v>
      </c>
      <c r="Y193" s="29" cm="1">
        <f t="array" ref="Y193">_xlfn.LET(_xlpm.lat_emp,S193,_xlpm.lon_emp,T193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0.38</v>
      </c>
      <c r="Z193" s="4" t="str">
        <f t="shared" si="13"/>
        <v>🟢 Muy Cerca (0-1 km)</v>
      </c>
      <c r="AA193" s="4"/>
      <c r="AB193" s="4"/>
      <c r="AC193" s="49">
        <v>-11.997563</v>
      </c>
      <c r="AD193" s="49">
        <v>-76.900062000000005</v>
      </c>
      <c r="AE193" s="19" t="str">
        <f>IFERROR(VLOOKUP(C193,tdcargo[],2,FALSE),"DESCONOCIDO")</f>
        <v>OPERARIO</v>
      </c>
    </row>
    <row r="194" spans="1:31" hidden="1" x14ac:dyDescent="0.35">
      <c r="A194" s="8">
        <v>41716058</v>
      </c>
      <c r="B194" s="4" t="s">
        <v>2649</v>
      </c>
      <c r="C194" s="4" t="s">
        <v>1971</v>
      </c>
      <c r="D194" s="5">
        <v>46062</v>
      </c>
      <c r="E194" s="4" t="s">
        <v>31</v>
      </c>
      <c r="F194" s="4" t="s">
        <v>34</v>
      </c>
      <c r="G194" s="4" t="s">
        <v>945</v>
      </c>
      <c r="H194" s="4" t="s">
        <v>2052</v>
      </c>
      <c r="I194" s="4" t="s">
        <v>1968</v>
      </c>
      <c r="J194" s="4" t="s">
        <v>1995</v>
      </c>
      <c r="K194" s="4" t="s">
        <v>2650</v>
      </c>
      <c r="L194" s="4" t="s">
        <v>2651</v>
      </c>
      <c r="M194" s="4" t="s">
        <v>36</v>
      </c>
      <c r="N194" s="4" t="s">
        <v>2652</v>
      </c>
      <c r="O194" s="4" t="s">
        <v>37</v>
      </c>
      <c r="P194" s="4" t="s">
        <v>37</v>
      </c>
      <c r="Q194" s="10" t="s">
        <v>38</v>
      </c>
      <c r="R194" s="4" t="str">
        <f t="shared" si="15"/>
        <v>Avenida Zarate 12, Int. 1, Lote 121, Mz. A14 KORI ANCHA, San Juan De Lurigancho, Lima, Lima, Perú</v>
      </c>
      <c r="S194" s="4">
        <v>-11.987614000000001</v>
      </c>
      <c r="T194" s="4">
        <v>-77.008175800000004</v>
      </c>
      <c r="U194" s="30">
        <f t="shared" ref="U194:U257" si="16">IF(OR(S194="",T194=""),"Sin coordenadas",ROUND(6371*ACOS(COS(RADIANS(90-S194))*COS(RADIANS(90-(-11.997563)))+SIN(RADIANS(90-S194))*SIN(RADIANS(90-(-11.997563)))*COS(RADIANS(T194-(-76.900062)))),2))</f>
        <v>11.81</v>
      </c>
      <c r="V194" s="4" t="str">
        <f t="shared" ref="V194:V257" si="17">IF(U194="Sin coordenadas","N/A",IF(U194&lt;=5,"🟢 Muy Cerca (0-5 km)",IF(U194&lt;=10,"🟡 Cerca (5-10 km)",IF(U194&lt;=20,"🟠 Moderada (10-20 km)","🔴 Lejos (&gt;20 km)"))))</f>
        <v>🟠 Moderada (10-20 km)</v>
      </c>
      <c r="W194" s="19" t="str" cm="1">
        <f t="array" ref="W194">_xlfn.LET(_xlpm.lat_emp,S194,_xlpm.lon_emp,T194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Carlos</v>
      </c>
      <c r="X194" s="19" t="str">
        <f>_xlfn.LET(_xlpm.paradero,W194,INDEX(PARADEROS_VALIDOS!$A$2:$A$67,MATCH(_xlpm.paradero,PARADEROS_VALIDOS!$C$2:$C$67,0)))</f>
        <v>RUTA 6B</v>
      </c>
      <c r="Y194" s="29" cm="1">
        <f t="array" ref="Y194">_xlfn.LET(_xlpm.lat_emp,S194,_xlpm.lon_emp,T194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0.31</v>
      </c>
      <c r="Z194" s="4" t="str">
        <f t="shared" ref="Z194:Z257" si="18">IF(Y194&lt;=1,"🟢 Muy Cerca (0-1 km)",IF(Y194&lt;=3,"🟡 Cerca (1-3 km)",IF(Y194&lt;=5,"🟠 Moderada (3-5 km)","🔴 Lejos (&gt;5 km)")))</f>
        <v>🟢 Muy Cerca (0-1 km)</v>
      </c>
      <c r="AA194" s="4"/>
      <c r="AB194" s="4"/>
      <c r="AC194" s="49">
        <v>-11.997563</v>
      </c>
      <c r="AD194" s="49">
        <v>-76.900062000000005</v>
      </c>
      <c r="AE194" s="19" t="str">
        <f>IFERROR(VLOOKUP(C194,tdcargo[],2,FALSE),"DESCONOCIDO")</f>
        <v>OPERARIO</v>
      </c>
    </row>
    <row r="195" spans="1:31" x14ac:dyDescent="0.35">
      <c r="A195" s="8">
        <v>62333750</v>
      </c>
      <c r="B195" s="4" t="s">
        <v>2653</v>
      </c>
      <c r="C195" s="4" t="s">
        <v>1971</v>
      </c>
      <c r="D195" s="5">
        <v>46062</v>
      </c>
      <c r="E195" s="4" t="s">
        <v>31</v>
      </c>
      <c r="F195" s="4" t="s">
        <v>36</v>
      </c>
      <c r="G195" s="4" t="s">
        <v>710</v>
      </c>
      <c r="H195" s="4" t="s">
        <v>2654</v>
      </c>
      <c r="I195" s="4" t="s">
        <v>1968</v>
      </c>
      <c r="J195" s="4" t="s">
        <v>2171</v>
      </c>
      <c r="K195" s="4" t="s">
        <v>2171</v>
      </c>
      <c r="L195" s="4" t="s">
        <v>1461</v>
      </c>
      <c r="M195" s="4" t="s">
        <v>36</v>
      </c>
      <c r="N195" s="4" t="s">
        <v>2309</v>
      </c>
      <c r="O195" s="4" t="s">
        <v>37</v>
      </c>
      <c r="P195" s="4" t="s">
        <v>37</v>
      </c>
      <c r="Q195" s="10" t="s">
        <v>57</v>
      </c>
      <c r="R195" s="4" t="str">
        <f t="shared" si="15"/>
        <v>Las Retamas 1548, Int. 3, Lote 3, Mz. C H, Ate, Lima, Lima, Perú</v>
      </c>
      <c r="S195" s="4">
        <v>-12.081584100000001</v>
      </c>
      <c r="T195" s="4">
        <v>-76.983260700000002</v>
      </c>
      <c r="U195" s="30">
        <f t="shared" si="16"/>
        <v>13.01</v>
      </c>
      <c r="V195" s="4" t="str">
        <f t="shared" si="17"/>
        <v>🟠 Moderada (10-20 km)</v>
      </c>
      <c r="W195" s="19" t="str" cm="1">
        <f t="array" ref="W195">_xlfn.LET(_xlpm.lat_emp,S195,_xlpm.lon_emp,T195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Javier Prado</v>
      </c>
      <c r="X195" s="19" t="str">
        <f>_xlfn.LET(_xlpm.paradero,W195,INDEX(PARADEROS_VALIDOS!$A$2:$A$67,MATCH(_xlpm.paradero,PARADEROS_VALIDOS!$C$2:$C$67,0)))</f>
        <v>RUTA 7</v>
      </c>
      <c r="Y195" s="29" cm="1">
        <f t="array" ref="Y195">_xlfn.LET(_xlpm.lat_emp,S195,_xlpm.lon_emp,T195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0.39</v>
      </c>
      <c r="Z195" s="4" t="str">
        <f t="shared" si="18"/>
        <v>🟢 Muy Cerca (0-1 km)</v>
      </c>
      <c r="AA195" s="4"/>
      <c r="AB195" s="4"/>
      <c r="AC195" s="49">
        <v>-11.997563</v>
      </c>
      <c r="AD195" s="49">
        <v>-76.900062000000005</v>
      </c>
      <c r="AE195" s="19" t="str">
        <f>IFERROR(VLOOKUP(C195,tdcargo[],2,FALSE),"DESCONOCIDO")</f>
        <v>OPERARIO</v>
      </c>
    </row>
    <row r="196" spans="1:31" hidden="1" x14ac:dyDescent="0.35">
      <c r="A196" s="8">
        <v>72084094</v>
      </c>
      <c r="B196" s="4" t="s">
        <v>2655</v>
      </c>
      <c r="C196" s="4" t="s">
        <v>1971</v>
      </c>
      <c r="D196" s="5">
        <v>46062</v>
      </c>
      <c r="E196" s="4" t="s">
        <v>31</v>
      </c>
      <c r="F196" s="4" t="s">
        <v>34</v>
      </c>
      <c r="G196" s="4" t="s">
        <v>249</v>
      </c>
      <c r="H196" s="4" t="s">
        <v>1956</v>
      </c>
      <c r="I196" s="4" t="s">
        <v>1968</v>
      </c>
      <c r="J196" s="4" t="s">
        <v>1968</v>
      </c>
      <c r="K196" s="4" t="s">
        <v>2656</v>
      </c>
      <c r="L196" s="4" t="s">
        <v>1987</v>
      </c>
      <c r="M196" s="4" t="s">
        <v>36</v>
      </c>
      <c r="N196" s="4" t="s">
        <v>2657</v>
      </c>
      <c r="O196" s="4" t="s">
        <v>37</v>
      </c>
      <c r="P196" s="4" t="s">
        <v>37</v>
      </c>
      <c r="Q196" s="10" t="s">
        <v>118</v>
      </c>
      <c r="R196" s="4" t="str">
        <f t="shared" si="15"/>
        <v>Avenida Los Eucaliptos, Lote 43, Mz. J HUASCATA, Chaclacayo, Lima, Lima, Perú</v>
      </c>
      <c r="S196" s="4">
        <v>-11.994911</v>
      </c>
      <c r="T196" s="4">
        <v>-76.820873000000006</v>
      </c>
      <c r="U196" s="30">
        <f t="shared" si="16"/>
        <v>8.6199999999999992</v>
      </c>
      <c r="V196" s="4" t="str">
        <f t="shared" si="17"/>
        <v>🟡 Cerca (5-10 km)</v>
      </c>
      <c r="W196" s="19" t="str" cm="1">
        <f t="array" ref="W196">_xlfn.LET(_xlpm.lat_emp,S196,_xlpm.lon_emp,T196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Ñaña</v>
      </c>
      <c r="X196" s="19" t="str">
        <f>_xlfn.LET(_xlpm.paradero,W196,INDEX(PARADEROS_VALIDOS!$A$2:$A$67,MATCH(_xlpm.paradero,PARADEROS_VALIDOS!$C$2:$C$67,0)))</f>
        <v>RUTA 5A</v>
      </c>
      <c r="Y196" s="29" cm="1">
        <f t="array" ref="Y196">_xlfn.LET(_xlpm.lat_emp,S196,_xlpm.lon_emp,T196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0.69</v>
      </c>
      <c r="Z196" s="4" t="str">
        <f t="shared" si="18"/>
        <v>🟢 Muy Cerca (0-1 km)</v>
      </c>
      <c r="AA196" s="4"/>
      <c r="AB196" s="4"/>
      <c r="AC196" s="49">
        <v>-11.997563</v>
      </c>
      <c r="AD196" s="49">
        <v>-76.900062000000005</v>
      </c>
      <c r="AE196" s="19" t="str">
        <f>IFERROR(VLOOKUP(C196,tdcargo[],2,FALSE),"DESCONOCIDO")</f>
        <v>OPERARIO</v>
      </c>
    </row>
    <row r="197" spans="1:31" hidden="1" x14ac:dyDescent="0.35">
      <c r="A197" s="8">
        <v>75439742</v>
      </c>
      <c r="B197" s="4" t="s">
        <v>2664</v>
      </c>
      <c r="C197" s="4" t="s">
        <v>1971</v>
      </c>
      <c r="D197" s="5">
        <v>45931</v>
      </c>
      <c r="E197" s="4" t="s">
        <v>31</v>
      </c>
      <c r="F197" s="4" t="s">
        <v>82</v>
      </c>
      <c r="G197" s="4" t="s">
        <v>2029</v>
      </c>
      <c r="H197" s="4" t="s">
        <v>2450</v>
      </c>
      <c r="I197" s="4" t="s">
        <v>1968</v>
      </c>
      <c r="J197" s="4" t="s">
        <v>1968</v>
      </c>
      <c r="K197" s="4" t="s">
        <v>1995</v>
      </c>
      <c r="L197" s="4" t="s">
        <v>2639</v>
      </c>
      <c r="M197" s="4" t="s">
        <v>36</v>
      </c>
      <c r="N197" s="4" t="s">
        <v>2665</v>
      </c>
      <c r="O197" s="4" t="s">
        <v>37</v>
      </c>
      <c r="P197" s="4" t="s">
        <v>195</v>
      </c>
      <c r="Q197" s="10" t="s">
        <v>196</v>
      </c>
      <c r="R197" s="4" t="str">
        <f t="shared" si="15"/>
        <v>Calle Union Progreso Cajamarquilla 46, Lote 1, Mz. G1 Las Viñas De Paraiso, San Antonio, Huarochiri, Lima, Perú</v>
      </c>
      <c r="S197" s="4">
        <v>-11.9423868</v>
      </c>
      <c r="T197" s="4">
        <v>-76.9533232</v>
      </c>
      <c r="U197" s="30">
        <f t="shared" si="16"/>
        <v>8.44</v>
      </c>
      <c r="V197" s="4" t="str">
        <f t="shared" si="17"/>
        <v>🟡 Cerca (5-10 km)</v>
      </c>
      <c r="W197" s="19" t="str" cm="1">
        <f t="array" ref="W197">_xlfn.LET(_xlpm.lat_emp,S197,_xlpm.lon_emp,T197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197" s="19" t="str">
        <f>_xlfn.LET(_xlpm.paradero,W197,INDEX(PARADEROS_VALIDOS!$A$2:$A$67,MATCH(_xlpm.paradero,PARADEROS_VALIDOS!$C$2:$C$67,0)))</f>
        <v>RUTA 6A</v>
      </c>
      <c r="Y197" s="29" cm="1">
        <f t="array" ref="Y197">_xlfn.LET(_xlpm.lat_emp,S197,_xlpm.lon_emp,T197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6.25</v>
      </c>
      <c r="Z197" s="4" t="str">
        <f t="shared" si="18"/>
        <v>🔴 Lejos (&gt;5 km)</v>
      </c>
      <c r="AA197" s="4"/>
      <c r="AB197" s="4"/>
      <c r="AC197" s="49">
        <v>-11.997563</v>
      </c>
      <c r="AD197" s="49">
        <v>-76.900062000000005</v>
      </c>
      <c r="AE197" s="19" t="str">
        <f>IFERROR(VLOOKUP(C197,tdcargo[],2,FALSE),"DESCONOCIDO")</f>
        <v>OPERARIO</v>
      </c>
    </row>
    <row r="198" spans="1:31" hidden="1" x14ac:dyDescent="0.35">
      <c r="A198" s="8">
        <v>76503109</v>
      </c>
      <c r="B198" s="4" t="s">
        <v>2666</v>
      </c>
      <c r="C198" s="4" t="s">
        <v>1971</v>
      </c>
      <c r="D198" s="5">
        <v>45931</v>
      </c>
      <c r="E198" s="4" t="s">
        <v>31</v>
      </c>
      <c r="F198" s="4" t="s">
        <v>34</v>
      </c>
      <c r="G198" s="4" t="s">
        <v>787</v>
      </c>
      <c r="H198" s="4" t="s">
        <v>2667</v>
      </c>
      <c r="I198" s="4" t="s">
        <v>1968</v>
      </c>
      <c r="J198" s="4" t="s">
        <v>2511</v>
      </c>
      <c r="K198" s="4" t="s">
        <v>1968</v>
      </c>
      <c r="L198" s="4" t="s">
        <v>1968</v>
      </c>
      <c r="M198" s="4" t="s">
        <v>36</v>
      </c>
      <c r="N198" s="4" t="s">
        <v>2668</v>
      </c>
      <c r="O198" s="4" t="s">
        <v>37</v>
      </c>
      <c r="P198" s="4" t="s">
        <v>37</v>
      </c>
      <c r="Q198" s="10" t="s">
        <v>57</v>
      </c>
      <c r="R198" s="4" t="str">
        <f t="shared" si="15"/>
        <v>Avenida San Martin 7001, Int. 301 Las Torres De Santa, Ate, Lima, Lima, Perú</v>
      </c>
      <c r="S198" s="4">
        <v>-12.0212351</v>
      </c>
      <c r="T198" s="4">
        <v>-76.891988600000005</v>
      </c>
      <c r="U198" s="30">
        <f t="shared" si="16"/>
        <v>2.77</v>
      </c>
      <c r="V198" s="4" t="str">
        <f t="shared" si="17"/>
        <v>🟢 Muy Cerca (0-5 km)</v>
      </c>
      <c r="W198" s="19" t="str" cm="1">
        <f t="array" ref="W198">_xlfn.LET(_xlpm.lat_emp,S198,_xlpm.lon_emp,T198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Sta. Clara</v>
      </c>
      <c r="X198" s="19" t="str">
        <f>_xlfn.LET(_xlpm.paradero,W198,INDEX(PARADEROS_VALIDOS!$A$2:$A$67,MATCH(_xlpm.paradero,PARADEROS_VALIDOS!$C$2:$C$67,0)))</f>
        <v>RUTA 5C</v>
      </c>
      <c r="Y198" s="29" cm="1">
        <f t="array" ref="Y198">_xlfn.LET(_xlpm.lat_emp,S198,_xlpm.lon_emp,T198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1.02</v>
      </c>
      <c r="Z198" s="4" t="str">
        <f t="shared" si="18"/>
        <v>🟡 Cerca (1-3 km)</v>
      </c>
      <c r="AA198" s="4"/>
      <c r="AB198" s="4"/>
      <c r="AC198" s="49">
        <v>-11.997563</v>
      </c>
      <c r="AD198" s="49">
        <v>-76.900062000000005</v>
      </c>
      <c r="AE198" s="19" t="str">
        <f>IFERROR(VLOOKUP(C198,tdcargo[],2,FALSE),"DESCONOCIDO")</f>
        <v>OPERARIO</v>
      </c>
    </row>
    <row r="199" spans="1:31" hidden="1" x14ac:dyDescent="0.35">
      <c r="A199" s="8">
        <v>74133341</v>
      </c>
      <c r="B199" s="4" t="s">
        <v>2669</v>
      </c>
      <c r="C199" s="4" t="s">
        <v>1971</v>
      </c>
      <c r="D199" s="5">
        <v>45931</v>
      </c>
      <c r="E199" s="4" t="s">
        <v>31</v>
      </c>
      <c r="F199" s="4" t="s">
        <v>36</v>
      </c>
      <c r="G199" s="4" t="s">
        <v>2670</v>
      </c>
      <c r="H199" s="4" t="s">
        <v>2671</v>
      </c>
      <c r="I199" s="4" t="s">
        <v>1968</v>
      </c>
      <c r="J199" s="4" t="s">
        <v>1968</v>
      </c>
      <c r="K199" s="4" t="s">
        <v>2108</v>
      </c>
      <c r="L199" s="4" t="s">
        <v>1278</v>
      </c>
      <c r="M199" s="4" t="s">
        <v>36</v>
      </c>
      <c r="N199" s="4" t="s">
        <v>255</v>
      </c>
      <c r="O199" s="4" t="s">
        <v>37</v>
      </c>
      <c r="P199" s="4" t="s">
        <v>37</v>
      </c>
      <c r="Q199" s="10" t="s">
        <v>76</v>
      </c>
      <c r="R199" s="4" t="str">
        <f t="shared" si="15"/>
        <v>Asoc. Los Jazmines De Cajamarquilla 114, Lote 19, Mz. A Asociacion, Lurigancho, Lima, Lima, Perú</v>
      </c>
      <c r="S199" s="4">
        <v>-11.973810200000001</v>
      </c>
      <c r="T199" s="4">
        <v>-76.8902085</v>
      </c>
      <c r="U199" s="30">
        <f t="shared" si="16"/>
        <v>2.85</v>
      </c>
      <c r="V199" s="4" t="str">
        <f t="shared" si="17"/>
        <v>🟢 Muy Cerca (0-5 km)</v>
      </c>
      <c r="W199" s="19" t="str" cm="1">
        <f t="array" ref="W199">_xlfn.LET(_xlpm.lat_emp,S199,_xlpm.lon_emp,T199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199" s="19" t="str">
        <f>_xlfn.LET(_xlpm.paradero,W199,INDEX(PARADEROS_VALIDOS!$A$2:$A$67,MATCH(_xlpm.paradero,PARADEROS_VALIDOS!$C$2:$C$67,0)))</f>
        <v>RUTA 2</v>
      </c>
      <c r="Y199" s="29" cm="1">
        <f t="array" ref="Y199">_xlfn.LET(_xlpm.lat_emp,S199,_xlpm.lon_emp,T199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2.6</v>
      </c>
      <c r="Z199" s="4" t="str">
        <f t="shared" si="18"/>
        <v>🟡 Cerca (1-3 km)</v>
      </c>
      <c r="AA199" s="4"/>
      <c r="AB199" s="4"/>
      <c r="AC199" s="49">
        <v>-11.997563</v>
      </c>
      <c r="AD199" s="49">
        <v>-76.900062000000005</v>
      </c>
      <c r="AE199" s="19" t="str">
        <f>IFERROR(VLOOKUP(C199,tdcargo[],2,FALSE),"DESCONOCIDO")</f>
        <v>OPERARIO</v>
      </c>
    </row>
    <row r="200" spans="1:31" hidden="1" x14ac:dyDescent="0.35">
      <c r="A200" s="8">
        <v>72501573</v>
      </c>
      <c r="B200" s="4" t="s">
        <v>2672</v>
      </c>
      <c r="C200" s="4" t="s">
        <v>1971</v>
      </c>
      <c r="D200" s="5">
        <v>46037</v>
      </c>
      <c r="E200" s="4" t="s">
        <v>31</v>
      </c>
      <c r="F200" s="4" t="s">
        <v>82</v>
      </c>
      <c r="G200" s="4" t="s">
        <v>2673</v>
      </c>
      <c r="H200" s="4" t="s">
        <v>1956</v>
      </c>
      <c r="I200" s="4" t="s">
        <v>1968</v>
      </c>
      <c r="J200" s="4" t="s">
        <v>1968</v>
      </c>
      <c r="K200" s="4" t="s">
        <v>2674</v>
      </c>
      <c r="L200" s="4" t="s">
        <v>1968</v>
      </c>
      <c r="M200" s="4" t="s">
        <v>36</v>
      </c>
      <c r="N200" s="4" t="s">
        <v>2675</v>
      </c>
      <c r="O200" s="4" t="s">
        <v>37</v>
      </c>
      <c r="P200" s="4" t="s">
        <v>37</v>
      </c>
      <c r="Q200" s="10" t="s">
        <v>76</v>
      </c>
      <c r="R200" s="4" t="str">
        <f t="shared" si="15"/>
        <v>Calle Calle Los Cedros, Lote L6 NO HAY, Lurigancho, Lima, Lima, Perú</v>
      </c>
      <c r="S200" s="4">
        <v>-12.009696699999999</v>
      </c>
      <c r="T200" s="4">
        <v>-76.905361299999996</v>
      </c>
      <c r="U200" s="30">
        <f t="shared" si="16"/>
        <v>1.47</v>
      </c>
      <c r="V200" s="4" t="str">
        <f t="shared" si="17"/>
        <v>🟢 Muy Cerca (0-5 km)</v>
      </c>
      <c r="W200" s="19" t="str" cm="1">
        <f t="array" ref="W200">_xlfn.LET(_xlpm.lat_emp,S200,_xlpm.lon_emp,T200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Tottus Huachipa</v>
      </c>
      <c r="X200" s="19" t="str">
        <f>_xlfn.LET(_xlpm.paradero,W200,INDEX(PARADEROS_VALIDOS!$A$2:$A$67,MATCH(_xlpm.paradero,PARADEROS_VALIDOS!$C$2:$C$67,0)))</f>
        <v>RUTA 1</v>
      </c>
      <c r="Y200" s="29" cm="1">
        <f t="array" ref="Y200">_xlfn.LET(_xlpm.lat_emp,S200,_xlpm.lon_emp,T200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1.18</v>
      </c>
      <c r="Z200" s="4" t="str">
        <f t="shared" si="18"/>
        <v>🟡 Cerca (1-3 km)</v>
      </c>
      <c r="AA200" s="4"/>
      <c r="AB200" s="4"/>
      <c r="AC200" s="49">
        <v>-11.997563</v>
      </c>
      <c r="AD200" s="49">
        <v>-76.900062000000005</v>
      </c>
      <c r="AE200" s="19" t="str">
        <f>IFERROR(VLOOKUP(C200,tdcargo[],2,FALSE),"DESCONOCIDO")</f>
        <v>OPERARIO</v>
      </c>
    </row>
    <row r="201" spans="1:31" hidden="1" x14ac:dyDescent="0.35">
      <c r="A201" s="8">
        <v>71217811</v>
      </c>
      <c r="B201" s="4" t="s">
        <v>2681</v>
      </c>
      <c r="C201" s="4" t="s">
        <v>1971</v>
      </c>
      <c r="D201" s="5">
        <v>45989</v>
      </c>
      <c r="E201" s="4" t="s">
        <v>31</v>
      </c>
      <c r="F201" s="4" t="s">
        <v>36</v>
      </c>
      <c r="G201" s="4" t="s">
        <v>2682</v>
      </c>
      <c r="H201" s="4" t="s">
        <v>2118</v>
      </c>
      <c r="I201" s="4" t="s">
        <v>1968</v>
      </c>
      <c r="J201" s="4" t="s">
        <v>1968</v>
      </c>
      <c r="K201" s="4" t="s">
        <v>2118</v>
      </c>
      <c r="L201" s="4" t="s">
        <v>1278</v>
      </c>
      <c r="M201" s="4" t="s">
        <v>186</v>
      </c>
      <c r="N201" s="4" t="s">
        <v>2683</v>
      </c>
      <c r="O201" s="4" t="s">
        <v>37</v>
      </c>
      <c r="P201" s="4" t="s">
        <v>37</v>
      </c>
      <c r="Q201" s="10" t="s">
        <v>38</v>
      </c>
      <c r="R201" s="4" t="str">
        <f t="shared" si="15"/>
        <v>Tarapaca Belen 5, Lote 5, Mz. A, Urb. Urbanización TARAPACA BELEN, San Juan De Lurigancho, Lima, Lima, Perú</v>
      </c>
      <c r="S201" s="4">
        <v>-11.9591631</v>
      </c>
      <c r="T201" s="4">
        <v>-76.977736800000002</v>
      </c>
      <c r="U201" s="30">
        <f t="shared" si="16"/>
        <v>9.4700000000000006</v>
      </c>
      <c r="V201" s="4" t="str">
        <f t="shared" si="17"/>
        <v>🟡 Cerca (5-10 km)</v>
      </c>
      <c r="W201" s="19" t="str" cm="1">
        <f t="array" ref="W201">_xlfn.LET(_xlpm.lat_emp,S201,_xlpm.lon_emp,T201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201" s="19" t="str">
        <f>_xlfn.LET(_xlpm.paradero,W201,INDEX(PARADEROS_VALIDOS!$A$2:$A$67,MATCH(_xlpm.paradero,PARADEROS_VALIDOS!$C$2:$C$67,0)))</f>
        <v>RUTA 6A</v>
      </c>
      <c r="Y201" s="29" cm="1">
        <f t="array" ref="Y201">_xlfn.LET(_xlpm.lat_emp,S201,_xlpm.lon_emp,T201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3.01</v>
      </c>
      <c r="Z201" s="4" t="str">
        <f t="shared" si="18"/>
        <v>🟠 Moderada (3-5 km)</v>
      </c>
      <c r="AA201" s="4"/>
      <c r="AB201" s="4"/>
      <c r="AC201" s="49">
        <v>-11.997563</v>
      </c>
      <c r="AD201" s="49">
        <v>-76.900062000000005</v>
      </c>
      <c r="AE201" s="19" t="str">
        <f>IFERROR(VLOOKUP(C201,tdcargo[],2,FALSE),"DESCONOCIDO")</f>
        <v>OPERARIO</v>
      </c>
    </row>
    <row r="202" spans="1:31" hidden="1" x14ac:dyDescent="0.35">
      <c r="A202" s="8">
        <v>60747012</v>
      </c>
      <c r="B202" s="4" t="s">
        <v>2684</v>
      </c>
      <c r="C202" s="4" t="s">
        <v>1971</v>
      </c>
      <c r="D202" s="5">
        <v>45989</v>
      </c>
      <c r="E202" s="4" t="s">
        <v>31</v>
      </c>
      <c r="F202" s="4" t="s">
        <v>36</v>
      </c>
      <c r="G202" s="4" t="s">
        <v>2685</v>
      </c>
      <c r="H202" s="4" t="s">
        <v>2192</v>
      </c>
      <c r="I202" s="4" t="s">
        <v>1968</v>
      </c>
      <c r="J202" s="4" t="s">
        <v>1995</v>
      </c>
      <c r="K202" s="4" t="s">
        <v>2192</v>
      </c>
      <c r="L202" s="4" t="s">
        <v>799</v>
      </c>
      <c r="M202" s="4" t="s">
        <v>36</v>
      </c>
      <c r="N202" s="4" t="s">
        <v>2686</v>
      </c>
      <c r="O202" s="4" t="s">
        <v>37</v>
      </c>
      <c r="P202" s="4" t="s">
        <v>37</v>
      </c>
      <c r="Q202" s="10" t="s">
        <v>347</v>
      </c>
      <c r="R202" s="4" t="str">
        <f t="shared" si="15"/>
        <v>Topacios 26, Int. 1, Lote 26, Mz. K MARIA HERRERA ACOSTA, El Agustino, Lima, Lima, Perú</v>
      </c>
      <c r="S202" s="4">
        <v>-12.039871</v>
      </c>
      <c r="T202" s="4">
        <v>-76.9856525</v>
      </c>
      <c r="U202" s="30">
        <f t="shared" si="16"/>
        <v>10.43</v>
      </c>
      <c r="V202" s="4" t="str">
        <f t="shared" si="17"/>
        <v>🟠 Moderada (10-20 km)</v>
      </c>
      <c r="W202" s="19" t="str" cm="1">
        <f t="array" ref="W202">_xlfn.LET(_xlpm.lat_emp,S202,_xlpm.lon_emp,T202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Villa Hermosa</v>
      </c>
      <c r="X202" s="19" t="str">
        <f>_xlfn.LET(_xlpm.paradero,W202,INDEX(PARADEROS_VALIDOS!$A$2:$A$67,MATCH(_xlpm.paradero,PARADEROS_VALIDOS!$C$2:$C$67,0)))</f>
        <v>RUTA 3</v>
      </c>
      <c r="Y202" s="29" cm="1">
        <f t="array" ref="Y202">_xlfn.LET(_xlpm.lat_emp,S202,_xlpm.lon_emp,T202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0.3</v>
      </c>
      <c r="Z202" s="4" t="str">
        <f t="shared" si="18"/>
        <v>🟢 Muy Cerca (0-1 km)</v>
      </c>
      <c r="AA202" s="4"/>
      <c r="AB202" s="4"/>
      <c r="AC202" s="49">
        <v>-11.997563</v>
      </c>
      <c r="AD202" s="49">
        <v>-76.900062000000005</v>
      </c>
      <c r="AE202" s="19" t="str">
        <f>IFERROR(VLOOKUP(C202,tdcargo[],2,FALSE),"DESCONOCIDO")</f>
        <v>OPERARIO</v>
      </c>
    </row>
    <row r="203" spans="1:31" hidden="1" x14ac:dyDescent="0.35">
      <c r="A203" s="8">
        <v>73106986</v>
      </c>
      <c r="B203" s="4" t="s">
        <v>2687</v>
      </c>
      <c r="C203" s="4" t="s">
        <v>1971</v>
      </c>
      <c r="D203" s="5">
        <v>46045</v>
      </c>
      <c r="E203" s="4" t="s">
        <v>31</v>
      </c>
      <c r="F203" s="4" t="s">
        <v>34</v>
      </c>
      <c r="G203" s="4" t="s">
        <v>908</v>
      </c>
      <c r="H203" s="4" t="s">
        <v>1956</v>
      </c>
      <c r="I203" s="4" t="s">
        <v>1968</v>
      </c>
      <c r="J203" s="4" t="s">
        <v>1968</v>
      </c>
      <c r="K203" s="4" t="s">
        <v>2688</v>
      </c>
      <c r="L203" s="4" t="s">
        <v>1968</v>
      </c>
      <c r="M203" s="4" t="s">
        <v>36</v>
      </c>
      <c r="N203" s="4" t="s">
        <v>2689</v>
      </c>
      <c r="O203" s="4" t="s">
        <v>37</v>
      </c>
      <c r="P203" s="4" t="s">
        <v>37</v>
      </c>
      <c r="Q203" s="10" t="s">
        <v>57</v>
      </c>
      <c r="R203" s="4" t="str">
        <f t="shared" si="15"/>
        <v>Avenida Jose Carlos Mariateg, Lote 51 UCV 48 ZONA C, Ate, Lima, Lima, Perú</v>
      </c>
      <c r="S203" s="4">
        <v>-12.027163399999999</v>
      </c>
      <c r="T203" s="4">
        <v>-76.907964500000006</v>
      </c>
      <c r="U203" s="30">
        <f t="shared" si="16"/>
        <v>3.4</v>
      </c>
      <c r="V203" s="4" t="str">
        <f t="shared" si="17"/>
        <v>🟢 Muy Cerca (0-5 km)</v>
      </c>
      <c r="W203" s="19" t="str" cm="1">
        <f t="array" ref="W203">_xlfn.LET(_xlpm.lat_emp,S203,_xlpm.lon_emp,T203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Esperanza</v>
      </c>
      <c r="X203" s="19" t="str">
        <f>_xlfn.LET(_xlpm.paradero,W203,INDEX(PARADEROS_VALIDOS!$A$2:$A$67,MATCH(_xlpm.paradero,PARADEROS_VALIDOS!$C$2:$C$67,0)))</f>
        <v>RUTA 4B</v>
      </c>
      <c r="Y203" s="29" cm="1">
        <f t="array" ref="Y203">_xlfn.LET(_xlpm.lat_emp,S203,_xlpm.lon_emp,T203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0.61</v>
      </c>
      <c r="Z203" s="4" t="str">
        <f t="shared" si="18"/>
        <v>🟢 Muy Cerca (0-1 km)</v>
      </c>
      <c r="AA203" s="4"/>
      <c r="AB203" s="4"/>
      <c r="AC203" s="49">
        <v>-11.997563</v>
      </c>
      <c r="AD203" s="49">
        <v>-76.900062000000005</v>
      </c>
      <c r="AE203" s="19" t="str">
        <f>IFERROR(VLOOKUP(C203,tdcargo[],2,FALSE),"DESCONOCIDO")</f>
        <v>OPERARIO</v>
      </c>
    </row>
    <row r="204" spans="1:31" hidden="1" x14ac:dyDescent="0.35">
      <c r="A204" s="8">
        <v>43959950</v>
      </c>
      <c r="B204" s="4" t="s">
        <v>2690</v>
      </c>
      <c r="C204" s="4" t="s">
        <v>1971</v>
      </c>
      <c r="D204" s="5">
        <v>43146</v>
      </c>
      <c r="E204" s="4" t="s">
        <v>31</v>
      </c>
      <c r="F204" s="4" t="s">
        <v>36</v>
      </c>
      <c r="G204" s="4" t="s">
        <v>2691</v>
      </c>
      <c r="H204" s="4" t="s">
        <v>1956</v>
      </c>
      <c r="I204" s="4" t="s">
        <v>1968</v>
      </c>
      <c r="J204" s="4" t="s">
        <v>1968</v>
      </c>
      <c r="K204" s="4" t="s">
        <v>1968</v>
      </c>
      <c r="L204" s="4" t="s">
        <v>1968</v>
      </c>
      <c r="M204" s="4" t="s">
        <v>36</v>
      </c>
      <c r="N204" s="4" t="s">
        <v>2691</v>
      </c>
      <c r="O204" s="4" t="s">
        <v>37</v>
      </c>
      <c r="P204" s="4" t="s">
        <v>37</v>
      </c>
      <c r="Q204" s="10" t="s">
        <v>76</v>
      </c>
      <c r="R204" s="4" t="str">
        <f t="shared" si="15"/>
        <v>Casa Huerta La Campiña Casa Huerta La Campiña, Lurigancho, Lima, Lima, Perú</v>
      </c>
      <c r="S204" s="4">
        <v>-11.975028399999999</v>
      </c>
      <c r="T204" s="4">
        <v>-76.917244999999994</v>
      </c>
      <c r="U204" s="30">
        <f t="shared" si="16"/>
        <v>3.13</v>
      </c>
      <c r="V204" s="4" t="str">
        <f t="shared" si="17"/>
        <v>🟢 Muy Cerca (0-5 km)</v>
      </c>
      <c r="W204" s="19" t="str" cm="1">
        <f t="array" ref="W204">_xlfn.LET(_xlpm.lat_emp,S204,_xlpm.lon_emp,T204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204" s="19" t="str">
        <f>_xlfn.LET(_xlpm.paradero,W204,INDEX(PARADEROS_VALIDOS!$A$2:$A$67,MATCH(_xlpm.paradero,PARADEROS_VALIDOS!$C$2:$C$67,0)))</f>
        <v>RUTA 2</v>
      </c>
      <c r="Y204" s="29" cm="1">
        <f t="array" ref="Y204">_xlfn.LET(_xlpm.lat_emp,S204,_xlpm.lon_emp,T204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2.56</v>
      </c>
      <c r="Z204" s="4" t="str">
        <f t="shared" si="18"/>
        <v>🟡 Cerca (1-3 km)</v>
      </c>
      <c r="AA204" s="4"/>
      <c r="AB204" s="4"/>
      <c r="AC204" s="49">
        <v>-11.997563</v>
      </c>
      <c r="AD204" s="49">
        <v>-76.900062000000005</v>
      </c>
      <c r="AE204" s="19" t="str">
        <f>IFERROR(VLOOKUP(C204,tdcargo[],2,FALSE),"DESCONOCIDO")</f>
        <v>OPERARIO</v>
      </c>
    </row>
    <row r="205" spans="1:31" hidden="1" x14ac:dyDescent="0.35">
      <c r="A205" s="8">
        <v>76570943</v>
      </c>
      <c r="B205" s="4" t="s">
        <v>2692</v>
      </c>
      <c r="C205" s="4" t="s">
        <v>2006</v>
      </c>
      <c r="D205" s="5">
        <v>45271</v>
      </c>
      <c r="E205" s="4" t="s">
        <v>31</v>
      </c>
      <c r="F205" s="4" t="s">
        <v>34</v>
      </c>
      <c r="G205" s="4" t="s">
        <v>2693</v>
      </c>
      <c r="H205" s="4" t="s">
        <v>2264</v>
      </c>
      <c r="I205" s="4" t="s">
        <v>1968</v>
      </c>
      <c r="J205" s="4" t="s">
        <v>1968</v>
      </c>
      <c r="K205" s="4" t="s">
        <v>1968</v>
      </c>
      <c r="L205" s="4" t="s">
        <v>1968</v>
      </c>
      <c r="M205" s="4" t="s">
        <v>36</v>
      </c>
      <c r="N205" s="4" t="s">
        <v>2694</v>
      </c>
      <c r="O205" s="4" t="s">
        <v>37</v>
      </c>
      <c r="P205" s="4" t="s">
        <v>37</v>
      </c>
      <c r="Q205" s="10" t="s">
        <v>76</v>
      </c>
      <c r="R205" s="4" t="str">
        <f t="shared" si="15"/>
        <v>Avenida Villa Union Jicamarca Anexo 8 .Mz. U5 Lt. 2 8 Jicamarca Anexo 8, Lurigancho-Chosica, Lurigancho, Lima, Lima, Perú</v>
      </c>
      <c r="S205" s="4">
        <v>-11.988378000000001</v>
      </c>
      <c r="T205" s="4">
        <v>-76.941312999999994</v>
      </c>
      <c r="U205" s="30">
        <f t="shared" si="16"/>
        <v>4.5999999999999996</v>
      </c>
      <c r="V205" s="4" t="str">
        <f t="shared" si="17"/>
        <v>🟢 Muy Cerca (0-5 km)</v>
      </c>
      <c r="W205" s="19" t="str" cm="1">
        <f t="array" ref="W205">_xlfn.LET(_xlpm.lat_emp,S205,_xlpm.lon_emp,T205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Estadio Huachipa</v>
      </c>
      <c r="X205" s="19" t="str">
        <f>_xlfn.LET(_xlpm.paradero,W205,INDEX(PARADEROS_VALIDOS!$A$2:$A$67,MATCH(_xlpm.paradero,PARADEROS_VALIDOS!$C$2:$C$67,0)))</f>
        <v>RUTA 5C</v>
      </c>
      <c r="Y205" s="29" cm="1">
        <f t="array" ref="Y205">_xlfn.LET(_xlpm.lat_emp,S205,_xlpm.lon_emp,T205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3.94</v>
      </c>
      <c r="Z205" s="4" t="str">
        <f t="shared" si="18"/>
        <v>🟠 Moderada (3-5 km)</v>
      </c>
      <c r="AA205" s="4"/>
      <c r="AB205" s="4"/>
      <c r="AC205" s="49">
        <v>-11.997563</v>
      </c>
      <c r="AD205" s="49">
        <v>-76.900062000000005</v>
      </c>
      <c r="AE205" s="19" t="str">
        <f>IFERROR(VLOOKUP(C205,tdcargo[],2,FALSE),"DESCONOCIDO")</f>
        <v>OPERARIO</v>
      </c>
    </row>
    <row r="206" spans="1:31" hidden="1" x14ac:dyDescent="0.35">
      <c r="A206" s="8">
        <v>70695787</v>
      </c>
      <c r="B206" s="4" t="s">
        <v>2695</v>
      </c>
      <c r="C206" s="4" t="s">
        <v>1971</v>
      </c>
      <c r="D206" s="5">
        <v>46062</v>
      </c>
      <c r="E206" s="4" t="s">
        <v>31</v>
      </c>
      <c r="F206" s="4" t="s">
        <v>36</v>
      </c>
      <c r="G206" s="4" t="s">
        <v>2696</v>
      </c>
      <c r="H206" s="4" t="s">
        <v>1956</v>
      </c>
      <c r="I206" s="4" t="s">
        <v>1968</v>
      </c>
      <c r="J206" s="4" t="s">
        <v>1968</v>
      </c>
      <c r="K206" s="4" t="s">
        <v>2264</v>
      </c>
      <c r="L206" s="4" t="s">
        <v>2697</v>
      </c>
      <c r="M206" s="4" t="s">
        <v>36</v>
      </c>
      <c r="N206" s="4" t="s">
        <v>2698</v>
      </c>
      <c r="O206" s="4" t="s">
        <v>37</v>
      </c>
      <c r="P206" s="4" t="s">
        <v>37</v>
      </c>
      <c r="Q206" s="10" t="s">
        <v>76</v>
      </c>
      <c r="R206" s="4" t="str">
        <f t="shared" si="15"/>
        <v>san Antonio De Carap, Lote 8, Mz. S SAN ANTONIO DE CARAP, Lurigancho, Lima, Lima, Perú</v>
      </c>
      <c r="S206" s="4">
        <v>-11.919997800000001</v>
      </c>
      <c r="T206" s="4">
        <v>-76.951703300000005</v>
      </c>
      <c r="U206" s="30">
        <f t="shared" si="16"/>
        <v>10.29</v>
      </c>
      <c r="V206" s="4" t="str">
        <f t="shared" si="17"/>
        <v>🟠 Moderada (10-20 km)</v>
      </c>
      <c r="W206" s="19" t="str" cm="1">
        <f t="array" ref="W206">_xlfn.LET(_xlpm.lat_emp,S206,_xlpm.lon_emp,T206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206" s="19" t="str">
        <f>_xlfn.LET(_xlpm.paradero,W206,INDEX(PARADEROS_VALIDOS!$A$2:$A$67,MATCH(_xlpm.paradero,PARADEROS_VALIDOS!$C$2:$C$67,0)))</f>
        <v>RUTA 6A</v>
      </c>
      <c r="Y206" s="29" cm="1">
        <f t="array" ref="Y206">_xlfn.LET(_xlpm.lat_emp,S206,_xlpm.lon_emp,T206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8.07</v>
      </c>
      <c r="Z206" s="4" t="str">
        <f t="shared" si="18"/>
        <v>🔴 Lejos (&gt;5 km)</v>
      </c>
      <c r="AA206" s="4"/>
      <c r="AB206" s="4"/>
      <c r="AC206" s="49">
        <v>-11.997563</v>
      </c>
      <c r="AD206" s="49">
        <v>-76.900062000000005</v>
      </c>
      <c r="AE206" s="19" t="str">
        <f>IFERROR(VLOOKUP(C206,tdcargo[],2,FALSE),"DESCONOCIDO")</f>
        <v>OPERARIO</v>
      </c>
    </row>
    <row r="207" spans="1:31" hidden="1" x14ac:dyDescent="0.35">
      <c r="A207" s="8">
        <v>42651996</v>
      </c>
      <c r="B207" s="4" t="s">
        <v>2699</v>
      </c>
      <c r="C207" s="4" t="s">
        <v>1971</v>
      </c>
      <c r="D207" s="5">
        <v>46069</v>
      </c>
      <c r="E207" s="4" t="s">
        <v>31</v>
      </c>
      <c r="F207" s="4" t="s">
        <v>34</v>
      </c>
      <c r="G207" s="4" t="s">
        <v>2700</v>
      </c>
      <c r="H207" s="4" t="s">
        <v>1956</v>
      </c>
      <c r="I207" s="4" t="s">
        <v>1968</v>
      </c>
      <c r="J207" s="4" t="s">
        <v>1968</v>
      </c>
      <c r="K207" s="4" t="s">
        <v>1968</v>
      </c>
      <c r="L207" s="4" t="s">
        <v>2701</v>
      </c>
      <c r="M207" s="4" t="s">
        <v>36</v>
      </c>
      <c r="N207" s="4" t="s">
        <v>2702</v>
      </c>
      <c r="O207" s="4" t="s">
        <v>37</v>
      </c>
      <c r="P207" s="4" t="s">
        <v>37</v>
      </c>
      <c r="Q207" s="10" t="s">
        <v>76</v>
      </c>
      <c r="R207" s="4" t="str">
        <f t="shared" si="15"/>
        <v>Avenida Tupac Amaru, Mz. Q1 CENTRO JICAMARCA, Lurigancho, Lima, Lima, Perú</v>
      </c>
      <c r="S207" s="4">
        <v>-11.981947</v>
      </c>
      <c r="T207" s="4">
        <v>-76.942128100000005</v>
      </c>
      <c r="U207" s="30">
        <f t="shared" si="16"/>
        <v>4.8899999999999997</v>
      </c>
      <c r="V207" s="4" t="str">
        <f t="shared" si="17"/>
        <v>🟢 Muy Cerca (0-5 km)</v>
      </c>
      <c r="W207" s="19" t="str" cm="1">
        <f t="array" ref="W207">_xlfn.LET(_xlpm.lat_emp,S207,_xlpm.lon_emp,T207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207" s="19" t="str">
        <f>_xlfn.LET(_xlpm.paradero,W207,INDEX(PARADEROS_VALIDOS!$A$2:$A$67,MATCH(_xlpm.paradero,PARADEROS_VALIDOS!$C$2:$C$67,0)))</f>
        <v>RUTA 2</v>
      </c>
      <c r="Y207" s="29" cm="1">
        <f t="array" ref="Y207">_xlfn.LET(_xlpm.lat_emp,S207,_xlpm.lon_emp,T207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4.43</v>
      </c>
      <c r="Z207" s="4" t="str">
        <f t="shared" si="18"/>
        <v>🟠 Moderada (3-5 km)</v>
      </c>
      <c r="AA207" s="4"/>
      <c r="AB207" s="4"/>
      <c r="AC207" s="49">
        <v>-11.997563</v>
      </c>
      <c r="AD207" s="49">
        <v>-76.900062000000005</v>
      </c>
      <c r="AE207" s="19" t="str">
        <f>IFERROR(VLOOKUP(C207,tdcargo[],2,FALSE),"DESCONOCIDO")</f>
        <v>OPERARIO</v>
      </c>
    </row>
    <row r="208" spans="1:31" hidden="1" x14ac:dyDescent="0.35">
      <c r="A208" s="8">
        <v>74984897</v>
      </c>
      <c r="B208" s="4" t="s">
        <v>2703</v>
      </c>
      <c r="C208" s="4" t="s">
        <v>1971</v>
      </c>
      <c r="D208" s="5">
        <v>46069</v>
      </c>
      <c r="E208" s="4" t="s">
        <v>31</v>
      </c>
      <c r="F208" s="4" t="s">
        <v>34</v>
      </c>
      <c r="G208" s="4" t="s">
        <v>1135</v>
      </c>
      <c r="H208" s="4" t="s">
        <v>1956</v>
      </c>
      <c r="I208" s="4" t="s">
        <v>1968</v>
      </c>
      <c r="J208" s="4" t="s">
        <v>1968</v>
      </c>
      <c r="K208" s="4" t="s">
        <v>1995</v>
      </c>
      <c r="L208" s="4" t="s">
        <v>2704</v>
      </c>
      <c r="M208" s="4" t="s">
        <v>36</v>
      </c>
      <c r="N208" s="4" t="s">
        <v>2705</v>
      </c>
      <c r="O208" s="4" t="s">
        <v>37</v>
      </c>
      <c r="P208" s="4" t="s">
        <v>37</v>
      </c>
      <c r="Q208" s="10" t="s">
        <v>76</v>
      </c>
      <c r="R208" s="4" t="str">
        <f t="shared" si="15"/>
        <v>Avenida 16 De Mayo, Lote 1, Mz. K2 ASOC LOS PORTALES, Lurigancho, Lima, Lima, Perú</v>
      </c>
      <c r="S208" s="4">
        <v>-11.9929755</v>
      </c>
      <c r="T208" s="4">
        <v>-76.953877700000007</v>
      </c>
      <c r="U208" s="30">
        <f t="shared" si="16"/>
        <v>5.88</v>
      </c>
      <c r="V208" s="4" t="str">
        <f t="shared" si="17"/>
        <v>🟡 Cerca (5-10 km)</v>
      </c>
      <c r="W208" s="19" t="str" cm="1">
        <f t="array" ref="W208">_xlfn.LET(_xlpm.lat_emp,S208,_xlpm.lon_emp,T208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Saracoto</v>
      </c>
      <c r="X208" s="19" t="str">
        <f>_xlfn.LET(_xlpm.paradero,W208,INDEX(PARADEROS_VALIDOS!$A$2:$A$67,MATCH(_xlpm.paradero,PARADEROS_VALIDOS!$C$2:$C$67,0)))</f>
        <v>RUTA 1</v>
      </c>
      <c r="Y208" s="29" cm="1">
        <f t="array" ref="Y208">_xlfn.LET(_xlpm.lat_emp,S208,_xlpm.lon_emp,T208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3.7</v>
      </c>
      <c r="Z208" s="4" t="str">
        <f t="shared" si="18"/>
        <v>🟠 Moderada (3-5 km)</v>
      </c>
      <c r="AA208" s="4"/>
      <c r="AB208" s="4"/>
      <c r="AC208" s="49">
        <v>-11.997563</v>
      </c>
      <c r="AD208" s="49">
        <v>-76.900062000000005</v>
      </c>
      <c r="AE208" s="19" t="str">
        <f>IFERROR(VLOOKUP(C208,tdcargo[],2,FALSE),"DESCONOCIDO")</f>
        <v>OPERARIO</v>
      </c>
    </row>
    <row r="209" spans="1:31" hidden="1" x14ac:dyDescent="0.35">
      <c r="A209" s="8">
        <v>75995318</v>
      </c>
      <c r="B209" s="4" t="s">
        <v>2706</v>
      </c>
      <c r="C209" s="4" t="s">
        <v>2006</v>
      </c>
      <c r="D209" s="5">
        <v>45555</v>
      </c>
      <c r="E209" s="4" t="s">
        <v>31</v>
      </c>
      <c r="F209" s="4" t="s">
        <v>36</v>
      </c>
      <c r="G209" s="4" t="s">
        <v>2707</v>
      </c>
      <c r="H209" s="4" t="s">
        <v>1956</v>
      </c>
      <c r="I209" s="4" t="s">
        <v>1968</v>
      </c>
      <c r="J209" s="4" t="s">
        <v>1968</v>
      </c>
      <c r="K209" s="4" t="s">
        <v>1968</v>
      </c>
      <c r="L209" s="4" t="s">
        <v>1968</v>
      </c>
      <c r="M209" s="4" t="s">
        <v>36</v>
      </c>
      <c r="N209" s="4" t="s">
        <v>2708</v>
      </c>
      <c r="O209" s="4" t="s">
        <v>37</v>
      </c>
      <c r="P209" s="4" t="s">
        <v>37</v>
      </c>
      <c r="Q209" s="10" t="s">
        <v>76</v>
      </c>
      <c r="R209" s="4" t="str">
        <f t="shared" si="15"/>
        <v>27 De Marzo El Sol, Lurigancho, Lima, Lima, Perú</v>
      </c>
      <c r="S209" s="4">
        <v>-12.040102600000001</v>
      </c>
      <c r="T209" s="4">
        <v>-77.062000400000002</v>
      </c>
      <c r="U209" s="30">
        <f t="shared" si="16"/>
        <v>18.239999999999998</v>
      </c>
      <c r="V209" s="4" t="str">
        <f t="shared" si="17"/>
        <v>🟠 Moderada (10-20 km)</v>
      </c>
      <c r="W209" s="19" t="str" cm="1">
        <f t="array" ref="W209">_xlfn.LET(_xlpm.lat_emp,S209,_xlpm.lon_emp,T209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Puente Los Ángeles</v>
      </c>
      <c r="X209" s="19" t="str">
        <f>_xlfn.LET(_xlpm.paradero,W209,INDEX(PARADEROS_VALIDOS!$A$2:$A$67,MATCH(_xlpm.paradero,PARADEROS_VALIDOS!$C$2:$C$67,0)))</f>
        <v>RUTA 5A</v>
      </c>
      <c r="Y209" s="29" cm="1">
        <f t="array" ref="Y209">_xlfn.LET(_xlpm.lat_emp,S209,_xlpm.lon_emp,T209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1.22</v>
      </c>
      <c r="Z209" s="4" t="str">
        <f t="shared" si="18"/>
        <v>🟡 Cerca (1-3 km)</v>
      </c>
      <c r="AA209" s="4"/>
      <c r="AB209" s="4"/>
      <c r="AC209" s="49">
        <v>-11.997563</v>
      </c>
      <c r="AD209" s="49">
        <v>-76.900062000000005</v>
      </c>
      <c r="AE209" s="19" t="str">
        <f>IFERROR(VLOOKUP(C209,tdcargo[],2,FALSE),"DESCONOCIDO")</f>
        <v>OPERARIO</v>
      </c>
    </row>
    <row r="210" spans="1:31" x14ac:dyDescent="0.35">
      <c r="A210" s="8">
        <v>46841312</v>
      </c>
      <c r="B210" s="4" t="s">
        <v>2709</v>
      </c>
      <c r="C210" s="4" t="s">
        <v>1971</v>
      </c>
      <c r="D210" s="5">
        <v>45516</v>
      </c>
      <c r="E210" s="4" t="s">
        <v>31</v>
      </c>
      <c r="F210" s="4" t="s">
        <v>53</v>
      </c>
      <c r="G210" s="4" t="s">
        <v>480</v>
      </c>
      <c r="H210" s="4" t="s">
        <v>1956</v>
      </c>
      <c r="I210" s="4" t="s">
        <v>1968</v>
      </c>
      <c r="J210" s="4" t="s">
        <v>1968</v>
      </c>
      <c r="K210" s="4" t="s">
        <v>2275</v>
      </c>
      <c r="L210" s="4" t="s">
        <v>202</v>
      </c>
      <c r="M210" s="4" t="s">
        <v>36</v>
      </c>
      <c r="N210" s="4" t="s">
        <v>3241</v>
      </c>
      <c r="O210" s="4" t="s">
        <v>37</v>
      </c>
      <c r="P210" s="4" t="s">
        <v>37</v>
      </c>
      <c r="Q210" s="10" t="s">
        <v>76</v>
      </c>
      <c r="R210" s="4" t="str">
        <f t="shared" si="15"/>
        <v>Jirón Los Pinos, Lote 32, Mz. L SIN ZONA, Lurigancho, Lima, Lima, Perú</v>
      </c>
      <c r="S210" s="4">
        <v>-12.078585</v>
      </c>
      <c r="T210" s="4">
        <v>-76.967921099999998</v>
      </c>
      <c r="U210" s="30">
        <f t="shared" si="16"/>
        <v>11.65</v>
      </c>
      <c r="V210" s="4" t="str">
        <f t="shared" si="17"/>
        <v>🟠 Moderada (10-20 km)</v>
      </c>
      <c r="W210" s="19" t="str" cm="1">
        <f t="array" ref="W210">_xlfn.LET(_xlpm.lat_emp,S210,_xlpm.lon_emp,T210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Javier Prado</v>
      </c>
      <c r="X210" s="19" t="str">
        <f>_xlfn.LET(_xlpm.paradero,W210,INDEX(PARADEROS_VALIDOS!$A$2:$A$67,MATCH(_xlpm.paradero,PARADEROS_VALIDOS!$C$2:$C$67,0)))</f>
        <v>RUTA 7</v>
      </c>
      <c r="Y210" s="29" cm="1">
        <f t="array" ref="Y210">_xlfn.LET(_xlpm.lat_emp,S210,_xlpm.lon_emp,T210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1.34</v>
      </c>
      <c r="Z210" s="4" t="str">
        <f t="shared" si="18"/>
        <v>🟡 Cerca (1-3 km)</v>
      </c>
      <c r="AA210" s="4"/>
      <c r="AB210" s="4"/>
      <c r="AC210" s="49">
        <v>-11.997563</v>
      </c>
      <c r="AD210" s="49">
        <v>-76.900062000000005</v>
      </c>
      <c r="AE210" s="19" t="str">
        <f>IFERROR(VLOOKUP(C210,tdcargo[],2,FALSE),"DESCONOCIDO")</f>
        <v>OPERARIO</v>
      </c>
    </row>
    <row r="211" spans="1:31" x14ac:dyDescent="0.35">
      <c r="A211" s="8">
        <v>60275106</v>
      </c>
      <c r="B211" s="4" t="s">
        <v>2710</v>
      </c>
      <c r="C211" s="4" t="s">
        <v>1971</v>
      </c>
      <c r="D211" s="5">
        <v>45309</v>
      </c>
      <c r="E211" s="4" t="s">
        <v>31</v>
      </c>
      <c r="F211" s="4" t="s">
        <v>82</v>
      </c>
      <c r="G211" s="4" t="s">
        <v>2711</v>
      </c>
      <c r="H211" s="4" t="s">
        <v>1956</v>
      </c>
      <c r="I211" s="4" t="s">
        <v>1968</v>
      </c>
      <c r="J211" s="4" t="s">
        <v>2264</v>
      </c>
      <c r="K211" s="4" t="s">
        <v>1968</v>
      </c>
      <c r="L211" s="4" t="s">
        <v>1968</v>
      </c>
      <c r="M211" s="4" t="s">
        <v>36</v>
      </c>
      <c r="N211" s="4" t="s">
        <v>2712</v>
      </c>
      <c r="O211" s="4" t="s">
        <v>37</v>
      </c>
      <c r="P211" s="4" t="s">
        <v>37</v>
      </c>
      <c r="Q211" s="10" t="s">
        <v>57</v>
      </c>
      <c r="R211" s="4" t="str">
        <f t="shared" si="15"/>
        <v>Calle Pista Nueva, Int. 8 Km 12, Ate, Lima, Lima, Perú</v>
      </c>
      <c r="S211" s="4">
        <v>-12.135465999999999</v>
      </c>
      <c r="T211" s="4">
        <v>-76.976138599999999</v>
      </c>
      <c r="U211" s="30">
        <f t="shared" si="16"/>
        <v>17.420000000000002</v>
      </c>
      <c r="V211" s="4" t="str">
        <f t="shared" si="17"/>
        <v>🟠 Moderada (10-20 km)</v>
      </c>
      <c r="W211" s="19" t="str" cm="1">
        <f t="array" ref="W211">_xlfn.LET(_xlpm.lat_emp,S211,_xlpm.lon_emp,T211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Tottus Atocongo (Auxiliar)</v>
      </c>
      <c r="X211" s="19" t="str">
        <f>_xlfn.LET(_xlpm.paradero,W211,INDEX(PARADEROS_VALIDOS!$A$2:$A$67,MATCH(_xlpm.paradero,PARADEROS_VALIDOS!$C$2:$C$67,0)))</f>
        <v>RUTA 7</v>
      </c>
      <c r="Y211" s="29" cm="1">
        <f t="array" ref="Y211">_xlfn.LET(_xlpm.lat_emp,S211,_xlpm.lon_emp,T211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1.44</v>
      </c>
      <c r="Z211" s="4" t="str">
        <f t="shared" si="18"/>
        <v>🟡 Cerca (1-3 km)</v>
      </c>
      <c r="AA211" s="4"/>
      <c r="AB211" s="4"/>
      <c r="AC211" s="49">
        <v>-11.997563</v>
      </c>
      <c r="AD211" s="49">
        <v>-76.900062000000005</v>
      </c>
      <c r="AE211" s="19" t="str">
        <f>IFERROR(VLOOKUP(C211,tdcargo[],2,FALSE),"DESCONOCIDO")</f>
        <v>OPERARIO</v>
      </c>
    </row>
    <row r="212" spans="1:31" hidden="1" x14ac:dyDescent="0.35">
      <c r="A212" s="8">
        <v>72965963</v>
      </c>
      <c r="B212" s="4" t="s">
        <v>2713</v>
      </c>
      <c r="C212" s="4" t="s">
        <v>1971</v>
      </c>
      <c r="D212" s="5">
        <v>45393</v>
      </c>
      <c r="E212" s="4" t="s">
        <v>31</v>
      </c>
      <c r="F212" s="4" t="s">
        <v>36</v>
      </c>
      <c r="G212" s="4" t="s">
        <v>2714</v>
      </c>
      <c r="H212" s="4" t="s">
        <v>1956</v>
      </c>
      <c r="I212" s="4" t="s">
        <v>1968</v>
      </c>
      <c r="J212" s="4" t="s">
        <v>1968</v>
      </c>
      <c r="K212" s="4" t="s">
        <v>1968</v>
      </c>
      <c r="L212" s="4" t="s">
        <v>1968</v>
      </c>
      <c r="M212" s="4" t="s">
        <v>36</v>
      </c>
      <c r="N212" s="4" t="s">
        <v>2715</v>
      </c>
      <c r="O212" s="4" t="s">
        <v>37</v>
      </c>
      <c r="P212" s="4" t="s">
        <v>37</v>
      </c>
      <c r="Q212" s="10" t="s">
        <v>57</v>
      </c>
      <c r="R212" s="4" t="str">
        <f t="shared" si="15"/>
        <v>Asociasion Hijos De Apurimac 5Ta Zona, Ate, Lima, Lima, Perú</v>
      </c>
      <c r="S212" s="4">
        <v>-11.9132055</v>
      </c>
      <c r="T212" s="4">
        <v>-77.008562800000007</v>
      </c>
      <c r="U212" s="30">
        <f t="shared" si="16"/>
        <v>15.08</v>
      </c>
      <c r="V212" s="4" t="str">
        <f t="shared" si="17"/>
        <v>🟠 Moderada (10-20 km)</v>
      </c>
      <c r="W212" s="19" t="str" cm="1">
        <f t="array" ref="W212">_xlfn.LET(_xlpm.lat_emp,S212,_xlpm.lon_emp,T212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Acho</v>
      </c>
      <c r="X212" s="19" t="str">
        <f>_xlfn.LET(_xlpm.paradero,W212,INDEX(PARADEROS_VALIDOS!$A$2:$A$67,MATCH(_xlpm.paradero,PARADEROS_VALIDOS!$C$2:$C$67,0)))</f>
        <v>RUTA 8</v>
      </c>
      <c r="Y212" s="29" cm="1">
        <f t="array" ref="Y212">_xlfn.LET(_xlpm.lat_emp,S212,_xlpm.lon_emp,T212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6.59</v>
      </c>
      <c r="Z212" s="4" t="str">
        <f t="shared" si="18"/>
        <v>🔴 Lejos (&gt;5 km)</v>
      </c>
      <c r="AA212" s="4"/>
      <c r="AB212" s="4"/>
      <c r="AC212" s="49">
        <v>-11.997563</v>
      </c>
      <c r="AD212" s="49">
        <v>-76.900062000000005</v>
      </c>
      <c r="AE212" s="19" t="str">
        <f>IFERROR(VLOOKUP(C212,tdcargo[],2,FALSE),"DESCONOCIDO")</f>
        <v>OPERARIO</v>
      </c>
    </row>
    <row r="213" spans="1:31" hidden="1" x14ac:dyDescent="0.35">
      <c r="A213" s="8">
        <v>47092643</v>
      </c>
      <c r="B213" s="4" t="s">
        <v>2716</v>
      </c>
      <c r="C213" s="4" t="s">
        <v>1971</v>
      </c>
      <c r="D213" s="5">
        <v>45931</v>
      </c>
      <c r="E213" s="4" t="s">
        <v>31</v>
      </c>
      <c r="F213" s="4" t="s">
        <v>148</v>
      </c>
      <c r="G213" s="4" t="s">
        <v>2717</v>
      </c>
      <c r="H213" s="4" t="s">
        <v>1996</v>
      </c>
      <c r="I213" s="4" t="s">
        <v>1968</v>
      </c>
      <c r="J213" s="4" t="s">
        <v>1968</v>
      </c>
      <c r="K213" s="4" t="s">
        <v>2168</v>
      </c>
      <c r="L213" s="4" t="s">
        <v>1461</v>
      </c>
      <c r="M213" s="4" t="s">
        <v>36</v>
      </c>
      <c r="N213" s="4" t="s">
        <v>2718</v>
      </c>
      <c r="O213" s="4" t="s">
        <v>37</v>
      </c>
      <c r="P213" s="4" t="s">
        <v>37</v>
      </c>
      <c r="Q213" s="10" t="s">
        <v>57</v>
      </c>
      <c r="R213" s="4" t="str">
        <f t="shared" si="15"/>
        <v>Pasaje San Antonio De Padua 2, Lote 13, Mz. C Amauta A, Ate, Lima, Lima, Perú</v>
      </c>
      <c r="S213" s="4">
        <v>-12.042190400000001</v>
      </c>
      <c r="T213" s="4">
        <v>-76.904071200000004</v>
      </c>
      <c r="U213" s="30">
        <f t="shared" si="16"/>
        <v>4.9800000000000004</v>
      </c>
      <c r="V213" s="4" t="str">
        <f t="shared" si="17"/>
        <v>🟢 Muy Cerca (0-5 km)</v>
      </c>
      <c r="W213" s="19" t="str" cm="1">
        <f t="array" ref="W213">_xlfn.LET(_xlpm.lat_emp,S213,_xlpm.lon_emp,T213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Esperanza</v>
      </c>
      <c r="X213" s="19" t="str">
        <f>_xlfn.LET(_xlpm.paradero,W213,INDEX(PARADEROS_VALIDOS!$A$2:$A$67,MATCH(_xlpm.paradero,PARADEROS_VALIDOS!$C$2:$C$67,0)))</f>
        <v>RUTA 4B</v>
      </c>
      <c r="Y213" s="29" cm="1">
        <f t="array" ref="Y213">_xlfn.LET(_xlpm.lat_emp,S213,_xlpm.lon_emp,T213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2.29</v>
      </c>
      <c r="Z213" s="4" t="str">
        <f t="shared" si="18"/>
        <v>🟡 Cerca (1-3 km)</v>
      </c>
      <c r="AA213" s="4"/>
      <c r="AB213" s="4"/>
      <c r="AC213" s="49">
        <v>-11.997563</v>
      </c>
      <c r="AD213" s="49">
        <v>-76.900062000000005</v>
      </c>
      <c r="AE213" s="19" t="str">
        <f>IFERROR(VLOOKUP(C213,tdcargo[],2,FALSE),"DESCONOCIDO")</f>
        <v>OPERARIO</v>
      </c>
    </row>
    <row r="214" spans="1:31" hidden="1" x14ac:dyDescent="0.35">
      <c r="A214" s="8">
        <v>78509900</v>
      </c>
      <c r="B214" s="4" t="s">
        <v>2719</v>
      </c>
      <c r="C214" s="4" t="s">
        <v>1971</v>
      </c>
      <c r="D214" s="5">
        <v>45876</v>
      </c>
      <c r="E214" s="4" t="s">
        <v>31</v>
      </c>
      <c r="F214" s="4" t="s">
        <v>82</v>
      </c>
      <c r="G214" s="4" t="s">
        <v>83</v>
      </c>
      <c r="H214" s="4" t="s">
        <v>1956</v>
      </c>
      <c r="I214" s="4" t="s">
        <v>1968</v>
      </c>
      <c r="J214" s="4" t="s">
        <v>1968</v>
      </c>
      <c r="K214" s="4" t="s">
        <v>2203</v>
      </c>
      <c r="L214" s="4" t="s">
        <v>1278</v>
      </c>
      <c r="M214" s="4" t="s">
        <v>36</v>
      </c>
      <c r="N214" s="4" t="s">
        <v>2720</v>
      </c>
      <c r="O214" s="4" t="s">
        <v>37</v>
      </c>
      <c r="P214" s="4" t="s">
        <v>37</v>
      </c>
      <c r="Q214" s="10" t="s">
        <v>57</v>
      </c>
      <c r="R214" s="4" t="str">
        <f t="shared" si="15"/>
        <v>Calle Los Rosales, Lote 11, Mz. A A. H. 25 De Julio, Ate, Lima, Lima, Perú</v>
      </c>
      <c r="S214" s="4">
        <v>-12.008174500000001</v>
      </c>
      <c r="T214" s="4">
        <v>-76.899191000000002</v>
      </c>
      <c r="U214" s="30">
        <f t="shared" si="16"/>
        <v>1.18</v>
      </c>
      <c r="V214" s="4" t="str">
        <f t="shared" si="17"/>
        <v>🟢 Muy Cerca (0-5 km)</v>
      </c>
      <c r="W214" s="19" t="str" cm="1">
        <f t="array" ref="W214">_xlfn.LET(_xlpm.lat_emp,S214,_xlpm.lon_emp,T214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Tottus Huachipa</v>
      </c>
      <c r="X214" s="19" t="str">
        <f>_xlfn.LET(_xlpm.paradero,W214,INDEX(PARADEROS_VALIDOS!$A$2:$A$67,MATCH(_xlpm.paradero,PARADEROS_VALIDOS!$C$2:$C$67,0)))</f>
        <v>RUTA 1</v>
      </c>
      <c r="Y214" s="29" cm="1">
        <f t="array" ref="Y214">_xlfn.LET(_xlpm.lat_emp,S214,_xlpm.lon_emp,T214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0.9</v>
      </c>
      <c r="Z214" s="4" t="str">
        <f t="shared" si="18"/>
        <v>🟢 Muy Cerca (0-1 km)</v>
      </c>
      <c r="AA214" s="4"/>
      <c r="AB214" s="4"/>
      <c r="AC214" s="49">
        <v>-11.997563</v>
      </c>
      <c r="AD214" s="49">
        <v>-76.900062000000005</v>
      </c>
      <c r="AE214" s="19" t="str">
        <f>IFERROR(VLOOKUP(C214,tdcargo[],2,FALSE),"DESCONOCIDO")</f>
        <v>OPERARIO</v>
      </c>
    </row>
    <row r="215" spans="1:31" hidden="1" x14ac:dyDescent="0.35">
      <c r="A215" s="8">
        <v>74594532</v>
      </c>
      <c r="B215" s="4" t="s">
        <v>2721</v>
      </c>
      <c r="C215" s="4" t="s">
        <v>1971</v>
      </c>
      <c r="D215" s="5">
        <v>45881</v>
      </c>
      <c r="E215" s="4" t="s">
        <v>31</v>
      </c>
      <c r="F215" s="4" t="s">
        <v>82</v>
      </c>
      <c r="G215" s="4" t="s">
        <v>2722</v>
      </c>
      <c r="H215" s="4" t="s">
        <v>2723</v>
      </c>
      <c r="I215" s="4" t="s">
        <v>1968</v>
      </c>
      <c r="J215" s="4" t="s">
        <v>1968</v>
      </c>
      <c r="K215" s="4" t="s">
        <v>1996</v>
      </c>
      <c r="L215" s="4" t="s">
        <v>1974</v>
      </c>
      <c r="M215" s="4" t="s">
        <v>36</v>
      </c>
      <c r="N215" s="4" t="s">
        <v>279</v>
      </c>
      <c r="O215" s="4" t="s">
        <v>37</v>
      </c>
      <c r="P215" s="4" t="s">
        <v>37</v>
      </c>
      <c r="Q215" s="10" t="s">
        <v>76</v>
      </c>
      <c r="R215" s="4" t="str">
        <f t="shared" si="15"/>
        <v>Calle Darlin Orlando Pinedo Huacho 9005, Lote 2, Mz. B Campoy, Lurigancho, Lima, Lima, Perú</v>
      </c>
      <c r="S215" s="4">
        <v>-12.035825900000001</v>
      </c>
      <c r="T215" s="4">
        <v>-76.904458099999999</v>
      </c>
      <c r="U215" s="30">
        <f t="shared" si="16"/>
        <v>4.28</v>
      </c>
      <c r="V215" s="4" t="str">
        <f t="shared" si="17"/>
        <v>🟢 Muy Cerca (0-5 km)</v>
      </c>
      <c r="W215" s="19" t="str" cm="1">
        <f t="array" ref="W215">_xlfn.LET(_xlpm.lat_emp,S215,_xlpm.lon_emp,T215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Esperanza</v>
      </c>
      <c r="X215" s="19" t="str">
        <f>_xlfn.LET(_xlpm.paradero,W215,INDEX(PARADEROS_VALIDOS!$A$2:$A$67,MATCH(_xlpm.paradero,PARADEROS_VALIDOS!$C$2:$C$67,0)))</f>
        <v>RUTA 4B</v>
      </c>
      <c r="Y215" s="29" cm="1">
        <f t="array" ref="Y215">_xlfn.LET(_xlpm.lat_emp,S215,_xlpm.lon_emp,T215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1.58</v>
      </c>
      <c r="Z215" s="4" t="str">
        <f t="shared" si="18"/>
        <v>🟡 Cerca (1-3 km)</v>
      </c>
      <c r="AA215" s="4"/>
      <c r="AB215" s="4"/>
      <c r="AC215" s="49">
        <v>-11.997563</v>
      </c>
      <c r="AD215" s="49">
        <v>-76.900062000000005</v>
      </c>
      <c r="AE215" s="19" t="str">
        <f>IFERROR(VLOOKUP(C215,tdcargo[],2,FALSE),"DESCONOCIDO")</f>
        <v>OPERARIO</v>
      </c>
    </row>
    <row r="216" spans="1:31" hidden="1" x14ac:dyDescent="0.35">
      <c r="A216" s="8">
        <v>42627475</v>
      </c>
      <c r="B216" s="4" t="s">
        <v>2724</v>
      </c>
      <c r="C216" s="4" t="s">
        <v>1971</v>
      </c>
      <c r="D216" s="5">
        <v>42646</v>
      </c>
      <c r="E216" s="4" t="s">
        <v>31</v>
      </c>
      <c r="F216" s="4" t="s">
        <v>34</v>
      </c>
      <c r="G216" s="4" t="s">
        <v>3037</v>
      </c>
      <c r="H216" s="4"/>
      <c r="I216" s="4" t="s">
        <v>1968</v>
      </c>
      <c r="J216" s="4" t="s">
        <v>1968</v>
      </c>
      <c r="K216" s="4" t="s">
        <v>4606</v>
      </c>
      <c r="L216" s="4" t="s">
        <v>2697</v>
      </c>
      <c r="M216" s="4" t="s">
        <v>36</v>
      </c>
      <c r="N216" s="4" t="s">
        <v>620</v>
      </c>
      <c r="O216" s="4" t="s">
        <v>37</v>
      </c>
      <c r="P216" s="4" t="s">
        <v>37</v>
      </c>
      <c r="Q216" s="10" t="s">
        <v>76</v>
      </c>
      <c r="R216" s="4" t="str">
        <f t="shared" si="15"/>
        <v>Avenida Union Jicamarca, Lote 6-A, Mz. S Jicamarca, Lurigancho, Lima, Lima, Perú</v>
      </c>
      <c r="S216" s="4">
        <v>-11.972471000000001</v>
      </c>
      <c r="T216" s="4">
        <v>-76.939046000000005</v>
      </c>
      <c r="U216" s="30">
        <f t="shared" si="16"/>
        <v>5.08</v>
      </c>
      <c r="V216" s="4" t="str">
        <f t="shared" si="17"/>
        <v>🟡 Cerca (5-10 km)</v>
      </c>
      <c r="W216" s="19" t="str" cm="1">
        <f t="array" ref="W216">_xlfn.LET(_xlpm.lat_emp,S216,_xlpm.lon_emp,T216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216" s="19" t="str">
        <f>_xlfn.LET(_xlpm.paradero,W216,INDEX(PARADEROS_VALIDOS!$A$2:$A$67,MATCH(_xlpm.paradero,PARADEROS_VALIDOS!$C$2:$C$67,0)))</f>
        <v>RUTA 2</v>
      </c>
      <c r="Y216" s="29" cm="1">
        <f t="array" ref="Y216">_xlfn.LET(_xlpm.lat_emp,S216,_xlpm.lon_emp,T216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4.55</v>
      </c>
      <c r="Z216" s="4" t="str">
        <f t="shared" si="18"/>
        <v>🟠 Moderada (3-5 km)</v>
      </c>
      <c r="AA216" s="4"/>
      <c r="AB216" s="4"/>
      <c r="AC216" s="49">
        <v>-11.997563</v>
      </c>
      <c r="AD216" s="49">
        <v>-76.900062000000005</v>
      </c>
      <c r="AE216" s="19" t="str">
        <f>IFERROR(VLOOKUP(C216,tdcargo[],2,FALSE),"DESCONOCIDO")</f>
        <v>OPERARIO</v>
      </c>
    </row>
    <row r="217" spans="1:31" x14ac:dyDescent="0.35">
      <c r="A217" s="8">
        <v>47689309</v>
      </c>
      <c r="B217" s="4" t="s">
        <v>2728</v>
      </c>
      <c r="C217" s="4" t="s">
        <v>1971</v>
      </c>
      <c r="D217" s="5">
        <v>45537</v>
      </c>
      <c r="E217" s="4" t="s">
        <v>31</v>
      </c>
      <c r="F217" s="4" t="s">
        <v>82</v>
      </c>
      <c r="G217" s="4" t="s">
        <v>2729</v>
      </c>
      <c r="H217" s="4" t="s">
        <v>1956</v>
      </c>
      <c r="I217" s="4" t="s">
        <v>1968</v>
      </c>
      <c r="J217" s="4" t="s">
        <v>1968</v>
      </c>
      <c r="K217" s="4" t="s">
        <v>1968</v>
      </c>
      <c r="L217" s="4" t="s">
        <v>1968</v>
      </c>
      <c r="M217" s="4" t="s">
        <v>36</v>
      </c>
      <c r="N217" s="4" t="s">
        <v>394</v>
      </c>
      <c r="O217" s="4" t="s">
        <v>37</v>
      </c>
      <c r="P217" s="4" t="s">
        <v>37</v>
      </c>
      <c r="Q217" s="10" t="s">
        <v>57</v>
      </c>
      <c r="R217" s="4" t="str">
        <f t="shared" si="15"/>
        <v>Calle Asoc.Vivienda Raucana Mz D Lote 30 Raucana, Ate, Lima, Lima, Perú</v>
      </c>
      <c r="S217" s="4">
        <v>-11.995514</v>
      </c>
      <c r="T217" s="4">
        <v>-77.112234000000001</v>
      </c>
      <c r="U217" s="30">
        <f t="shared" si="16"/>
        <v>23.08</v>
      </c>
      <c r="V217" s="4" t="str">
        <f t="shared" si="17"/>
        <v>🔴 Lejos (&gt;20 km)</v>
      </c>
      <c r="W217" s="19" t="str" cm="1">
        <f t="array" ref="W217">_xlfn.LET(_xlpm.lat_emp,S217,_xlpm.lon_emp,T217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200 Millas</v>
      </c>
      <c r="X217" s="19" t="str">
        <f>_xlfn.LET(_xlpm.paradero,W217,INDEX(PARADEROS_VALIDOS!$A$2:$A$67,MATCH(_xlpm.paradero,PARADEROS_VALIDOS!$C$2:$C$67,0)))</f>
        <v>RUTA 7</v>
      </c>
      <c r="Y217" s="29" cm="1">
        <f t="array" ref="Y217">_xlfn.LET(_xlpm.lat_emp,S217,_xlpm.lon_emp,T217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1.37</v>
      </c>
      <c r="Z217" s="4" t="str">
        <f t="shared" si="18"/>
        <v>🟡 Cerca (1-3 km)</v>
      </c>
      <c r="AA217" s="4"/>
      <c r="AB217" s="4"/>
      <c r="AC217" s="49">
        <v>-11.997563</v>
      </c>
      <c r="AD217" s="49">
        <v>-76.900062000000005</v>
      </c>
      <c r="AE217" s="19" t="str">
        <f>IFERROR(VLOOKUP(C217,tdcargo[],2,FALSE),"DESCONOCIDO")</f>
        <v>OPERARIO</v>
      </c>
    </row>
    <row r="218" spans="1:31" hidden="1" x14ac:dyDescent="0.35">
      <c r="A218" s="8">
        <v>46682811</v>
      </c>
      <c r="B218" s="4" t="s">
        <v>2730</v>
      </c>
      <c r="C218" s="4" t="s">
        <v>2001</v>
      </c>
      <c r="D218" s="5">
        <v>44854</v>
      </c>
      <c r="E218" s="4" t="s">
        <v>31</v>
      </c>
      <c r="F218" s="4" t="s">
        <v>36</v>
      </c>
      <c r="G218" s="4" t="s">
        <v>2731</v>
      </c>
      <c r="H218" s="4" t="s">
        <v>1956</v>
      </c>
      <c r="I218" s="4" t="s">
        <v>1968</v>
      </c>
      <c r="J218" s="4" t="s">
        <v>1968</v>
      </c>
      <c r="K218" s="4" t="s">
        <v>1968</v>
      </c>
      <c r="L218" s="4" t="s">
        <v>1968</v>
      </c>
      <c r="M218" s="4" t="s">
        <v>36</v>
      </c>
      <c r="N218" s="4" t="s">
        <v>1725</v>
      </c>
      <c r="O218" s="4" t="s">
        <v>37</v>
      </c>
      <c r="P218" s="4" t="s">
        <v>37</v>
      </c>
      <c r="Q218" s="10" t="s">
        <v>76</v>
      </c>
      <c r="R218" s="4" t="str">
        <f t="shared" si="15"/>
        <v>Asentamiento Humano Pampa Los Olivares Chosica, Lurigancho, Lima, Lima, Perú</v>
      </c>
      <c r="S218" s="4">
        <v>-11.986158700000001</v>
      </c>
      <c r="T218" s="4">
        <v>-76.896392500000005</v>
      </c>
      <c r="U218" s="30">
        <f t="shared" si="16"/>
        <v>1.33</v>
      </c>
      <c r="V218" s="4" t="str">
        <f t="shared" si="17"/>
        <v>🟢 Muy Cerca (0-5 km)</v>
      </c>
      <c r="W218" s="19" t="str" cm="1">
        <f t="array" ref="W218">_xlfn.LET(_xlpm.lat_emp,S218,_xlpm.lon_emp,T218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218" s="19" t="str">
        <f>_xlfn.LET(_xlpm.paradero,W218,INDEX(PARADEROS_VALIDOS!$A$2:$A$67,MATCH(_xlpm.paradero,PARADEROS_VALIDOS!$C$2:$C$67,0)))</f>
        <v>RUTA 2</v>
      </c>
      <c r="Y218" s="29" cm="1">
        <f t="array" ref="Y218">_xlfn.LET(_xlpm.lat_emp,S218,_xlpm.lon_emp,T218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1.1000000000000001</v>
      </c>
      <c r="Z218" s="4" t="str">
        <f t="shared" si="18"/>
        <v>🟡 Cerca (1-3 km)</v>
      </c>
      <c r="AA218" s="4"/>
      <c r="AB218" s="4"/>
      <c r="AC218" s="49">
        <v>-11.997563</v>
      </c>
      <c r="AD218" s="49">
        <v>-76.900062000000005</v>
      </c>
      <c r="AE218" s="19" t="str">
        <f>IFERROR(VLOOKUP(C218,tdcargo[],2,FALSE),"DESCONOCIDO")</f>
        <v>OPERARIO</v>
      </c>
    </row>
    <row r="219" spans="1:31" hidden="1" x14ac:dyDescent="0.35">
      <c r="A219" s="8">
        <v>71484777</v>
      </c>
      <c r="B219" s="4" t="s">
        <v>2737</v>
      </c>
      <c r="C219" s="4" t="s">
        <v>1971</v>
      </c>
      <c r="D219" s="5">
        <v>45887</v>
      </c>
      <c r="E219" s="4" t="s">
        <v>31</v>
      </c>
      <c r="F219" s="4" t="s">
        <v>82</v>
      </c>
      <c r="G219" s="4" t="s">
        <v>2738</v>
      </c>
      <c r="H219" s="4" t="s">
        <v>2739</v>
      </c>
      <c r="I219" s="4" t="s">
        <v>1968</v>
      </c>
      <c r="J219" s="4" t="s">
        <v>1968</v>
      </c>
      <c r="K219" s="4" t="s">
        <v>2264</v>
      </c>
      <c r="L219" s="4" t="s">
        <v>1278</v>
      </c>
      <c r="M219" s="4" t="s">
        <v>36</v>
      </c>
      <c r="N219" s="4" t="s">
        <v>2740</v>
      </c>
      <c r="O219" s="4" t="s">
        <v>37</v>
      </c>
      <c r="P219" s="4" t="s">
        <v>37</v>
      </c>
      <c r="Q219" s="10" t="s">
        <v>38</v>
      </c>
      <c r="R219" s="4" t="str">
        <f t="shared" si="15"/>
        <v>Calle Asoc Pro Vivienda Chavin De Huantar 131, Lote 8, Mz. A San Juan De Luriganc, San Juan De Lurigancho, Lima, Lima, Perú</v>
      </c>
      <c r="S219" s="4">
        <v>-11.997954399999999</v>
      </c>
      <c r="T219" s="4">
        <v>-77.009740399999998</v>
      </c>
      <c r="U219" s="30">
        <f t="shared" si="16"/>
        <v>11.93</v>
      </c>
      <c r="V219" s="4" t="str">
        <f t="shared" si="17"/>
        <v>🟠 Moderada (10-20 km)</v>
      </c>
      <c r="W219" s="19" t="str" cm="1">
        <f t="array" ref="W219">_xlfn.LET(_xlpm.lat_emp,S219,_xlpm.lon_emp,T219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Carlos</v>
      </c>
      <c r="X219" s="19" t="str">
        <f>_xlfn.LET(_xlpm.paradero,W219,INDEX(PARADEROS_VALIDOS!$A$2:$A$67,MATCH(_xlpm.paradero,PARADEROS_VALIDOS!$C$2:$C$67,0)))</f>
        <v>RUTA 6B</v>
      </c>
      <c r="Y219" s="29" cm="1">
        <f t="array" ref="Y219">_xlfn.LET(_xlpm.lat_emp,S219,_xlpm.lon_emp,T219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</v>
      </c>
      <c r="Z219" s="4" t="str">
        <f t="shared" si="18"/>
        <v>🟢 Muy Cerca (0-1 km)</v>
      </c>
      <c r="AA219" s="4"/>
      <c r="AB219" s="4"/>
      <c r="AC219" s="49">
        <v>-11.997563</v>
      </c>
      <c r="AD219" s="49">
        <v>-76.900062000000005</v>
      </c>
      <c r="AE219" s="19" t="str">
        <f>IFERROR(VLOOKUP(C219,tdcargo[],2,FALSE),"DESCONOCIDO")</f>
        <v>OPERARIO</v>
      </c>
    </row>
    <row r="220" spans="1:31" hidden="1" x14ac:dyDescent="0.35">
      <c r="A220" s="8">
        <v>75199651</v>
      </c>
      <c r="B220" s="4" t="s">
        <v>2741</v>
      </c>
      <c r="C220" s="4" t="s">
        <v>1971</v>
      </c>
      <c r="D220" s="5">
        <v>45761</v>
      </c>
      <c r="E220" s="4" t="s">
        <v>31</v>
      </c>
      <c r="F220" s="4" t="s">
        <v>36</v>
      </c>
      <c r="G220" s="4" t="s">
        <v>2742</v>
      </c>
      <c r="H220" s="4" t="s">
        <v>1956</v>
      </c>
      <c r="I220" s="4" t="s">
        <v>1968</v>
      </c>
      <c r="J220" s="4" t="s">
        <v>1968</v>
      </c>
      <c r="K220" s="4" t="s">
        <v>2283</v>
      </c>
      <c r="L220" s="4" t="s">
        <v>2284</v>
      </c>
      <c r="M220" s="4" t="s">
        <v>36</v>
      </c>
      <c r="N220" s="4" t="s">
        <v>1990</v>
      </c>
      <c r="O220" s="4" t="s">
        <v>37</v>
      </c>
      <c r="P220" s="4" t="s">
        <v>37</v>
      </c>
      <c r="Q220" s="10" t="s">
        <v>37</v>
      </c>
      <c r="R220" s="4" t="str">
        <f t="shared" si="15"/>
        <v>Mz Q Lte 22 Urb. Mariscal Caceres, Lote 22, Mz. Q Mariscal Caceres, Lima, Lima, Lima, Perú</v>
      </c>
      <c r="S220" s="4">
        <v>-11.947525199999999</v>
      </c>
      <c r="T220" s="4">
        <v>-76.980099100000004</v>
      </c>
      <c r="U220" s="30">
        <f t="shared" si="16"/>
        <v>10.33</v>
      </c>
      <c r="V220" s="4" t="str">
        <f t="shared" si="17"/>
        <v>🟠 Moderada (10-20 km)</v>
      </c>
      <c r="W220" s="19" t="str" cm="1">
        <f t="array" ref="W220">_xlfn.LET(_xlpm.lat_emp,S220,_xlpm.lon_emp,T220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220" s="19" t="str">
        <f>_xlfn.LET(_xlpm.paradero,W220,INDEX(PARADEROS_VALIDOS!$A$2:$A$67,MATCH(_xlpm.paradero,PARADEROS_VALIDOS!$C$2:$C$67,0)))</f>
        <v>RUTA 6A</v>
      </c>
      <c r="Y220" s="29" cm="1">
        <f t="array" ref="Y220">_xlfn.LET(_xlpm.lat_emp,S220,_xlpm.lon_emp,T220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3.75</v>
      </c>
      <c r="Z220" s="4" t="str">
        <f t="shared" si="18"/>
        <v>🟠 Moderada (3-5 km)</v>
      </c>
      <c r="AA220" s="4"/>
      <c r="AB220" s="4"/>
      <c r="AC220" s="49">
        <v>-11.997563</v>
      </c>
      <c r="AD220" s="49">
        <v>-76.900062000000005</v>
      </c>
      <c r="AE220" s="19" t="str">
        <f>IFERROR(VLOOKUP(C220,tdcargo[],2,FALSE),"DESCONOCIDO")</f>
        <v>OPERARIO</v>
      </c>
    </row>
    <row r="221" spans="1:31" hidden="1" x14ac:dyDescent="0.35">
      <c r="A221" s="8">
        <v>76615750</v>
      </c>
      <c r="B221" s="4" t="s">
        <v>2743</v>
      </c>
      <c r="C221" s="4" t="s">
        <v>1971</v>
      </c>
      <c r="D221" s="5">
        <v>44732</v>
      </c>
      <c r="E221" s="4" t="s">
        <v>31</v>
      </c>
      <c r="F221" s="4" t="s">
        <v>36</v>
      </c>
      <c r="G221" s="4" t="s">
        <v>46</v>
      </c>
      <c r="H221" s="4" t="s">
        <v>1956</v>
      </c>
      <c r="I221" s="4" t="s">
        <v>1968</v>
      </c>
      <c r="J221" s="4" t="s">
        <v>1968</v>
      </c>
      <c r="K221" s="4" t="s">
        <v>1968</v>
      </c>
      <c r="L221" s="4" t="s">
        <v>1968</v>
      </c>
      <c r="M221" s="4" t="s">
        <v>36</v>
      </c>
      <c r="N221" s="4" t="s">
        <v>2744</v>
      </c>
      <c r="O221" s="4" t="s">
        <v>37</v>
      </c>
      <c r="P221" s="4" t="s">
        <v>37</v>
      </c>
      <c r="Q221" s="10" t="s">
        <v>57</v>
      </c>
      <c r="R221" s="4" t="str">
        <f t="shared" si="15"/>
        <v>Nd Asoc. Nueva Primavera, Ate, Lima, Lima, Perú</v>
      </c>
      <c r="S221" s="4">
        <v>-12.0427658</v>
      </c>
      <c r="T221" s="4">
        <v>-76.873897700000001</v>
      </c>
      <c r="U221" s="30">
        <f t="shared" si="16"/>
        <v>5.78</v>
      </c>
      <c r="V221" s="4" t="str">
        <f t="shared" si="17"/>
        <v>🟡 Cerca (5-10 km)</v>
      </c>
      <c r="W221" s="19" t="str" cm="1">
        <f t="array" ref="W221">_xlfn.LET(_xlpm.lat_emp,S221,_xlpm.lon_emp,T221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la Cruz</v>
      </c>
      <c r="X221" s="19" t="str">
        <f>_xlfn.LET(_xlpm.paradero,W221,INDEX(PARADEROS_VALIDOS!$A$2:$A$67,MATCH(_xlpm.paradero,PARADEROS_VALIDOS!$C$2:$C$67,0)))</f>
        <v>RUTA 4B</v>
      </c>
      <c r="Y221" s="29" cm="1">
        <f t="array" ref="Y221">_xlfn.LET(_xlpm.lat_emp,S221,_xlpm.lon_emp,T221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3.34</v>
      </c>
      <c r="Z221" s="4" t="str">
        <f t="shared" si="18"/>
        <v>🟠 Moderada (3-5 km)</v>
      </c>
      <c r="AA221" s="4"/>
      <c r="AB221" s="4"/>
      <c r="AC221" s="49">
        <v>-11.997563</v>
      </c>
      <c r="AD221" s="49">
        <v>-76.900062000000005</v>
      </c>
      <c r="AE221" s="19" t="str">
        <f>IFERROR(VLOOKUP(C221,tdcargo[],2,FALSE),"DESCONOCIDO")</f>
        <v>OPERARIO</v>
      </c>
    </row>
    <row r="222" spans="1:31" hidden="1" x14ac:dyDescent="0.35">
      <c r="A222" s="8">
        <v>76628913</v>
      </c>
      <c r="B222" s="4" t="s">
        <v>2753</v>
      </c>
      <c r="C222" s="4" t="s">
        <v>2006</v>
      </c>
      <c r="D222" s="5">
        <v>46055</v>
      </c>
      <c r="E222" s="4" t="s">
        <v>31</v>
      </c>
      <c r="F222" s="4" t="s">
        <v>82</v>
      </c>
      <c r="G222" s="4" t="s">
        <v>705</v>
      </c>
      <c r="H222" s="4" t="s">
        <v>1956</v>
      </c>
      <c r="I222" s="4" t="s">
        <v>1968</v>
      </c>
      <c r="J222" s="4" t="s">
        <v>2171</v>
      </c>
      <c r="K222" s="4" t="s">
        <v>2164</v>
      </c>
      <c r="L222" s="4" t="s">
        <v>1968</v>
      </c>
      <c r="M222" s="4" t="s">
        <v>186</v>
      </c>
      <c r="N222" s="4" t="s">
        <v>2754</v>
      </c>
      <c r="O222" s="4" t="s">
        <v>37</v>
      </c>
      <c r="P222" s="4" t="s">
        <v>37</v>
      </c>
      <c r="Q222" s="10" t="s">
        <v>57</v>
      </c>
      <c r="R222" s="4" t="str">
        <f t="shared" si="15"/>
        <v>Calle Huaycan, Int. 3, Lote 39, Urb. Urbanización ZONA L, Ate, Lima, Lima, Perú</v>
      </c>
      <c r="S222" s="4">
        <v>-12.019021499999999</v>
      </c>
      <c r="T222" s="4">
        <v>-76.815511299999997</v>
      </c>
      <c r="U222" s="30">
        <f t="shared" si="16"/>
        <v>9.5</v>
      </c>
      <c r="V222" s="4" t="str">
        <f t="shared" si="17"/>
        <v>🟡 Cerca (5-10 km)</v>
      </c>
      <c r="W222" s="19" t="str" cm="1">
        <f t="array" ref="W222">_xlfn.LET(_xlpm.lat_emp,S222,_xlpm.lon_emp,T222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222" s="19" t="str">
        <f>_xlfn.LET(_xlpm.paradero,W222,INDEX(PARADEROS_VALIDOS!$A$2:$A$67,MATCH(_xlpm.paradero,PARADEROS_VALIDOS!$C$2:$C$67,0)))</f>
        <v>RUTA 3</v>
      </c>
      <c r="Y222" s="29" cm="1">
        <f t="array" ref="Y222">_xlfn.LET(_xlpm.lat_emp,S222,_xlpm.lon_emp,T222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1.08</v>
      </c>
      <c r="Z222" s="4" t="str">
        <f t="shared" si="18"/>
        <v>🟡 Cerca (1-3 km)</v>
      </c>
      <c r="AA222" s="4"/>
      <c r="AB222" s="4"/>
      <c r="AC222" s="49">
        <v>-11.997563</v>
      </c>
      <c r="AD222" s="49">
        <v>-76.900062000000005</v>
      </c>
      <c r="AE222" s="19" t="str">
        <f>IFERROR(VLOOKUP(C222,tdcargo[],2,FALSE),"DESCONOCIDO")</f>
        <v>OPERARIO</v>
      </c>
    </row>
    <row r="223" spans="1:31" hidden="1" x14ac:dyDescent="0.35">
      <c r="A223" s="8">
        <v>75228506</v>
      </c>
      <c r="B223" s="4" t="s">
        <v>2755</v>
      </c>
      <c r="C223" s="4" t="s">
        <v>1971</v>
      </c>
      <c r="D223" s="5">
        <v>46062</v>
      </c>
      <c r="E223" s="4" t="s">
        <v>31</v>
      </c>
      <c r="F223" s="4" t="s">
        <v>82</v>
      </c>
      <c r="G223" s="4" t="s">
        <v>2756</v>
      </c>
      <c r="H223" s="4" t="s">
        <v>2757</v>
      </c>
      <c r="I223" s="4" t="s">
        <v>1968</v>
      </c>
      <c r="J223" s="4" t="s">
        <v>1968</v>
      </c>
      <c r="K223" s="4" t="s">
        <v>2093</v>
      </c>
      <c r="L223" s="4" t="s">
        <v>1968</v>
      </c>
      <c r="M223" s="4" t="s">
        <v>36</v>
      </c>
      <c r="N223" s="4" t="s">
        <v>727</v>
      </c>
      <c r="O223" s="4" t="s">
        <v>37</v>
      </c>
      <c r="P223" s="4" t="s">
        <v>37</v>
      </c>
      <c r="Q223" s="10" t="s">
        <v>57</v>
      </c>
      <c r="R223" s="4" t="str">
        <f t="shared" si="15"/>
        <v>Calle Ucv. 129 129, Lote 56 HUAYCAN, Ate, Lima, Lima, Perú</v>
      </c>
      <c r="S223" s="4">
        <v>-12.010009</v>
      </c>
      <c r="T223" s="4">
        <v>-76.827871599999995</v>
      </c>
      <c r="U223" s="30">
        <f t="shared" si="16"/>
        <v>7.97</v>
      </c>
      <c r="V223" s="4" t="str">
        <f t="shared" si="17"/>
        <v>🟡 Cerca (5-10 km)</v>
      </c>
      <c r="W223" s="19" t="str" cm="1">
        <f t="array" ref="W223">_xlfn.LET(_xlpm.lat_emp,S223,_xlpm.lon_emp,T223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Horacio</v>
      </c>
      <c r="X223" s="19" t="str">
        <f>_xlfn.LET(_xlpm.paradero,W223,INDEX(PARADEROS_VALIDOS!$A$2:$A$67,MATCH(_xlpm.paradero,PARADEROS_VALIDOS!$C$2:$C$67,0)))</f>
        <v>RUTA 5B</v>
      </c>
      <c r="Y223" s="29" cm="1">
        <f t="array" ref="Y223">_xlfn.LET(_xlpm.lat_emp,S223,_xlpm.lon_emp,T223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1.55</v>
      </c>
      <c r="Z223" s="4" t="str">
        <f t="shared" si="18"/>
        <v>🟡 Cerca (1-3 km)</v>
      </c>
      <c r="AA223" s="4"/>
      <c r="AB223" s="4"/>
      <c r="AC223" s="49">
        <v>-11.997563</v>
      </c>
      <c r="AD223" s="49">
        <v>-76.900062000000005</v>
      </c>
      <c r="AE223" s="19" t="str">
        <f>IFERROR(VLOOKUP(C223,tdcargo[],2,FALSE),"DESCONOCIDO")</f>
        <v>OPERARIO</v>
      </c>
    </row>
    <row r="224" spans="1:31" hidden="1" x14ac:dyDescent="0.35">
      <c r="A224" s="8">
        <v>44826371</v>
      </c>
      <c r="B224" s="4" t="s">
        <v>2758</v>
      </c>
      <c r="C224" s="4" t="s">
        <v>1971</v>
      </c>
      <c r="D224" s="5">
        <v>45931</v>
      </c>
      <c r="E224" s="4" t="s">
        <v>31</v>
      </c>
      <c r="F224" s="4" t="s">
        <v>82</v>
      </c>
      <c r="G224" s="4" t="s">
        <v>2759</v>
      </c>
      <c r="H224" s="4" t="s">
        <v>2760</v>
      </c>
      <c r="I224" s="4" t="s">
        <v>1968</v>
      </c>
      <c r="J224" s="4" t="s">
        <v>1968</v>
      </c>
      <c r="K224" s="4" t="s">
        <v>2171</v>
      </c>
      <c r="L224" s="4" t="s">
        <v>1461</v>
      </c>
      <c r="M224" s="4" t="s">
        <v>36</v>
      </c>
      <c r="N224" s="4" t="s">
        <v>2761</v>
      </c>
      <c r="O224" s="4" t="s">
        <v>37</v>
      </c>
      <c r="P224" s="4" t="s">
        <v>37</v>
      </c>
      <c r="Q224" s="10" t="s">
        <v>57</v>
      </c>
      <c r="R224" s="4" t="str">
        <f t="shared" si="15"/>
        <v>Calle Nuevo Americas 4482, Lote 3, Mz. C Arena, Ate, Lima, Lima, Perú</v>
      </c>
      <c r="S224" s="4">
        <v>-12.0258194</v>
      </c>
      <c r="T224" s="4">
        <v>-76.920053300000006</v>
      </c>
      <c r="U224" s="30">
        <f t="shared" si="16"/>
        <v>3.82</v>
      </c>
      <c r="V224" s="4" t="str">
        <f t="shared" si="17"/>
        <v>🟢 Muy Cerca (0-5 km)</v>
      </c>
      <c r="W224" s="19" t="str" cm="1">
        <f t="array" ref="W224">_xlfn.LET(_xlpm.lat_emp,S224,_xlpm.lon_emp,T224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Panadería Marcela (cruce de la carretera central, con Av. Jose Carlos Mariátegui)</v>
      </c>
      <c r="X224" s="19" t="str">
        <f>_xlfn.LET(_xlpm.paradero,W224,INDEX(PARADEROS_VALIDOS!$A$2:$A$67,MATCH(_xlpm.paradero,PARADEROS_VALIDOS!$C$2:$C$67,0)))</f>
        <v>RUTA 4B</v>
      </c>
      <c r="Y224" s="29" cm="1">
        <f t="array" ref="Y224">_xlfn.LET(_xlpm.lat_emp,S224,_xlpm.lon_emp,T224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0.11</v>
      </c>
      <c r="Z224" s="4" t="str">
        <f t="shared" si="18"/>
        <v>🟢 Muy Cerca (0-1 km)</v>
      </c>
      <c r="AA224" s="4"/>
      <c r="AB224" s="4"/>
      <c r="AC224" s="49">
        <v>-11.997563</v>
      </c>
      <c r="AD224" s="49">
        <v>-76.900062000000005</v>
      </c>
      <c r="AE224" s="19" t="str">
        <f>IFERROR(VLOOKUP(C224,tdcargo[],2,FALSE),"DESCONOCIDO")</f>
        <v>OPERARIO</v>
      </c>
    </row>
    <row r="225" spans="1:31" hidden="1" x14ac:dyDescent="0.35">
      <c r="A225" s="8">
        <v>75131207</v>
      </c>
      <c r="B225" s="4" t="s">
        <v>2762</v>
      </c>
      <c r="C225" s="4" t="s">
        <v>1971</v>
      </c>
      <c r="D225" s="5">
        <v>45931</v>
      </c>
      <c r="E225" s="4" t="s">
        <v>31</v>
      </c>
      <c r="F225" s="4" t="s">
        <v>36</v>
      </c>
      <c r="G225" s="4" t="s">
        <v>2763</v>
      </c>
      <c r="H225" s="4" t="s">
        <v>1995</v>
      </c>
      <c r="I225" s="4" t="s">
        <v>1968</v>
      </c>
      <c r="J225" s="4" t="s">
        <v>1995</v>
      </c>
      <c r="K225" s="4" t="s">
        <v>1996</v>
      </c>
      <c r="L225" s="4" t="s">
        <v>2322</v>
      </c>
      <c r="M225" s="4" t="s">
        <v>36</v>
      </c>
      <c r="N225" s="4" t="s">
        <v>1430</v>
      </c>
      <c r="O225" s="4" t="s">
        <v>37</v>
      </c>
      <c r="P225" s="4" t="s">
        <v>37</v>
      </c>
      <c r="Q225" s="10" t="s">
        <v>76</v>
      </c>
      <c r="R225" s="4" t="str">
        <f t="shared" si="15"/>
        <v>No 1, Int. 1, Lote 2, Mz. M Casa Huerta La Campi, Lurigancho, Lima, Lima, Perú</v>
      </c>
      <c r="S225" s="4">
        <v>-11.928603499999999</v>
      </c>
      <c r="T225" s="4">
        <v>-76.683861399999998</v>
      </c>
      <c r="U225" s="30">
        <f t="shared" si="16"/>
        <v>24.74</v>
      </c>
      <c r="V225" s="4" t="str">
        <f t="shared" si="17"/>
        <v>🔴 Lejos (&gt;20 km)</v>
      </c>
      <c r="W225" s="19" t="str" cm="1">
        <f t="array" ref="W225">_xlfn.LET(_xlpm.lat_emp,S225,_xlpm.lon_emp,T225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225" s="19" t="str">
        <f>_xlfn.LET(_xlpm.paradero,W225,INDEX(PARADEROS_VALIDOS!$A$2:$A$67,MATCH(_xlpm.paradero,PARADEROS_VALIDOS!$C$2:$C$67,0)))</f>
        <v>RUTA 5A</v>
      </c>
      <c r="Y225" s="29" cm="1">
        <f t="array" ref="Y225">_xlfn.LET(_xlpm.lat_emp,S225,_xlpm.lon_emp,T225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11.01</v>
      </c>
      <c r="Z225" s="4" t="str">
        <f t="shared" si="18"/>
        <v>🔴 Lejos (&gt;5 km)</v>
      </c>
      <c r="AA225" s="4"/>
      <c r="AB225" s="4"/>
      <c r="AC225" s="49">
        <v>-11.997563</v>
      </c>
      <c r="AD225" s="49">
        <v>-76.900062000000005</v>
      </c>
      <c r="AE225" s="19" t="str">
        <f>IFERROR(VLOOKUP(C225,tdcargo[],2,FALSE),"DESCONOCIDO")</f>
        <v>OPERARIO</v>
      </c>
    </row>
    <row r="226" spans="1:31" hidden="1" x14ac:dyDescent="0.35">
      <c r="A226" s="8">
        <v>46766232</v>
      </c>
      <c r="B226" s="4" t="s">
        <v>2764</v>
      </c>
      <c r="C226" s="4" t="s">
        <v>1971</v>
      </c>
      <c r="D226" s="5">
        <v>45931</v>
      </c>
      <c r="E226" s="4" t="s">
        <v>31</v>
      </c>
      <c r="F226" s="4" t="s">
        <v>82</v>
      </c>
      <c r="G226" s="4" t="s">
        <v>2765</v>
      </c>
      <c r="H226" s="4" t="s">
        <v>2061</v>
      </c>
      <c r="I226" s="4" t="s">
        <v>1968</v>
      </c>
      <c r="J226" s="4" t="s">
        <v>1968</v>
      </c>
      <c r="K226" s="4" t="s">
        <v>1981</v>
      </c>
      <c r="L226" s="4" t="s">
        <v>2766</v>
      </c>
      <c r="M226" s="4" t="s">
        <v>36</v>
      </c>
      <c r="N226" s="4" t="s">
        <v>2767</v>
      </c>
      <c r="O226" s="4" t="s">
        <v>37</v>
      </c>
      <c r="P226" s="4" t="s">
        <v>37</v>
      </c>
      <c r="Q226" s="10" t="s">
        <v>38</v>
      </c>
      <c r="R226" s="4" t="str">
        <f t="shared" si="15"/>
        <v>Calle Aa Hh Jose Carlos Mariategui 29, Lote 6, Mz. P6 Espalda Mariategui, San Juan De Lurigancho, Lima, Lima, Perú</v>
      </c>
      <c r="S226" s="4">
        <v>-11.956807400000001</v>
      </c>
      <c r="T226" s="4">
        <v>-76.999636499999994</v>
      </c>
      <c r="U226" s="30">
        <f t="shared" si="16"/>
        <v>11.74</v>
      </c>
      <c r="V226" s="4" t="str">
        <f t="shared" si="17"/>
        <v>🟠 Moderada (10-20 km)</v>
      </c>
      <c r="W226" s="19" t="str" cm="1">
        <f t="array" ref="W226">_xlfn.LET(_xlpm.lat_emp,S226,_xlpm.lon_emp,T226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Acho</v>
      </c>
      <c r="X226" s="19" t="str">
        <f>_xlfn.LET(_xlpm.paradero,W226,INDEX(PARADEROS_VALIDOS!$A$2:$A$67,MATCH(_xlpm.paradero,PARADEROS_VALIDOS!$C$2:$C$67,0)))</f>
        <v>RUTA 8</v>
      </c>
      <c r="Y226" s="29" cm="1">
        <f t="array" ref="Y226">_xlfn.LET(_xlpm.lat_emp,S226,_xlpm.lon_emp,T226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1.79</v>
      </c>
      <c r="Z226" s="4" t="str">
        <f t="shared" si="18"/>
        <v>🟡 Cerca (1-3 km)</v>
      </c>
      <c r="AA226" s="4"/>
      <c r="AB226" s="4"/>
      <c r="AC226" s="49">
        <v>-11.997563</v>
      </c>
      <c r="AD226" s="49">
        <v>-76.900062000000005</v>
      </c>
      <c r="AE226" s="19" t="str">
        <f>IFERROR(VLOOKUP(C226,tdcargo[],2,FALSE),"DESCONOCIDO")</f>
        <v>OPERARIO</v>
      </c>
    </row>
    <row r="227" spans="1:31" hidden="1" x14ac:dyDescent="0.35">
      <c r="A227" s="8">
        <v>72665953</v>
      </c>
      <c r="B227" s="4" t="s">
        <v>2768</v>
      </c>
      <c r="C227" s="4" t="s">
        <v>1971</v>
      </c>
      <c r="D227" s="5">
        <v>45964</v>
      </c>
      <c r="E227" s="4" t="s">
        <v>31</v>
      </c>
      <c r="F227" s="4" t="s">
        <v>34</v>
      </c>
      <c r="G227" s="4" t="s">
        <v>658</v>
      </c>
      <c r="H227" s="4" t="s">
        <v>2769</v>
      </c>
      <c r="I227" s="4" t="s">
        <v>1968</v>
      </c>
      <c r="J227" s="4" t="s">
        <v>1968</v>
      </c>
      <c r="K227" s="4" t="s">
        <v>1968</v>
      </c>
      <c r="L227" s="4" t="s">
        <v>1968</v>
      </c>
      <c r="M227" s="4" t="s">
        <v>36</v>
      </c>
      <c r="N227" s="4" t="s">
        <v>2770</v>
      </c>
      <c r="O227" s="4" t="s">
        <v>37</v>
      </c>
      <c r="P227" s="4" t="s">
        <v>37</v>
      </c>
      <c r="Q227" s="10" t="s">
        <v>57</v>
      </c>
      <c r="R227" s="4" t="str">
        <f t="shared" si="15"/>
        <v>Avenida Jose Carlos Mariategui 671 Truinfo, Ate, Lima, Lima, Perú</v>
      </c>
      <c r="S227" s="4">
        <v>-12.02646</v>
      </c>
      <c r="T227" s="4">
        <v>-76.914510000000007</v>
      </c>
      <c r="U227" s="30">
        <f t="shared" si="16"/>
        <v>3.58</v>
      </c>
      <c r="V227" s="4" t="str">
        <f t="shared" si="17"/>
        <v>🟢 Muy Cerca (0-5 km)</v>
      </c>
      <c r="W227" s="19" t="str" cm="1">
        <f t="array" ref="W227">_xlfn.LET(_xlpm.lat_emp,S227,_xlpm.lon_emp,T227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Panadería Marcela (cruce de la carretera central, con Av. Jose Carlos Mariátegui)</v>
      </c>
      <c r="X227" s="19" t="str">
        <f>_xlfn.LET(_xlpm.paradero,W227,INDEX(PARADEROS_VALIDOS!$A$2:$A$67,MATCH(_xlpm.paradero,PARADEROS_VALIDOS!$C$2:$C$67,0)))</f>
        <v>RUTA 4B</v>
      </c>
      <c r="Y227" s="29" cm="1">
        <f t="array" ref="Y227">_xlfn.LET(_xlpm.lat_emp,S227,_xlpm.lon_emp,T227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0.67</v>
      </c>
      <c r="Z227" s="4" t="str">
        <f t="shared" si="18"/>
        <v>🟢 Muy Cerca (0-1 km)</v>
      </c>
      <c r="AA227" s="4"/>
      <c r="AB227" s="4"/>
      <c r="AC227" s="49">
        <v>-11.997563</v>
      </c>
      <c r="AD227" s="49">
        <v>-76.900062000000005</v>
      </c>
      <c r="AE227" s="19" t="str">
        <f>IFERROR(VLOOKUP(C227,tdcargo[],2,FALSE),"DESCONOCIDO")</f>
        <v>OPERARIO</v>
      </c>
    </row>
    <row r="228" spans="1:31" hidden="1" x14ac:dyDescent="0.35">
      <c r="A228" s="8">
        <v>75325919</v>
      </c>
      <c r="B228" s="4" t="s">
        <v>2771</v>
      </c>
      <c r="C228" s="4" t="s">
        <v>1971</v>
      </c>
      <c r="D228" s="5">
        <v>46055</v>
      </c>
      <c r="E228" s="4" t="s">
        <v>31</v>
      </c>
      <c r="F228" s="4" t="s">
        <v>793</v>
      </c>
      <c r="G228" s="4" t="s">
        <v>2772</v>
      </c>
      <c r="H228" s="4" t="s">
        <v>2003</v>
      </c>
      <c r="I228" s="4" t="s">
        <v>1968</v>
      </c>
      <c r="J228" s="4" t="s">
        <v>1968</v>
      </c>
      <c r="K228" s="4" t="s">
        <v>2003</v>
      </c>
      <c r="L228" s="4" t="s">
        <v>1968</v>
      </c>
      <c r="M228" s="4" t="s">
        <v>36</v>
      </c>
      <c r="N228" s="4" t="s">
        <v>2773</v>
      </c>
      <c r="O228" s="4" t="s">
        <v>37</v>
      </c>
      <c r="P228" s="4" t="s">
        <v>37</v>
      </c>
      <c r="Q228" s="10" t="s">
        <v>57</v>
      </c>
      <c r="R228" s="4" t="str">
        <f t="shared" si="15"/>
        <v>Carretera Gloria Alcanfores 27, Lote 27 GLORIA ALCANFORES, Ate, Lima, Lima, Perú</v>
      </c>
      <c r="S228" s="4">
        <v>-12.026980699999999</v>
      </c>
      <c r="T228" s="4">
        <v>-76.923737500000001</v>
      </c>
      <c r="U228" s="30">
        <f t="shared" si="16"/>
        <v>4.16</v>
      </c>
      <c r="V228" s="4" t="str">
        <f t="shared" si="17"/>
        <v>🟢 Muy Cerca (0-5 km)</v>
      </c>
      <c r="W228" s="19" t="str" cm="1">
        <f t="array" ref="W228">_xlfn.LET(_xlpm.lat_emp,S228,_xlpm.lon_emp,T228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Panadería Marcela (cruce de la carretera central, con Av. Jose Carlos Mariátegui)</v>
      </c>
      <c r="X228" s="19" t="str">
        <f>_xlfn.LET(_xlpm.paradero,W228,INDEX(PARADEROS_VALIDOS!$A$2:$A$67,MATCH(_xlpm.paradero,PARADEROS_VALIDOS!$C$2:$C$67,0)))</f>
        <v>RUTA 4B</v>
      </c>
      <c r="Y228" s="29" cm="1">
        <f t="array" ref="Y228">_xlfn.LET(_xlpm.lat_emp,S228,_xlpm.lon_emp,T228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0.34</v>
      </c>
      <c r="Z228" s="4" t="str">
        <f t="shared" si="18"/>
        <v>🟢 Muy Cerca (0-1 km)</v>
      </c>
      <c r="AA228" s="4"/>
      <c r="AB228" s="4"/>
      <c r="AC228" s="49">
        <v>-11.997563</v>
      </c>
      <c r="AD228" s="49">
        <v>-76.900062000000005</v>
      </c>
      <c r="AE228" s="19" t="str">
        <f>IFERROR(VLOOKUP(C228,tdcargo[],2,FALSE),"DESCONOCIDO")</f>
        <v>OPERARIO</v>
      </c>
    </row>
    <row r="229" spans="1:31" hidden="1" x14ac:dyDescent="0.35">
      <c r="A229" s="8">
        <v>75111175</v>
      </c>
      <c r="B229" s="4" t="s">
        <v>2774</v>
      </c>
      <c r="C229" s="4" t="s">
        <v>1971</v>
      </c>
      <c r="D229" s="5">
        <v>46055</v>
      </c>
      <c r="E229" s="4" t="s">
        <v>31</v>
      </c>
      <c r="F229" s="4" t="s">
        <v>82</v>
      </c>
      <c r="G229" s="4" t="s">
        <v>2775</v>
      </c>
      <c r="H229" s="4" t="s">
        <v>2776</v>
      </c>
      <c r="I229" s="4" t="s">
        <v>1968</v>
      </c>
      <c r="J229" s="4" t="s">
        <v>1968</v>
      </c>
      <c r="K229" s="4" t="s">
        <v>1968</v>
      </c>
      <c r="L229" s="4" t="s">
        <v>1968</v>
      </c>
      <c r="M229" s="4" t="s">
        <v>36</v>
      </c>
      <c r="N229" s="4" t="s">
        <v>1348</v>
      </c>
      <c r="O229" s="4" t="s">
        <v>37</v>
      </c>
      <c r="P229" s="4" t="s">
        <v>37</v>
      </c>
      <c r="Q229" s="10" t="s">
        <v>1094</v>
      </c>
      <c r="R229" s="4" t="str">
        <f t="shared" si="15"/>
        <v>Calle Sinchiroca 145 TAHUANTINSUYO, Independencia, Lima, Lima, Perú</v>
      </c>
      <c r="S229" s="4">
        <v>-11.9858098</v>
      </c>
      <c r="T229" s="4">
        <v>-77.056230600000006</v>
      </c>
      <c r="U229" s="30">
        <f t="shared" si="16"/>
        <v>17.04</v>
      </c>
      <c r="V229" s="4" t="str">
        <f t="shared" si="17"/>
        <v>🟠 Moderada (10-20 km)</v>
      </c>
      <c r="W229" s="19" t="str" cm="1">
        <f t="array" ref="W229">_xlfn.LET(_xlpm.lat_emp,S229,_xlpm.lon_emp,T229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Metro Eyzaguirre</v>
      </c>
      <c r="X229" s="19" t="str">
        <f>_xlfn.LET(_xlpm.paradero,W229,INDEX(PARADEROS_VALIDOS!$A$2:$A$67,MATCH(_xlpm.paradero,PARADEROS_VALIDOS!$C$2:$C$67,0)))</f>
        <v>RUTA 8</v>
      </c>
      <c r="Y229" s="29" cm="1">
        <f t="array" ref="Y229">_xlfn.LET(_xlpm.lat_emp,S229,_xlpm.lon_emp,T229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0.82</v>
      </c>
      <c r="Z229" s="4" t="str">
        <f t="shared" si="18"/>
        <v>🟢 Muy Cerca (0-1 km)</v>
      </c>
      <c r="AA229" s="4"/>
      <c r="AB229" s="4"/>
      <c r="AC229" s="49">
        <v>-11.997563</v>
      </c>
      <c r="AD229" s="49">
        <v>-76.900062000000005</v>
      </c>
      <c r="AE229" s="19" t="str">
        <f>IFERROR(VLOOKUP(C229,tdcargo[],2,FALSE),"DESCONOCIDO")</f>
        <v>OPERARIO</v>
      </c>
    </row>
    <row r="230" spans="1:31" x14ac:dyDescent="0.35">
      <c r="A230" s="8">
        <v>74727119</v>
      </c>
      <c r="B230" s="4" t="s">
        <v>2780</v>
      </c>
      <c r="C230" s="4" t="s">
        <v>2001</v>
      </c>
      <c r="D230" s="5">
        <v>44014</v>
      </c>
      <c r="E230" s="4" t="s">
        <v>31</v>
      </c>
      <c r="F230" s="4" t="s">
        <v>82</v>
      </c>
      <c r="G230" s="4" t="s">
        <v>249</v>
      </c>
      <c r="H230" s="4" t="s">
        <v>1956</v>
      </c>
      <c r="I230" s="4" t="s">
        <v>1968</v>
      </c>
      <c r="J230" s="4" t="s">
        <v>1968</v>
      </c>
      <c r="K230" s="4" t="s">
        <v>1968</v>
      </c>
      <c r="L230" s="4" t="s">
        <v>1968</v>
      </c>
      <c r="M230" s="4" t="s">
        <v>88</v>
      </c>
      <c r="N230" s="4" t="s">
        <v>166</v>
      </c>
      <c r="O230" s="4" t="s">
        <v>37</v>
      </c>
      <c r="P230" s="4" t="s">
        <v>37</v>
      </c>
      <c r="Q230" s="10" t="s">
        <v>76</v>
      </c>
      <c r="R230" s="4" t="str">
        <f t="shared" si="15"/>
        <v>Calle Los Eucaliptos, A.H. Asentamiento Humano La Campiña, Lurigancho, Lima, Lima, Perú</v>
      </c>
      <c r="S230" s="4">
        <v>-12.1762306</v>
      </c>
      <c r="T230" s="4">
        <v>-76.995987200000002</v>
      </c>
      <c r="U230" s="30">
        <f t="shared" si="16"/>
        <v>22.44</v>
      </c>
      <c r="V230" s="4" t="str">
        <f t="shared" si="17"/>
        <v>🔴 Lejos (&gt;20 km)</v>
      </c>
      <c r="W230" s="19" t="str" cm="1">
        <f t="array" ref="W230">_xlfn.LET(_xlpm.lat_emp,S230,_xlpm.lon_emp,T230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Puente Alipio</v>
      </c>
      <c r="X230" s="19" t="str">
        <f>_xlfn.LET(_xlpm.paradero,W230,INDEX(PARADEROS_VALIDOS!$A$2:$A$67,MATCH(_xlpm.paradero,PARADEROS_VALIDOS!$C$2:$C$67,0)))</f>
        <v>RUTA 7</v>
      </c>
      <c r="Y230" s="29" cm="1">
        <f t="array" ref="Y230">_xlfn.LET(_xlpm.lat_emp,S230,_xlpm.lon_emp,T230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2.0099999999999998</v>
      </c>
      <c r="Z230" s="4" t="str">
        <f t="shared" si="18"/>
        <v>🟡 Cerca (1-3 km)</v>
      </c>
      <c r="AA230" s="4"/>
      <c r="AB230" s="4"/>
      <c r="AC230" s="49">
        <v>-11.997563</v>
      </c>
      <c r="AD230" s="49">
        <v>-76.900062000000005</v>
      </c>
      <c r="AE230" s="19" t="str">
        <f>IFERROR(VLOOKUP(C230,tdcargo[],2,FALSE),"DESCONOCIDO")</f>
        <v>OPERARIO</v>
      </c>
    </row>
    <row r="231" spans="1:31" hidden="1" x14ac:dyDescent="0.35">
      <c r="A231" s="8">
        <v>47147229</v>
      </c>
      <c r="B231" s="4" t="s">
        <v>2781</v>
      </c>
      <c r="C231" s="4" t="s">
        <v>1971</v>
      </c>
      <c r="D231" s="5">
        <v>46037</v>
      </c>
      <c r="E231" s="4" t="s">
        <v>31</v>
      </c>
      <c r="F231" s="4" t="s">
        <v>82</v>
      </c>
      <c r="G231" s="4" t="s">
        <v>2782</v>
      </c>
      <c r="H231" s="4" t="s">
        <v>1956</v>
      </c>
      <c r="I231" s="4" t="s">
        <v>1968</v>
      </c>
      <c r="J231" s="4" t="s">
        <v>1968</v>
      </c>
      <c r="K231" s="4" t="s">
        <v>2783</v>
      </c>
      <c r="L231" s="4" t="s">
        <v>1968</v>
      </c>
      <c r="M231" s="4" t="s">
        <v>609</v>
      </c>
      <c r="N231" s="4" t="s">
        <v>1286</v>
      </c>
      <c r="O231" s="4" t="s">
        <v>37</v>
      </c>
      <c r="P231" s="4" t="s">
        <v>37</v>
      </c>
      <c r="Q231" s="10" t="s">
        <v>118</v>
      </c>
      <c r="R231" s="4" t="str">
        <f t="shared" si="15"/>
        <v>Calle La Era Ñaña, Lote C3, P.J. Pueblo Joven LA ERA, Chaclacayo, Lima, Lima, Perú</v>
      </c>
      <c r="S231" s="4">
        <v>-11.974058400000001</v>
      </c>
      <c r="T231" s="4">
        <v>-76.838885300000001</v>
      </c>
      <c r="U231" s="30">
        <f t="shared" si="16"/>
        <v>7.15</v>
      </c>
      <c r="V231" s="4" t="str">
        <f t="shared" si="17"/>
        <v>🟡 Cerca (5-10 km)</v>
      </c>
      <c r="W231" s="19" t="str" cm="1">
        <f t="array" ref="W231">_xlfn.LET(_xlpm.lat_emp,S231,_xlpm.lon_emp,T231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Ñaña</v>
      </c>
      <c r="X231" s="19" t="str">
        <f>_xlfn.LET(_xlpm.paradero,W231,INDEX(PARADEROS_VALIDOS!$A$2:$A$67,MATCH(_xlpm.paradero,PARADEROS_VALIDOS!$C$2:$C$67,0)))</f>
        <v>RUTA 5A</v>
      </c>
      <c r="Y231" s="29" cm="1">
        <f t="array" ref="Y231">_xlfn.LET(_xlpm.lat_emp,S231,_xlpm.lon_emp,T231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2.79</v>
      </c>
      <c r="Z231" s="4" t="str">
        <f t="shared" si="18"/>
        <v>🟡 Cerca (1-3 km)</v>
      </c>
      <c r="AA231" s="4"/>
      <c r="AB231" s="4"/>
      <c r="AC231" s="49">
        <v>-11.997563</v>
      </c>
      <c r="AD231" s="49">
        <v>-76.900062000000005</v>
      </c>
      <c r="AE231" s="19" t="str">
        <f>IFERROR(VLOOKUP(C231,tdcargo[],2,FALSE),"DESCONOCIDO")</f>
        <v>OPERARIO</v>
      </c>
    </row>
    <row r="232" spans="1:31" hidden="1" x14ac:dyDescent="0.35">
      <c r="A232" s="8">
        <v>72481461</v>
      </c>
      <c r="B232" s="4" t="s">
        <v>2784</v>
      </c>
      <c r="C232" s="4" t="s">
        <v>1971</v>
      </c>
      <c r="D232" s="5">
        <v>45943</v>
      </c>
      <c r="E232" s="4" t="s">
        <v>31</v>
      </c>
      <c r="F232" s="4" t="s">
        <v>36</v>
      </c>
      <c r="G232" s="4" t="s">
        <v>803</v>
      </c>
      <c r="H232" s="4" t="s">
        <v>2785</v>
      </c>
      <c r="I232" s="4" t="s">
        <v>1968</v>
      </c>
      <c r="J232" s="4" t="s">
        <v>1968</v>
      </c>
      <c r="K232" s="4" t="s">
        <v>2785</v>
      </c>
      <c r="L232" s="4" t="s">
        <v>1968</v>
      </c>
      <c r="M232" s="4" t="s">
        <v>36</v>
      </c>
      <c r="N232" s="4" t="s">
        <v>2454</v>
      </c>
      <c r="O232" s="4" t="s">
        <v>37</v>
      </c>
      <c r="P232" s="4" t="s">
        <v>37</v>
      </c>
      <c r="Q232" s="10" t="s">
        <v>57</v>
      </c>
      <c r="R232" s="4" t="str">
        <f t="shared" si="15"/>
        <v>Santa Rosa 341, Lote 341 Zona Z, Ate, Lima, Lima, Perú</v>
      </c>
      <c r="S232" s="4">
        <v>-12.0156495</v>
      </c>
      <c r="T232" s="4">
        <v>-76.876780299999993</v>
      </c>
      <c r="U232" s="30">
        <f t="shared" si="16"/>
        <v>3.23</v>
      </c>
      <c r="V232" s="4" t="str">
        <f t="shared" si="17"/>
        <v>🟢 Muy Cerca (0-5 km)</v>
      </c>
      <c r="W232" s="19" t="str" cm="1">
        <f t="array" ref="W232">_xlfn.LET(_xlpm.lat_emp,S232,_xlpm.lon_emp,T232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la Cruz</v>
      </c>
      <c r="X232" s="19" t="str">
        <f>_xlfn.LET(_xlpm.paradero,W232,INDEX(PARADEROS_VALIDOS!$A$2:$A$67,MATCH(_xlpm.paradero,PARADEROS_VALIDOS!$C$2:$C$67,0)))</f>
        <v>RUTA 4B</v>
      </c>
      <c r="Y232" s="29" cm="1">
        <f t="array" ref="Y232">_xlfn.LET(_xlpm.lat_emp,S232,_xlpm.lon_emp,T232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0.9</v>
      </c>
      <c r="Z232" s="4" t="str">
        <f t="shared" si="18"/>
        <v>🟢 Muy Cerca (0-1 km)</v>
      </c>
      <c r="AA232" s="4"/>
      <c r="AB232" s="4"/>
      <c r="AC232" s="49">
        <v>-11.997563</v>
      </c>
      <c r="AD232" s="49">
        <v>-76.900062000000005</v>
      </c>
      <c r="AE232" s="19" t="str">
        <f>IFERROR(VLOOKUP(C232,tdcargo[],2,FALSE),"DESCONOCIDO")</f>
        <v>OPERARIO</v>
      </c>
    </row>
    <row r="233" spans="1:31" hidden="1" x14ac:dyDescent="0.35">
      <c r="A233" s="8">
        <v>61165853</v>
      </c>
      <c r="B233" s="4" t="s">
        <v>2790</v>
      </c>
      <c r="C233" s="4" t="s">
        <v>1971</v>
      </c>
      <c r="D233" s="5">
        <v>46069</v>
      </c>
      <c r="E233" s="4" t="s">
        <v>31</v>
      </c>
      <c r="F233" s="4" t="s">
        <v>148</v>
      </c>
      <c r="G233" s="4" t="s">
        <v>2791</v>
      </c>
      <c r="H233" s="4" t="s">
        <v>1956</v>
      </c>
      <c r="I233" s="4" t="s">
        <v>1968</v>
      </c>
      <c r="J233" s="4" t="s">
        <v>1968</v>
      </c>
      <c r="K233" s="4" t="s">
        <v>2347</v>
      </c>
      <c r="L233" s="4" t="s">
        <v>1184</v>
      </c>
      <c r="M233" s="4" t="s">
        <v>36</v>
      </c>
      <c r="N233" s="4" t="s">
        <v>2792</v>
      </c>
      <c r="O233" s="4" t="s">
        <v>37</v>
      </c>
      <c r="P233" s="4" t="s">
        <v>37</v>
      </c>
      <c r="Q233" s="10" t="s">
        <v>76</v>
      </c>
      <c r="R233" s="4" t="str">
        <f t="shared" si="15"/>
        <v>Pasaje Begonias, Lote 4, Mz. O EL SOL DE JICAMARCA, Lurigancho, Lima, Lima, Perú</v>
      </c>
      <c r="S233" s="4">
        <v>-11.9783613</v>
      </c>
      <c r="T233" s="4">
        <v>-76.925780799999998</v>
      </c>
      <c r="U233" s="30">
        <f t="shared" si="16"/>
        <v>3.52</v>
      </c>
      <c r="V233" s="4" t="str">
        <f t="shared" si="17"/>
        <v>🟢 Muy Cerca (0-5 km)</v>
      </c>
      <c r="W233" s="19" t="str" cm="1">
        <f t="array" ref="W233">_xlfn.LET(_xlpm.lat_emp,S233,_xlpm.lon_emp,T233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233" s="19" t="str">
        <f>_xlfn.LET(_xlpm.paradero,W233,INDEX(PARADEROS_VALIDOS!$A$2:$A$67,MATCH(_xlpm.paradero,PARADEROS_VALIDOS!$C$2:$C$67,0)))</f>
        <v>RUTA 2</v>
      </c>
      <c r="Y233" s="29" cm="1">
        <f t="array" ref="Y233">_xlfn.LET(_xlpm.lat_emp,S233,_xlpm.lon_emp,T233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2.98</v>
      </c>
      <c r="Z233" s="4" t="str">
        <f t="shared" si="18"/>
        <v>🟡 Cerca (1-3 km)</v>
      </c>
      <c r="AA233" s="4"/>
      <c r="AB233" s="4"/>
      <c r="AC233" s="49">
        <v>-11.997563</v>
      </c>
      <c r="AD233" s="49">
        <v>-76.900062000000005</v>
      </c>
      <c r="AE233" s="19" t="str">
        <f>IFERROR(VLOOKUP(C233,tdcargo[],2,FALSE),"DESCONOCIDO")</f>
        <v>OPERARIO</v>
      </c>
    </row>
    <row r="234" spans="1:31" hidden="1" x14ac:dyDescent="0.35">
      <c r="A234" s="8">
        <v>71660966</v>
      </c>
      <c r="B234" s="4" t="s">
        <v>2793</v>
      </c>
      <c r="C234" s="4" t="s">
        <v>1971</v>
      </c>
      <c r="D234" s="5">
        <v>46069</v>
      </c>
      <c r="E234" s="4" t="s">
        <v>31</v>
      </c>
      <c r="F234" s="4" t="s">
        <v>34</v>
      </c>
      <c r="G234" s="4" t="s">
        <v>1510</v>
      </c>
      <c r="H234" s="4" t="s">
        <v>2171</v>
      </c>
      <c r="I234" s="4" t="s">
        <v>1968</v>
      </c>
      <c r="J234" s="4" t="s">
        <v>1981</v>
      </c>
      <c r="K234" s="4" t="s">
        <v>2171</v>
      </c>
      <c r="L234" s="4" t="s">
        <v>1278</v>
      </c>
      <c r="M234" s="4" t="s">
        <v>36</v>
      </c>
      <c r="N234" s="4" t="s">
        <v>1484</v>
      </c>
      <c r="O234" s="4" t="s">
        <v>37</v>
      </c>
      <c r="P234" s="4" t="s">
        <v>37</v>
      </c>
      <c r="Q234" s="10" t="s">
        <v>57</v>
      </c>
      <c r="R234" s="4" t="str">
        <f t="shared" si="15"/>
        <v>Avenida Primavera 3, Int. 6, Lote 3, Mz. A GLORIA GRANDE, Ate, Lima, Lima, Perú</v>
      </c>
      <c r="S234" s="4">
        <v>-12.007360800000001</v>
      </c>
      <c r="T234" s="4">
        <v>-76.850026299999996</v>
      </c>
      <c r="U234" s="30">
        <f t="shared" si="16"/>
        <v>5.55</v>
      </c>
      <c r="V234" s="4" t="str">
        <f t="shared" si="17"/>
        <v>🟡 Cerca (5-10 km)</v>
      </c>
      <c r="W234" s="19" t="str" cm="1">
        <f t="array" ref="W234">_xlfn.LET(_xlpm.lat_emp,S234,_xlpm.lon_emp,T234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Gloria Grande</v>
      </c>
      <c r="X234" s="19" t="str">
        <f>_xlfn.LET(_xlpm.paradero,W234,INDEX(PARADEROS_VALIDOS!$A$2:$A$67,MATCH(_xlpm.paradero,PARADEROS_VALIDOS!$C$2:$C$67,0)))</f>
        <v>RUTA 5B</v>
      </c>
      <c r="Y234" s="29" cm="1">
        <f t="array" ref="Y234">_xlfn.LET(_xlpm.lat_emp,S234,_xlpm.lon_emp,T234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0.17</v>
      </c>
      <c r="Z234" s="4" t="str">
        <f t="shared" si="18"/>
        <v>🟢 Muy Cerca (0-1 km)</v>
      </c>
      <c r="AA234" s="4"/>
      <c r="AB234" s="4"/>
      <c r="AC234" s="49">
        <v>-11.997563</v>
      </c>
      <c r="AD234" s="49">
        <v>-76.900062000000005</v>
      </c>
      <c r="AE234" s="19" t="str">
        <f>IFERROR(VLOOKUP(C234,tdcargo[],2,FALSE),"DESCONOCIDO")</f>
        <v>OPERARIO</v>
      </c>
    </row>
    <row r="235" spans="1:31" hidden="1" x14ac:dyDescent="0.35">
      <c r="A235" s="8">
        <v>61122933</v>
      </c>
      <c r="B235" s="4" t="s">
        <v>2794</v>
      </c>
      <c r="C235" s="4" t="s">
        <v>1971</v>
      </c>
      <c r="D235" s="5">
        <v>46069</v>
      </c>
      <c r="E235" s="4" t="s">
        <v>31</v>
      </c>
      <c r="F235" s="4" t="s">
        <v>82</v>
      </c>
      <c r="G235" s="4" t="s">
        <v>2795</v>
      </c>
      <c r="H235" s="4" t="s">
        <v>2796</v>
      </c>
      <c r="I235" s="4" t="s">
        <v>1968</v>
      </c>
      <c r="J235" s="4" t="s">
        <v>1968</v>
      </c>
      <c r="K235" s="4" t="s">
        <v>2058</v>
      </c>
      <c r="L235" s="4" t="s">
        <v>2505</v>
      </c>
      <c r="M235" s="4" t="s">
        <v>36</v>
      </c>
      <c r="N235" s="4" t="s">
        <v>2797</v>
      </c>
      <c r="O235" s="4" t="s">
        <v>37</v>
      </c>
      <c r="P235" s="4" t="s">
        <v>37</v>
      </c>
      <c r="Q235" s="10" t="s">
        <v>76</v>
      </c>
      <c r="R235" s="4" t="str">
        <f t="shared" si="15"/>
        <v>Calle Terrazas Carap Lt 7 9806, Lote 7, Mz. W1 TERRAZAS DE CARAPON, Lurigancho, Lima, Lima, Perú</v>
      </c>
      <c r="S235" s="4">
        <v>-11.9984202</v>
      </c>
      <c r="T235" s="4">
        <v>-76.854526100000001</v>
      </c>
      <c r="U235" s="30">
        <f t="shared" si="16"/>
        <v>4.95</v>
      </c>
      <c r="V235" s="4" t="str">
        <f t="shared" si="17"/>
        <v>🟢 Muy Cerca (0-5 km)</v>
      </c>
      <c r="W235" s="19" t="str" cm="1">
        <f t="array" ref="W235">_xlfn.LET(_xlpm.lat_emp,S235,_xlpm.lon_emp,T235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Gloria Grande</v>
      </c>
      <c r="X235" s="19" t="str">
        <f>_xlfn.LET(_xlpm.paradero,W235,INDEX(PARADEROS_VALIDOS!$A$2:$A$67,MATCH(_xlpm.paradero,PARADEROS_VALIDOS!$C$2:$C$67,0)))</f>
        <v>RUTA 5B</v>
      </c>
      <c r="Y235" s="29" cm="1">
        <f t="array" ref="Y235">_xlfn.LET(_xlpm.lat_emp,S235,_xlpm.lon_emp,T235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1.06</v>
      </c>
      <c r="Z235" s="4" t="str">
        <f t="shared" si="18"/>
        <v>🟡 Cerca (1-3 km)</v>
      </c>
      <c r="AA235" s="4"/>
      <c r="AB235" s="4"/>
      <c r="AC235" s="49">
        <v>-11.997563</v>
      </c>
      <c r="AD235" s="49">
        <v>-76.900062000000005</v>
      </c>
      <c r="AE235" s="19" t="str">
        <f>IFERROR(VLOOKUP(C235,tdcargo[],2,FALSE),"DESCONOCIDO")</f>
        <v>OPERARIO</v>
      </c>
    </row>
    <row r="236" spans="1:31" hidden="1" x14ac:dyDescent="0.35">
      <c r="A236" s="8">
        <v>10114194</v>
      </c>
      <c r="B236" s="4" t="s">
        <v>2798</v>
      </c>
      <c r="C236" s="4" t="s">
        <v>1971</v>
      </c>
      <c r="D236" s="5">
        <v>42205</v>
      </c>
      <c r="E236" s="4" t="s">
        <v>31</v>
      </c>
      <c r="F236" s="4" t="s">
        <v>34</v>
      </c>
      <c r="G236" s="4" t="s">
        <v>2799</v>
      </c>
      <c r="H236" s="4" t="s">
        <v>1956</v>
      </c>
      <c r="I236" s="4" t="s">
        <v>1968</v>
      </c>
      <c r="J236" s="4" t="s">
        <v>1968</v>
      </c>
      <c r="K236" s="4" t="s">
        <v>1968</v>
      </c>
      <c r="L236" s="4" t="s">
        <v>1968</v>
      </c>
      <c r="M236" s="4" t="s">
        <v>88</v>
      </c>
      <c r="N236" s="4" t="s">
        <v>279</v>
      </c>
      <c r="O236" s="4" t="s">
        <v>37</v>
      </c>
      <c r="P236" s="4" t="s">
        <v>37</v>
      </c>
      <c r="Q236" s="10" t="s">
        <v>38</v>
      </c>
      <c r="R236" s="4" t="str">
        <f t="shared" si="15"/>
        <v>Avenida Principal, A.H. Asentamiento Humano Campoy, San Juan De Lurigancho, Lima, Lima, Perú</v>
      </c>
      <c r="S236" s="4">
        <v>-12.023521199999999</v>
      </c>
      <c r="T236" s="4">
        <v>-76.965983300000005</v>
      </c>
      <c r="U236" s="30">
        <f t="shared" si="16"/>
        <v>7.73</v>
      </c>
      <c r="V236" s="4" t="str">
        <f t="shared" si="17"/>
        <v>🟡 Cerca (5-10 km)</v>
      </c>
      <c r="W236" s="19" t="str" cm="1">
        <f t="array" ref="W236">_xlfn.LET(_xlpm.lat_emp,S236,_xlpm.lon_emp,T236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Tottus Campoy</v>
      </c>
      <c r="X236" s="19" t="str">
        <f>_xlfn.LET(_xlpm.paradero,W236,INDEX(PARADEROS_VALIDOS!$A$2:$A$67,MATCH(_xlpm.paradero,PARADEROS_VALIDOS!$C$2:$C$67,0)))</f>
        <v>RUTA 6C</v>
      </c>
      <c r="Y236" s="29" cm="1">
        <f t="array" ref="Y236">_xlfn.LET(_xlpm.lat_emp,S236,_xlpm.lon_emp,T236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0.78</v>
      </c>
      <c r="Z236" s="4" t="str">
        <f t="shared" si="18"/>
        <v>🟢 Muy Cerca (0-1 km)</v>
      </c>
      <c r="AA236" s="4"/>
      <c r="AB236" s="4"/>
      <c r="AC236" s="49">
        <v>-11.997563</v>
      </c>
      <c r="AD236" s="49">
        <v>-76.900062000000005</v>
      </c>
      <c r="AE236" s="19" t="str">
        <f>IFERROR(VLOOKUP(C236,tdcargo[],2,FALSE),"DESCONOCIDO")</f>
        <v>OPERARIO</v>
      </c>
    </row>
    <row r="237" spans="1:31" hidden="1" x14ac:dyDescent="0.35">
      <c r="A237" s="8">
        <v>48037128</v>
      </c>
      <c r="B237" s="4" t="s">
        <v>2800</v>
      </c>
      <c r="C237" s="4" t="s">
        <v>1971</v>
      </c>
      <c r="D237" s="5">
        <v>44914</v>
      </c>
      <c r="E237" s="4" t="s">
        <v>31</v>
      </c>
      <c r="F237" s="4" t="s">
        <v>36</v>
      </c>
      <c r="G237" s="4" t="s">
        <v>2801</v>
      </c>
      <c r="H237" s="4" t="s">
        <v>1956</v>
      </c>
      <c r="I237" s="4" t="s">
        <v>1968</v>
      </c>
      <c r="J237" s="4" t="s">
        <v>1968</v>
      </c>
      <c r="K237" s="4" t="s">
        <v>1968</v>
      </c>
      <c r="L237" s="4" t="s">
        <v>1968</v>
      </c>
      <c r="M237" s="4" t="s">
        <v>66</v>
      </c>
      <c r="N237" s="4" t="s">
        <v>2802</v>
      </c>
      <c r="O237" s="4" t="s">
        <v>37</v>
      </c>
      <c r="P237" s="4" t="s">
        <v>37</v>
      </c>
      <c r="Q237" s="10" t="s">
        <v>57</v>
      </c>
      <c r="R237" s="4" t="str">
        <f t="shared" si="15"/>
        <v>Asco. Prop. El Refugio, U.V. Unidad Vecinal El Refugio, Ate, Lima, Lima, Perú</v>
      </c>
      <c r="S237" s="4">
        <v>-11.9995143</v>
      </c>
      <c r="T237" s="4">
        <v>-76.836172099999999</v>
      </c>
      <c r="U237" s="30">
        <f t="shared" si="16"/>
        <v>6.95</v>
      </c>
      <c r="V237" s="4" t="str">
        <f t="shared" si="17"/>
        <v>🟡 Cerca (5-10 km)</v>
      </c>
      <c r="W237" s="19" t="str" cm="1">
        <f t="array" ref="W237">_xlfn.LET(_xlpm.lat_emp,S237,_xlpm.lon_emp,T237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Huaycán</v>
      </c>
      <c r="X237" s="19" t="str">
        <f>_xlfn.LET(_xlpm.paradero,W237,INDEX(PARADEROS_VALIDOS!$A$2:$A$67,MATCH(_xlpm.paradero,PARADEROS_VALIDOS!$C$2:$C$67,0)))</f>
        <v>RUTA 5B</v>
      </c>
      <c r="Y237" s="29" cm="1">
        <f t="array" ref="Y237">_xlfn.LET(_xlpm.lat_emp,S237,_xlpm.lon_emp,T237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0.27</v>
      </c>
      <c r="Z237" s="4" t="str">
        <f t="shared" si="18"/>
        <v>🟢 Muy Cerca (0-1 km)</v>
      </c>
      <c r="AA237" s="4"/>
      <c r="AB237" s="4"/>
      <c r="AC237" s="49">
        <v>-11.997563</v>
      </c>
      <c r="AD237" s="49">
        <v>-76.900062000000005</v>
      </c>
      <c r="AE237" s="19" t="str">
        <f>IFERROR(VLOOKUP(C237,tdcargo[],2,FALSE),"DESCONOCIDO")</f>
        <v>OPERARIO</v>
      </c>
    </row>
    <row r="238" spans="1:31" x14ac:dyDescent="0.35">
      <c r="A238" s="8">
        <v>71837955</v>
      </c>
      <c r="B238" s="4" t="s">
        <v>2803</v>
      </c>
      <c r="C238" s="4" t="s">
        <v>1971</v>
      </c>
      <c r="D238" s="5">
        <v>45810</v>
      </c>
      <c r="E238" s="4" t="s">
        <v>31</v>
      </c>
      <c r="F238" s="4" t="s">
        <v>82</v>
      </c>
      <c r="G238" s="4" t="s">
        <v>2804</v>
      </c>
      <c r="H238" s="4" t="s">
        <v>1956</v>
      </c>
      <c r="I238" s="4" t="s">
        <v>1968</v>
      </c>
      <c r="J238" s="4" t="s">
        <v>1968</v>
      </c>
      <c r="K238" s="4" t="s">
        <v>1981</v>
      </c>
      <c r="L238" s="4" t="s">
        <v>1974</v>
      </c>
      <c r="M238" s="4" t="s">
        <v>36</v>
      </c>
      <c r="N238" s="4" t="s">
        <v>2805</v>
      </c>
      <c r="O238" s="4" t="s">
        <v>37</v>
      </c>
      <c r="P238" s="4" t="s">
        <v>37</v>
      </c>
      <c r="Q238" s="10" t="s">
        <v>37</v>
      </c>
      <c r="R238" s="4" t="str">
        <f t="shared" si="15"/>
        <v>Calle 1Â° De Mayo, Lote 6, Mz. B Los Jazmines Mz, Lima, Lima, Lima, Perú</v>
      </c>
      <c r="S238" s="4">
        <v>-12.0524436</v>
      </c>
      <c r="T238" s="4">
        <v>-76.976939099999996</v>
      </c>
      <c r="U238" s="30">
        <f t="shared" si="16"/>
        <v>10.35</v>
      </c>
      <c r="V238" s="4" t="str">
        <f t="shared" si="17"/>
        <v>🟠 Moderada (10-20 km)</v>
      </c>
      <c r="W238" s="19" t="str" cm="1">
        <f t="array" ref="W238">_xlfn.LET(_xlpm.lat_emp,S238,_xlpm.lon_emp,T238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Puente Santa Anita</v>
      </c>
      <c r="X238" s="19" t="str">
        <f>_xlfn.LET(_xlpm.paradero,W238,INDEX(PARADEROS_VALIDOS!$A$2:$A$67,MATCH(_xlpm.paradero,PARADEROS_VALIDOS!$C$2:$C$67,0)))</f>
        <v>RUTA 7</v>
      </c>
      <c r="Y238" s="29" cm="1">
        <f t="array" ref="Y238">_xlfn.LET(_xlpm.lat_emp,S238,_xlpm.lon_emp,T238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0.68</v>
      </c>
      <c r="Z238" s="4" t="str">
        <f t="shared" si="18"/>
        <v>🟢 Muy Cerca (0-1 km)</v>
      </c>
      <c r="AA238" s="4"/>
      <c r="AB238" s="4"/>
      <c r="AC238" s="49">
        <v>-11.997563</v>
      </c>
      <c r="AD238" s="49">
        <v>-76.900062000000005</v>
      </c>
      <c r="AE238" s="19" t="str">
        <f>IFERROR(VLOOKUP(C238,tdcargo[],2,FALSE),"DESCONOCIDO")</f>
        <v>OPERARIO</v>
      </c>
    </row>
    <row r="239" spans="1:31" x14ac:dyDescent="0.35">
      <c r="A239" s="8">
        <v>40484612</v>
      </c>
      <c r="B239" s="4" t="s">
        <v>2806</v>
      </c>
      <c r="C239" s="4" t="s">
        <v>1971</v>
      </c>
      <c r="D239" s="5">
        <v>41458</v>
      </c>
      <c r="E239" s="4" t="s">
        <v>31</v>
      </c>
      <c r="F239" s="4" t="s">
        <v>4613</v>
      </c>
      <c r="G239" s="4" t="s">
        <v>4614</v>
      </c>
      <c r="H239" s="4">
        <v>127</v>
      </c>
      <c r="I239" s="4" t="s">
        <v>1968</v>
      </c>
      <c r="J239" s="4" t="s">
        <v>1968</v>
      </c>
      <c r="K239" s="4" t="s">
        <v>1968</v>
      </c>
      <c r="L239" s="4" t="s">
        <v>1968</v>
      </c>
      <c r="M239" s="4" t="s">
        <v>36</v>
      </c>
      <c r="N239" s="4"/>
      <c r="O239" s="4" t="s">
        <v>37</v>
      </c>
      <c r="P239" s="4" t="s">
        <v>37</v>
      </c>
      <c r="Q239" s="10" t="s">
        <v>4615</v>
      </c>
      <c r="R239" s="4" t="str">
        <f t="shared" si="15"/>
        <v>Jr 2 de mayo 127, Barranco, Lima, Lima, Perú</v>
      </c>
      <c r="S239" s="4">
        <v>-12.151642000000001</v>
      </c>
      <c r="T239" s="4">
        <v>-77.020439999999994</v>
      </c>
      <c r="U239" s="30">
        <f t="shared" si="16"/>
        <v>21.56</v>
      </c>
      <c r="V239" s="4" t="str">
        <f t="shared" si="17"/>
        <v>🔴 Lejos (&gt;20 km)</v>
      </c>
      <c r="W239" s="19" t="str" cm="1">
        <f t="array" ref="W239">_xlfn.LET(_xlpm.lat_emp,S239,_xlpm.lon_emp,T239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Tottus Atocongo (Auxiliar)</v>
      </c>
      <c r="X239" s="19" t="str">
        <f>_xlfn.LET(_xlpm.paradero,W239,INDEX(PARADEROS_VALIDOS!$A$2:$A$67,MATCH(_xlpm.paradero,PARADEROS_VALIDOS!$C$2:$C$67,0)))</f>
        <v>RUTA 7</v>
      </c>
      <c r="Y239" s="29" cm="1">
        <f t="array" ref="Y239">_xlfn.LET(_xlpm.lat_emp,S239,_xlpm.lon_emp,T239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4.24</v>
      </c>
      <c r="Z239" s="4" t="str">
        <f t="shared" si="18"/>
        <v>🟠 Moderada (3-5 km)</v>
      </c>
      <c r="AA239" s="4"/>
      <c r="AB239" s="4"/>
      <c r="AC239" s="49">
        <v>-11.997563</v>
      </c>
      <c r="AD239" s="49">
        <v>-76.900062000000005</v>
      </c>
      <c r="AE239" s="19" t="str">
        <f>IFERROR(VLOOKUP(C239,tdcargo[],2,FALSE),"DESCONOCIDO")</f>
        <v>OPERARIO</v>
      </c>
    </row>
    <row r="240" spans="1:31" x14ac:dyDescent="0.35">
      <c r="A240" s="8">
        <v>71336045</v>
      </c>
      <c r="B240" s="4" t="s">
        <v>2807</v>
      </c>
      <c r="C240" s="4" t="s">
        <v>1971</v>
      </c>
      <c r="D240" s="5">
        <v>45579</v>
      </c>
      <c r="E240" s="4" t="s">
        <v>31</v>
      </c>
      <c r="F240" s="4" t="s">
        <v>36</v>
      </c>
      <c r="G240" s="4" t="s">
        <v>2808</v>
      </c>
      <c r="H240" s="4" t="s">
        <v>1956</v>
      </c>
      <c r="I240" s="4" t="s">
        <v>1968</v>
      </c>
      <c r="J240" s="4" t="s">
        <v>1968</v>
      </c>
      <c r="K240" s="4" t="s">
        <v>1968</v>
      </c>
      <c r="L240" s="4" t="s">
        <v>1968</v>
      </c>
      <c r="M240" s="4" t="s">
        <v>36</v>
      </c>
      <c r="N240" s="4" t="s">
        <v>2809</v>
      </c>
      <c r="O240" s="4" t="s">
        <v>37</v>
      </c>
      <c r="P240" s="4" t="s">
        <v>37</v>
      </c>
      <c r="Q240" s="10" t="s">
        <v>76</v>
      </c>
      <c r="R240" s="4" t="str">
        <f t="shared" si="15"/>
        <v>Jr Pinos Las Viã‘As, Lurigancho, Lima, Lima, Perú</v>
      </c>
      <c r="S240" s="4">
        <v>-12.078585</v>
      </c>
      <c r="T240" s="4">
        <v>-76.967921099999998</v>
      </c>
      <c r="U240" s="30">
        <f t="shared" si="16"/>
        <v>11.65</v>
      </c>
      <c r="V240" s="4" t="str">
        <f t="shared" si="17"/>
        <v>🟠 Moderada (10-20 km)</v>
      </c>
      <c r="W240" s="19" t="str" cm="1">
        <f t="array" ref="W240">_xlfn.LET(_xlpm.lat_emp,S240,_xlpm.lon_emp,T240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Javier Prado</v>
      </c>
      <c r="X240" s="19" t="str">
        <f>_xlfn.LET(_xlpm.paradero,W240,INDEX(PARADEROS_VALIDOS!$A$2:$A$67,MATCH(_xlpm.paradero,PARADEROS_VALIDOS!$C$2:$C$67,0)))</f>
        <v>RUTA 7</v>
      </c>
      <c r="Y240" s="29" cm="1">
        <f t="array" ref="Y240">_xlfn.LET(_xlpm.lat_emp,S240,_xlpm.lon_emp,T240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1.34</v>
      </c>
      <c r="Z240" s="4" t="str">
        <f t="shared" si="18"/>
        <v>🟡 Cerca (1-3 km)</v>
      </c>
      <c r="AA240" s="4"/>
      <c r="AB240" s="4"/>
      <c r="AC240" s="49">
        <v>-11.997563</v>
      </c>
      <c r="AD240" s="49">
        <v>-76.900062000000005</v>
      </c>
      <c r="AE240" s="19" t="str">
        <f>IFERROR(VLOOKUP(C240,tdcargo[],2,FALSE),"DESCONOCIDO")</f>
        <v>OPERARIO</v>
      </c>
    </row>
    <row r="241" spans="1:31" hidden="1" x14ac:dyDescent="0.35">
      <c r="A241" s="8">
        <v>48087562</v>
      </c>
      <c r="B241" s="4" t="s">
        <v>2810</v>
      </c>
      <c r="C241" s="4" t="s">
        <v>1971</v>
      </c>
      <c r="D241" s="5">
        <v>45901</v>
      </c>
      <c r="E241" s="4" t="s">
        <v>31</v>
      </c>
      <c r="F241" s="4" t="s">
        <v>148</v>
      </c>
      <c r="G241" s="4" t="s">
        <v>2460</v>
      </c>
      <c r="H241" s="4" t="s">
        <v>2811</v>
      </c>
      <c r="I241" s="4" t="s">
        <v>1968</v>
      </c>
      <c r="J241" s="4" t="s">
        <v>1968</v>
      </c>
      <c r="K241" s="4" t="s">
        <v>1968</v>
      </c>
      <c r="L241" s="4" t="s">
        <v>1968</v>
      </c>
      <c r="M241" s="4" t="s">
        <v>36</v>
      </c>
      <c r="N241" s="4" t="s">
        <v>227</v>
      </c>
      <c r="O241" s="4" t="s">
        <v>37</v>
      </c>
      <c r="P241" s="4" t="s">
        <v>37</v>
      </c>
      <c r="Q241" s="10" t="s">
        <v>57</v>
      </c>
      <c r="R241" s="4" t="str">
        <f t="shared" si="15"/>
        <v>Pasaje Huanchihuaylas 198 Huachipa, Ate, Lima, Lima, Perú</v>
      </c>
      <c r="S241" s="4">
        <v>-12.0028045</v>
      </c>
      <c r="T241" s="4">
        <v>-76.833937899999995</v>
      </c>
      <c r="U241" s="30">
        <f t="shared" si="16"/>
        <v>7.22</v>
      </c>
      <c r="V241" s="4" t="str">
        <f t="shared" si="17"/>
        <v>🟡 Cerca (5-10 km)</v>
      </c>
      <c r="W241" s="19" t="str" cm="1">
        <f t="array" ref="W241">_xlfn.LET(_xlpm.lat_emp,S241,_xlpm.lon_emp,T241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Huaycán</v>
      </c>
      <c r="X241" s="19" t="str">
        <f>_xlfn.LET(_xlpm.paradero,W241,INDEX(PARADEROS_VALIDOS!$A$2:$A$67,MATCH(_xlpm.paradero,PARADEROS_VALIDOS!$C$2:$C$67,0)))</f>
        <v>RUTA 5B</v>
      </c>
      <c r="Y241" s="29" cm="1">
        <f t="array" ref="Y241">_xlfn.LET(_xlpm.lat_emp,S241,_xlpm.lon_emp,T241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0.56999999999999995</v>
      </c>
      <c r="Z241" s="4" t="str">
        <f t="shared" si="18"/>
        <v>🟢 Muy Cerca (0-1 km)</v>
      </c>
      <c r="AA241" s="4"/>
      <c r="AB241" s="4"/>
      <c r="AC241" s="49">
        <v>-11.997563</v>
      </c>
      <c r="AD241" s="49">
        <v>-76.900062000000005</v>
      </c>
      <c r="AE241" s="19" t="str">
        <f>IFERROR(VLOOKUP(C241,tdcargo[],2,FALSE),"DESCONOCIDO")</f>
        <v>OPERARIO</v>
      </c>
    </row>
    <row r="242" spans="1:31" hidden="1" x14ac:dyDescent="0.35">
      <c r="A242" s="8">
        <v>75150237</v>
      </c>
      <c r="B242" s="4" t="s">
        <v>2812</v>
      </c>
      <c r="C242" s="4" t="s">
        <v>1971</v>
      </c>
      <c r="D242" s="5">
        <v>45763</v>
      </c>
      <c r="E242" s="4" t="s">
        <v>31</v>
      </c>
      <c r="F242" s="4" t="s">
        <v>34</v>
      </c>
      <c r="G242" s="4" t="s">
        <v>2813</v>
      </c>
      <c r="H242" s="4" t="s">
        <v>2814</v>
      </c>
      <c r="I242" s="4" t="s">
        <v>1968</v>
      </c>
      <c r="J242" s="4" t="s">
        <v>1968</v>
      </c>
      <c r="K242" s="4" t="s">
        <v>2108</v>
      </c>
      <c r="L242" s="4" t="s">
        <v>2184</v>
      </c>
      <c r="M242" s="4" t="s">
        <v>36</v>
      </c>
      <c r="N242" s="4" t="s">
        <v>2131</v>
      </c>
      <c r="O242" s="4" t="s">
        <v>37</v>
      </c>
      <c r="P242" s="4" t="s">
        <v>37</v>
      </c>
      <c r="Q242" s="10" t="s">
        <v>76</v>
      </c>
      <c r="R242" s="4" t="str">
        <f t="shared" si="15"/>
        <v>Avenida Juan Jose Poblete Vidal 1545, Lote 19, Mz. P Calle Alameda, Lurigancho, Lima, Lima, Perú</v>
      </c>
      <c r="S242" s="4">
        <v>-11.9913629</v>
      </c>
      <c r="T242" s="4">
        <v>-76.945452799999998</v>
      </c>
      <c r="U242" s="30">
        <f t="shared" si="16"/>
        <v>4.9800000000000004</v>
      </c>
      <c r="V242" s="4" t="str">
        <f t="shared" si="17"/>
        <v>🟢 Muy Cerca (0-5 km)</v>
      </c>
      <c r="W242" s="19" t="str" cm="1">
        <f t="array" ref="W242">_xlfn.LET(_xlpm.lat_emp,S242,_xlpm.lon_emp,T242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Estadio Huachipa</v>
      </c>
      <c r="X242" s="19" t="str">
        <f>_xlfn.LET(_xlpm.paradero,W242,INDEX(PARADEROS_VALIDOS!$A$2:$A$67,MATCH(_xlpm.paradero,PARADEROS_VALIDOS!$C$2:$C$67,0)))</f>
        <v>RUTA 5C</v>
      </c>
      <c r="Y242" s="29" cm="1">
        <f t="array" ref="Y242">_xlfn.LET(_xlpm.lat_emp,S242,_xlpm.lon_emp,T242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4.05</v>
      </c>
      <c r="Z242" s="4" t="str">
        <f t="shared" si="18"/>
        <v>🟠 Moderada (3-5 km)</v>
      </c>
      <c r="AA242" s="4"/>
      <c r="AB242" s="4"/>
      <c r="AC242" s="49">
        <v>-11.997563</v>
      </c>
      <c r="AD242" s="49">
        <v>-76.900062000000005</v>
      </c>
      <c r="AE242" s="19" t="str">
        <f>IFERROR(VLOOKUP(C242,tdcargo[],2,FALSE),"DESCONOCIDO")</f>
        <v>OPERARIO</v>
      </c>
    </row>
    <row r="243" spans="1:31" hidden="1" x14ac:dyDescent="0.35">
      <c r="A243" s="8">
        <v>75320968</v>
      </c>
      <c r="B243" s="4" t="s">
        <v>2819</v>
      </c>
      <c r="C243" s="4" t="s">
        <v>1971</v>
      </c>
      <c r="D243" s="5">
        <v>45931</v>
      </c>
      <c r="E243" s="4" t="s">
        <v>31</v>
      </c>
      <c r="F243" s="4" t="s">
        <v>82</v>
      </c>
      <c r="G243" s="4" t="s">
        <v>644</v>
      </c>
      <c r="H243" s="4" t="s">
        <v>2118</v>
      </c>
      <c r="I243" s="4" t="s">
        <v>1968</v>
      </c>
      <c r="J243" s="4" t="s">
        <v>1968</v>
      </c>
      <c r="K243" s="4" t="s">
        <v>2118</v>
      </c>
      <c r="L243" s="4" t="s">
        <v>2019</v>
      </c>
      <c r="M243" s="4" t="s">
        <v>36</v>
      </c>
      <c r="N243" s="4" t="s">
        <v>279</v>
      </c>
      <c r="O243" s="4" t="s">
        <v>37</v>
      </c>
      <c r="P243" s="4" t="s">
        <v>37</v>
      </c>
      <c r="Q243" s="10" t="s">
        <v>38</v>
      </c>
      <c r="R243" s="4" t="str">
        <f t="shared" si="15"/>
        <v>Calle Los Girasoles 5, Lote 5, Mz. E Campoy, San Juan De Lurigancho, Lima, Lima, Perú</v>
      </c>
      <c r="S243" s="4">
        <v>-12.016489399999999</v>
      </c>
      <c r="T243" s="4">
        <v>-76.990525599999998</v>
      </c>
      <c r="U243" s="30">
        <f t="shared" si="16"/>
        <v>10.06</v>
      </c>
      <c r="V243" s="4" t="str">
        <f t="shared" si="17"/>
        <v>🟠 Moderada (10-20 km)</v>
      </c>
      <c r="W243" s="19" t="str" cm="1">
        <f t="array" ref="W243">_xlfn.LET(_xlpm.lat_emp,S243,_xlpm.lon_emp,T243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Pajatén (Pajatén/Av. Malecón Checa)</v>
      </c>
      <c r="X243" s="19" t="str">
        <f>_xlfn.LET(_xlpm.paradero,W243,INDEX(PARADEROS_VALIDOS!$A$2:$A$67,MATCH(_xlpm.paradero,PARADEROS_VALIDOS!$C$2:$C$67,0)))</f>
        <v>RUTA 6C</v>
      </c>
      <c r="Y243" s="29" cm="1">
        <f t="array" ref="Y243">_xlfn.LET(_xlpm.lat_emp,S243,_xlpm.lon_emp,T243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0.74</v>
      </c>
      <c r="Z243" s="4" t="str">
        <f t="shared" si="18"/>
        <v>🟢 Muy Cerca (0-1 km)</v>
      </c>
      <c r="AA243" s="4"/>
      <c r="AB243" s="4"/>
      <c r="AC243" s="49">
        <v>-11.997563</v>
      </c>
      <c r="AD243" s="49">
        <v>-76.900062000000005</v>
      </c>
      <c r="AE243" s="19" t="str">
        <f>IFERROR(VLOOKUP(C243,tdcargo[],2,FALSE),"DESCONOCIDO")</f>
        <v>OPERARIO</v>
      </c>
    </row>
    <row r="244" spans="1:31" hidden="1" x14ac:dyDescent="0.35">
      <c r="A244" s="8">
        <v>60047724</v>
      </c>
      <c r="B244" s="4" t="s">
        <v>2820</v>
      </c>
      <c r="C244" s="4" t="s">
        <v>1971</v>
      </c>
      <c r="D244" s="5">
        <v>45677</v>
      </c>
      <c r="E244" s="4" t="s">
        <v>31</v>
      </c>
      <c r="F244" s="4" t="s">
        <v>36</v>
      </c>
      <c r="G244" s="4" t="s">
        <v>2821</v>
      </c>
      <c r="H244" s="4" t="s">
        <v>1956</v>
      </c>
      <c r="I244" s="4" t="s">
        <v>1968</v>
      </c>
      <c r="J244" s="4" t="s">
        <v>1968</v>
      </c>
      <c r="K244" s="4" t="s">
        <v>1968</v>
      </c>
      <c r="L244" s="4" t="s">
        <v>1968</v>
      </c>
      <c r="M244" s="4" t="s">
        <v>36</v>
      </c>
      <c r="N244" s="4" t="s">
        <v>2822</v>
      </c>
      <c r="O244" s="4" t="s">
        <v>37</v>
      </c>
      <c r="P244" s="4" t="s">
        <v>37</v>
      </c>
      <c r="Q244" s="10" t="s">
        <v>38</v>
      </c>
      <c r="R244" s="4" t="str">
        <f t="shared" si="15"/>
        <v>Agrup.Fam.6 De Febrero La Cruz De Canto Chico, San Juan De Lurigancho, Lima, Lima, Perú</v>
      </c>
      <c r="S244" s="4">
        <v>-12.007753599999999</v>
      </c>
      <c r="T244" s="4">
        <v>-77.019858499999998</v>
      </c>
      <c r="U244" s="30">
        <f t="shared" si="16"/>
        <v>13.08</v>
      </c>
      <c r="V244" s="4" t="str">
        <f t="shared" si="17"/>
        <v>🟠 Moderada (10-20 km)</v>
      </c>
      <c r="W244" s="19" t="str" cm="1">
        <f t="array" ref="W244">_xlfn.LET(_xlpm.lat_emp,S244,_xlpm.lon_emp,T244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Metro Hacienda</v>
      </c>
      <c r="X244" s="19" t="str">
        <f>_xlfn.LET(_xlpm.paradero,W244,INDEX(PARADEROS_VALIDOS!$A$2:$A$67,MATCH(_xlpm.paradero,PARADEROS_VALIDOS!$C$2:$C$67,0)))</f>
        <v>RUTA 6B</v>
      </c>
      <c r="Y244" s="29" cm="1">
        <f t="array" ref="Y244">_xlfn.LET(_xlpm.lat_emp,S244,_xlpm.lon_emp,T244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1.44</v>
      </c>
      <c r="Z244" s="4" t="str">
        <f t="shared" si="18"/>
        <v>🟡 Cerca (1-3 km)</v>
      </c>
      <c r="AA244" s="4"/>
      <c r="AB244" s="4"/>
      <c r="AC244" s="49">
        <v>-11.997563</v>
      </c>
      <c r="AD244" s="49">
        <v>-76.900062000000005</v>
      </c>
      <c r="AE244" s="19" t="str">
        <f>IFERROR(VLOOKUP(C244,tdcargo[],2,FALSE),"DESCONOCIDO")</f>
        <v>OPERARIO</v>
      </c>
    </row>
    <row r="245" spans="1:31" hidden="1" x14ac:dyDescent="0.35">
      <c r="A245" s="8">
        <v>73641295</v>
      </c>
      <c r="B245" s="4" t="s">
        <v>2823</v>
      </c>
      <c r="C245" s="4" t="s">
        <v>1971</v>
      </c>
      <c r="D245" s="5">
        <v>45691</v>
      </c>
      <c r="E245" s="4" t="s">
        <v>31</v>
      </c>
      <c r="F245" s="4" t="s">
        <v>82</v>
      </c>
      <c r="G245" s="4" t="s">
        <v>2824</v>
      </c>
      <c r="H245" s="4" t="s">
        <v>1956</v>
      </c>
      <c r="I245" s="4" t="s">
        <v>1968</v>
      </c>
      <c r="J245" s="4" t="s">
        <v>1968</v>
      </c>
      <c r="K245" s="4" t="s">
        <v>1968</v>
      </c>
      <c r="L245" s="4" t="s">
        <v>1968</v>
      </c>
      <c r="M245" s="4" t="s">
        <v>36</v>
      </c>
      <c r="N245" s="4" t="s">
        <v>1415</v>
      </c>
      <c r="O245" s="4" t="s">
        <v>37</v>
      </c>
      <c r="P245" s="4" t="s">
        <v>195</v>
      </c>
      <c r="Q245" s="10" t="s">
        <v>196</v>
      </c>
      <c r="R245" s="4" t="str">
        <f t="shared" si="15"/>
        <v>Calle Los Pelicanos Las Praderas, San Antonio, Huarochiri, Lima, Perú</v>
      </c>
      <c r="S245" s="4">
        <v>-11.940533</v>
      </c>
      <c r="T245" s="4">
        <v>-76.986685600000001</v>
      </c>
      <c r="U245" s="30">
        <f t="shared" si="16"/>
        <v>11.36</v>
      </c>
      <c r="V245" s="4" t="str">
        <f t="shared" si="17"/>
        <v>🟠 Moderada (10-20 km)</v>
      </c>
      <c r="W245" s="19" t="str" cm="1">
        <f t="array" ref="W245">_xlfn.LET(_xlpm.lat_emp,S245,_xlpm.lon_emp,T245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Acho</v>
      </c>
      <c r="X245" s="19" t="str">
        <f>_xlfn.LET(_xlpm.paradero,W245,INDEX(PARADEROS_VALIDOS!$A$2:$A$67,MATCH(_xlpm.paradero,PARADEROS_VALIDOS!$C$2:$C$67,0)))</f>
        <v>RUTA 8</v>
      </c>
      <c r="Y245" s="29" cm="1">
        <f t="array" ref="Y245">_xlfn.LET(_xlpm.lat_emp,S245,_xlpm.lon_emp,T245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</v>
      </c>
      <c r="Z245" s="4" t="str">
        <f t="shared" si="18"/>
        <v>🟠 Moderada (3-5 km)</v>
      </c>
      <c r="AA245" s="4"/>
      <c r="AB245" s="4"/>
      <c r="AC245" s="49">
        <v>-11.997563</v>
      </c>
      <c r="AD245" s="49">
        <v>-76.900062000000005</v>
      </c>
      <c r="AE245" s="19" t="str">
        <f>IFERROR(VLOOKUP(C245,tdcargo[],2,FALSE),"DESCONOCIDO")</f>
        <v>OPERARIO</v>
      </c>
    </row>
    <row r="246" spans="1:31" hidden="1" x14ac:dyDescent="0.35">
      <c r="A246" s="8">
        <v>44059211</v>
      </c>
      <c r="B246" s="4" t="s">
        <v>2825</v>
      </c>
      <c r="C246" s="4" t="s">
        <v>1971</v>
      </c>
      <c r="D246" s="5">
        <v>45852</v>
      </c>
      <c r="E246" s="4" t="s">
        <v>31</v>
      </c>
      <c r="F246" s="4" t="s">
        <v>36</v>
      </c>
      <c r="G246" s="4" t="s">
        <v>1915</v>
      </c>
      <c r="H246" s="4" t="s">
        <v>1956</v>
      </c>
      <c r="I246" s="4" t="s">
        <v>1968</v>
      </c>
      <c r="J246" s="4" t="s">
        <v>1968</v>
      </c>
      <c r="K246" s="4" t="s">
        <v>2347</v>
      </c>
      <c r="L246" s="4" t="s">
        <v>1974</v>
      </c>
      <c r="M246" s="4" t="s">
        <v>36</v>
      </c>
      <c r="N246" s="4" t="s">
        <v>2826</v>
      </c>
      <c r="O246" s="4" t="s">
        <v>37</v>
      </c>
      <c r="P246" s="4" t="s">
        <v>37</v>
      </c>
      <c r="Q246" s="10" t="s">
        <v>347</v>
      </c>
      <c r="R246" s="4" t="str">
        <f t="shared" si="15"/>
        <v>X, Lote 4, Mz. B Canaan, El Agustino, Lima, Lima, Perú</v>
      </c>
      <c r="S246" s="4">
        <v>-12.029089799999999</v>
      </c>
      <c r="T246" s="4">
        <v>-76.989503200000001</v>
      </c>
      <c r="U246" s="30">
        <f t="shared" si="16"/>
        <v>10.34</v>
      </c>
      <c r="V246" s="4" t="str">
        <f t="shared" si="17"/>
        <v>🟠 Moderada (10-20 km)</v>
      </c>
      <c r="W246" s="19" t="str" cm="1">
        <f t="array" ref="W246">_xlfn.LET(_xlpm.lat_emp,S246,_xlpm.lon_emp,T246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Puente Nuevo (Av. Chinchaysuyo &amp; Av. Malecón Checa)</v>
      </c>
      <c r="X246" s="19" t="str">
        <f>_xlfn.LET(_xlpm.paradero,W246,INDEX(PARADEROS_VALIDOS!$A$2:$A$67,MATCH(_xlpm.paradero,PARADEROS_VALIDOS!$C$2:$C$67,0)))</f>
        <v>RUTA 6C</v>
      </c>
      <c r="Y246" s="29" cm="1">
        <f t="array" ref="Y246">_xlfn.LET(_xlpm.lat_emp,S246,_xlpm.lon_emp,T246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0.46</v>
      </c>
      <c r="Z246" s="4" t="str">
        <f t="shared" si="18"/>
        <v>🟢 Muy Cerca (0-1 km)</v>
      </c>
      <c r="AA246" s="4"/>
      <c r="AB246" s="4"/>
      <c r="AC246" s="49">
        <v>-11.997563</v>
      </c>
      <c r="AD246" s="49">
        <v>-76.900062000000005</v>
      </c>
      <c r="AE246" s="19" t="str">
        <f>IFERROR(VLOOKUP(C246,tdcargo[],2,FALSE),"DESCONOCIDO")</f>
        <v>OPERARIO</v>
      </c>
    </row>
    <row r="247" spans="1:31" hidden="1" x14ac:dyDescent="0.35">
      <c r="A247" s="8">
        <v>75477266</v>
      </c>
      <c r="B247" s="4" t="s">
        <v>2827</v>
      </c>
      <c r="C247" s="4" t="s">
        <v>1971</v>
      </c>
      <c r="D247" s="5">
        <v>44627</v>
      </c>
      <c r="E247" s="4" t="s">
        <v>31</v>
      </c>
      <c r="F247" s="4" t="s">
        <v>53</v>
      </c>
      <c r="G247" s="4" t="s">
        <v>116</v>
      </c>
      <c r="H247" s="4" t="s">
        <v>1956</v>
      </c>
      <c r="I247" s="4" t="s">
        <v>1968</v>
      </c>
      <c r="J247" s="4" t="s">
        <v>1968</v>
      </c>
      <c r="K247" s="4" t="s">
        <v>1968</v>
      </c>
      <c r="L247" s="4" t="s">
        <v>1968</v>
      </c>
      <c r="M247" s="4" t="s">
        <v>36</v>
      </c>
      <c r="N247" s="4" t="s">
        <v>1573</v>
      </c>
      <c r="O247" s="4" t="s">
        <v>37</v>
      </c>
      <c r="P247" s="4" t="s">
        <v>195</v>
      </c>
      <c r="Q247" s="10" t="s">
        <v>196</v>
      </c>
      <c r="R247" s="4" t="str">
        <f t="shared" si="15"/>
        <v>Jirón Los Olivos Villa Esperanza, San Antonio, Huarochiri, Lima, Perú</v>
      </c>
      <c r="S247" s="4">
        <v>-11.909913899999999</v>
      </c>
      <c r="T247" s="4">
        <v>-76.953495599999997</v>
      </c>
      <c r="U247" s="30">
        <f t="shared" si="16"/>
        <v>11.35</v>
      </c>
      <c r="V247" s="4" t="str">
        <f t="shared" si="17"/>
        <v>🟠 Moderada (10-20 km)</v>
      </c>
      <c r="W247" s="19" t="str" cm="1">
        <f t="array" ref="W247">_xlfn.LET(_xlpm.lat_emp,S247,_xlpm.lon_emp,T247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247" s="19" t="str">
        <f>_xlfn.LET(_xlpm.paradero,W247,INDEX(PARADEROS_VALIDOS!$A$2:$A$67,MATCH(_xlpm.paradero,PARADEROS_VALIDOS!$C$2:$C$67,0)))</f>
        <v>RUTA 6A</v>
      </c>
      <c r="Y247" s="29" cm="1">
        <f t="array" ref="Y247">_xlfn.LET(_xlpm.lat_emp,S247,_xlpm.lon_emp,T247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8.84</v>
      </c>
      <c r="Z247" s="4" t="str">
        <f t="shared" si="18"/>
        <v>🔴 Lejos (&gt;5 km)</v>
      </c>
      <c r="AA247" s="4"/>
      <c r="AB247" s="4"/>
      <c r="AC247" s="49">
        <v>-11.997563</v>
      </c>
      <c r="AD247" s="49">
        <v>-76.900062000000005</v>
      </c>
      <c r="AE247" s="19" t="str">
        <f>IFERROR(VLOOKUP(C247,tdcargo[],2,FALSE),"DESCONOCIDO")</f>
        <v>OPERARIO</v>
      </c>
    </row>
    <row r="248" spans="1:31" x14ac:dyDescent="0.35">
      <c r="A248" s="8">
        <v>71015056</v>
      </c>
      <c r="B248" s="4" t="s">
        <v>2828</v>
      </c>
      <c r="C248" s="4" t="s">
        <v>1971</v>
      </c>
      <c r="D248" s="5">
        <v>44630</v>
      </c>
      <c r="E248" s="4" t="s">
        <v>31</v>
      </c>
      <c r="F248" s="4" t="s">
        <v>82</v>
      </c>
      <c r="G248" s="4" t="s">
        <v>2829</v>
      </c>
      <c r="H248" s="4" t="s">
        <v>2830</v>
      </c>
      <c r="I248" s="4" t="s">
        <v>1968</v>
      </c>
      <c r="J248" s="4" t="s">
        <v>1968</v>
      </c>
      <c r="K248" s="4" t="s">
        <v>1968</v>
      </c>
      <c r="L248" s="4" t="s">
        <v>1968</v>
      </c>
      <c r="M248" s="4" t="s">
        <v>186</v>
      </c>
      <c r="N248" s="4" t="s">
        <v>2831</v>
      </c>
      <c r="O248" s="4" t="s">
        <v>37</v>
      </c>
      <c r="P248" s="4" t="s">
        <v>37</v>
      </c>
      <c r="Q248" s="10" t="s">
        <v>116</v>
      </c>
      <c r="R248" s="4" t="str">
        <f t="shared" ref="R248:R311" si="19">_xlfn.LET(_xlpm.parte1,TRIM(IF(F248="Otros / No aplica","",F248&amp;" ")&amp;G248&amp;IF(AND(H248&lt;&gt;"",H248&lt;&gt;"0",H248&lt;&gt;0)," "&amp;H248,"")&amp;IF(I248&lt;&gt;"",", Apt. "&amp;I248,"")&amp;IF(J248&lt;&gt;"",", Int. "&amp;J248,"")&amp;IF(AND(K248&lt;&gt;"",K248&lt;&gt;0),", Lote "&amp;K248,"")&amp;IF(L248&lt;&gt;"",", Mz. "&amp;L248,"")&amp;IF(AND(M248&lt;&gt;"",M248&lt;&gt;"Otros / No aplica"),", "&amp;M248,"")&amp;IF(AND(N248&lt;&gt;"",N248&lt;&gt;"0",N248&lt;&gt;0)," "&amp;N248,"")),_xlpm.parte2,Q248&amp;", "&amp;P248&amp;", "&amp;O248&amp;", Perú",IF(LEFT(_xlpm.parte1,1)=",",TRIM(MID(_xlpm.parte1,2,255))&amp;", "&amp;_xlpm.parte2,IF(_xlpm.parte1="",_xlpm.parte2,_xlpm.parte1&amp;", "&amp;_xlpm.parte2)))</f>
        <v>Calle Rio Tarica 5637, Urb. Urbanización Villa Del Norte - Los Olivos, Los Olivos, Lima, Lima, Perú</v>
      </c>
      <c r="S248" s="4">
        <v>-11.9714451</v>
      </c>
      <c r="T248" s="4">
        <v>-77.071955299999999</v>
      </c>
      <c r="U248" s="30">
        <f t="shared" si="16"/>
        <v>18.920000000000002</v>
      </c>
      <c r="V248" s="4" t="str">
        <f t="shared" si="17"/>
        <v>🟠 Moderada (10-20 km)</v>
      </c>
      <c r="W248" s="19" t="str" cm="1">
        <f t="array" ref="W248">_xlfn.LET(_xlpm.lat_emp,S248,_xlpm.lon_emp,T248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Puente Benavides (Arriba del puente, antes del semáforo)</v>
      </c>
      <c r="X248" s="19" t="str">
        <f>_xlfn.LET(_xlpm.paradero,W248,INDEX(PARADEROS_VALIDOS!$A$2:$A$67,MATCH(_xlpm.paradero,PARADEROS_VALIDOS!$C$2:$C$67,0)))</f>
        <v>RUTA 7</v>
      </c>
      <c r="Y248" s="29" cm="1">
        <f t="array" ref="Y248">_xlfn.LET(_xlpm.lat_emp,S248,_xlpm.lon_emp,T248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0.4</v>
      </c>
      <c r="Z248" s="4" t="str">
        <f t="shared" si="18"/>
        <v>🟢 Muy Cerca (0-1 km)</v>
      </c>
      <c r="AA248" s="4"/>
      <c r="AB248" s="4"/>
      <c r="AC248" s="49">
        <v>-11.997563</v>
      </c>
      <c r="AD248" s="49">
        <v>-76.900062000000005</v>
      </c>
      <c r="AE248" s="19" t="str">
        <f>IFERROR(VLOOKUP(C248,tdcargo[],2,FALSE),"DESCONOCIDO")</f>
        <v>OPERARIO</v>
      </c>
    </row>
    <row r="249" spans="1:31" hidden="1" x14ac:dyDescent="0.35">
      <c r="A249" s="8">
        <v>74997129</v>
      </c>
      <c r="B249" s="4" t="s">
        <v>2839</v>
      </c>
      <c r="C249" s="4" t="s">
        <v>1971</v>
      </c>
      <c r="D249" s="5">
        <v>46062</v>
      </c>
      <c r="E249" s="4" t="s">
        <v>31</v>
      </c>
      <c r="F249" s="4" t="s">
        <v>36</v>
      </c>
      <c r="G249" s="4" t="s">
        <v>2840</v>
      </c>
      <c r="H249" s="4" t="s">
        <v>2058</v>
      </c>
      <c r="I249" s="4" t="s">
        <v>1968</v>
      </c>
      <c r="J249" s="4" t="s">
        <v>1968</v>
      </c>
      <c r="K249" s="4" t="s">
        <v>1968</v>
      </c>
      <c r="L249" s="4" t="s">
        <v>2841</v>
      </c>
      <c r="M249" s="4" t="s">
        <v>36</v>
      </c>
      <c r="N249" s="4" t="s">
        <v>2842</v>
      </c>
      <c r="O249" s="4" t="s">
        <v>37</v>
      </c>
      <c r="P249" s="4" t="s">
        <v>37</v>
      </c>
      <c r="Q249" s="10" t="s">
        <v>76</v>
      </c>
      <c r="R249" s="4" t="str">
        <f t="shared" si="19"/>
        <v>A.A H.H La Libertad 7, Mz. 5D LURIGANCHO CHOSICA, Lurigancho, Lima, Lima, Perú</v>
      </c>
      <c r="S249" s="4">
        <v>-11.820973199999999</v>
      </c>
      <c r="T249" s="4">
        <v>-77.103762000000003</v>
      </c>
      <c r="U249" s="30">
        <f t="shared" si="16"/>
        <v>29.61</v>
      </c>
      <c r="V249" s="4" t="str">
        <f t="shared" si="17"/>
        <v>🔴 Lejos (&gt;20 km)</v>
      </c>
      <c r="W249" s="19" t="str" cm="1">
        <f t="array" ref="W249">_xlfn.LET(_xlpm.lat_emp,S249,_xlpm.lon_emp,T249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Cesar Vallejo</v>
      </c>
      <c r="X249" s="19" t="str">
        <f>_xlfn.LET(_xlpm.paradero,W249,INDEX(PARADEROS_VALIDOS!$A$2:$A$67,MATCH(_xlpm.paradero,PARADEROS_VALIDOS!$C$2:$C$67,0)))</f>
        <v>RUTA 4B</v>
      </c>
      <c r="Y249" s="29" cm="1">
        <f t="array" ref="Y249">_xlfn.LET(_xlpm.lat_emp,S249,_xlpm.lon_emp,T249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10.41</v>
      </c>
      <c r="Z249" s="4" t="str">
        <f t="shared" si="18"/>
        <v>🔴 Lejos (&gt;5 km)</v>
      </c>
      <c r="AA249" s="4"/>
      <c r="AB249" s="4"/>
      <c r="AC249" s="49">
        <v>-11.997563</v>
      </c>
      <c r="AD249" s="49">
        <v>-76.900062000000005</v>
      </c>
      <c r="AE249" s="19" t="str">
        <f>IFERROR(VLOOKUP(C249,tdcargo[],2,FALSE),"DESCONOCIDO")</f>
        <v>OPERARIO</v>
      </c>
    </row>
    <row r="250" spans="1:31" hidden="1" x14ac:dyDescent="0.35">
      <c r="A250" s="8">
        <v>77145846</v>
      </c>
      <c r="B250" s="4" t="s">
        <v>2843</v>
      </c>
      <c r="C250" s="4" t="s">
        <v>1971</v>
      </c>
      <c r="D250" s="5">
        <v>45978</v>
      </c>
      <c r="E250" s="4" t="s">
        <v>31</v>
      </c>
      <c r="F250" s="4" t="s">
        <v>82</v>
      </c>
      <c r="G250" s="4" t="s">
        <v>2844</v>
      </c>
      <c r="H250" s="4" t="s">
        <v>1995</v>
      </c>
      <c r="I250" s="4" t="s">
        <v>1968</v>
      </c>
      <c r="J250" s="4" t="s">
        <v>1968</v>
      </c>
      <c r="K250" s="4" t="s">
        <v>2118</v>
      </c>
      <c r="L250" s="4" t="s">
        <v>2845</v>
      </c>
      <c r="M250" s="4" t="s">
        <v>36</v>
      </c>
      <c r="N250" s="4" t="s">
        <v>2846</v>
      </c>
      <c r="O250" s="4" t="s">
        <v>37</v>
      </c>
      <c r="P250" s="4" t="s">
        <v>37</v>
      </c>
      <c r="Q250" s="10" t="s">
        <v>76</v>
      </c>
      <c r="R250" s="4" t="str">
        <f t="shared" si="19"/>
        <v>Calle Las Azucenas 1, Lote 5, Mz. M1 Centro Poblado Virge, Lurigancho, Lima, Lima, Perú</v>
      </c>
      <c r="S250" s="4">
        <v>-12.0088869</v>
      </c>
      <c r="T250" s="4">
        <v>-77.074892599999998</v>
      </c>
      <c r="U250" s="30">
        <f t="shared" si="16"/>
        <v>19.059999999999999</v>
      </c>
      <c r="V250" s="4" t="str">
        <f t="shared" si="17"/>
        <v>🟠 Moderada (10-20 km)</v>
      </c>
      <c r="W250" s="19" t="str" cm="1">
        <f t="array" ref="W250">_xlfn.LET(_xlpm.lat_emp,S250,_xlpm.lon_emp,T250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Universitaria con San German</v>
      </c>
      <c r="X250" s="19" t="str">
        <f>_xlfn.LET(_xlpm.paradero,W250,INDEX(PARADEROS_VALIDOS!$A$2:$A$67,MATCH(_xlpm.paradero,PARADEROS_VALIDOS!$C$2:$C$67,0)))</f>
        <v>RUTA 8</v>
      </c>
      <c r="Y250" s="29" cm="1">
        <f t="array" ref="Y250">_xlfn.LET(_xlpm.lat_emp,S250,_xlpm.lon_emp,T250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0.77</v>
      </c>
      <c r="Z250" s="4" t="str">
        <f t="shared" si="18"/>
        <v>🟢 Muy Cerca (0-1 km)</v>
      </c>
      <c r="AA250" s="4"/>
      <c r="AB250" s="4"/>
      <c r="AC250" s="49">
        <v>-11.997563</v>
      </c>
      <c r="AD250" s="49">
        <v>-76.900062000000005</v>
      </c>
      <c r="AE250" s="19" t="str">
        <f>IFERROR(VLOOKUP(C250,tdcargo[],2,FALSE),"DESCONOCIDO")</f>
        <v>OPERARIO</v>
      </c>
    </row>
    <row r="251" spans="1:31" hidden="1" x14ac:dyDescent="0.35">
      <c r="A251" s="8">
        <v>74655974</v>
      </c>
      <c r="B251" s="4" t="s">
        <v>2847</v>
      </c>
      <c r="C251" s="4" t="s">
        <v>1971</v>
      </c>
      <c r="D251" s="5">
        <v>45931</v>
      </c>
      <c r="E251" s="4" t="s">
        <v>31</v>
      </c>
      <c r="F251" s="4" t="s">
        <v>82</v>
      </c>
      <c r="G251" s="4" t="s">
        <v>1520</v>
      </c>
      <c r="H251" s="4" t="s">
        <v>2370</v>
      </c>
      <c r="I251" s="4" t="s">
        <v>1968</v>
      </c>
      <c r="J251" s="4" t="s">
        <v>1968</v>
      </c>
      <c r="K251" s="4" t="s">
        <v>2058</v>
      </c>
      <c r="L251" s="4" t="s">
        <v>2848</v>
      </c>
      <c r="M251" s="4" t="s">
        <v>36</v>
      </c>
      <c r="N251" s="4" t="s">
        <v>1430</v>
      </c>
      <c r="O251" s="4" t="s">
        <v>37</v>
      </c>
      <c r="P251" s="4" t="s">
        <v>37</v>
      </c>
      <c r="Q251" s="10" t="s">
        <v>76</v>
      </c>
      <c r="R251" s="4" t="str">
        <f t="shared" si="19"/>
        <v>Calle Los Angeles 45, Lote 7, Mz. F1 Casa Huerta La Campi, Lurigancho, Lima, Lima, Perú</v>
      </c>
      <c r="S251" s="4">
        <v>-11.928603499999999</v>
      </c>
      <c r="T251" s="4">
        <v>-76.683861399999998</v>
      </c>
      <c r="U251" s="30">
        <f t="shared" si="16"/>
        <v>24.74</v>
      </c>
      <c r="V251" s="4" t="str">
        <f t="shared" si="17"/>
        <v>🔴 Lejos (&gt;20 km)</v>
      </c>
      <c r="W251" s="19" t="str" cm="1">
        <f t="array" ref="W251">_xlfn.LET(_xlpm.lat_emp,S251,_xlpm.lon_emp,T251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251" s="19" t="str">
        <f>_xlfn.LET(_xlpm.paradero,W251,INDEX(PARADEROS_VALIDOS!$A$2:$A$67,MATCH(_xlpm.paradero,PARADEROS_VALIDOS!$C$2:$C$67,0)))</f>
        <v>RUTA 5A</v>
      </c>
      <c r="Y251" s="29" cm="1">
        <f t="array" ref="Y251">_xlfn.LET(_xlpm.lat_emp,S251,_xlpm.lon_emp,T251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11.01</v>
      </c>
      <c r="Z251" s="4" t="str">
        <f t="shared" si="18"/>
        <v>🔴 Lejos (&gt;5 km)</v>
      </c>
      <c r="AA251" s="4"/>
      <c r="AB251" s="4"/>
      <c r="AC251" s="49">
        <v>-11.997563</v>
      </c>
      <c r="AD251" s="49">
        <v>-76.900062000000005</v>
      </c>
      <c r="AE251" s="19" t="str">
        <f>IFERROR(VLOOKUP(C251,tdcargo[],2,FALSE),"DESCONOCIDO")</f>
        <v>OPERARIO</v>
      </c>
    </row>
    <row r="252" spans="1:31" hidden="1" x14ac:dyDescent="0.35">
      <c r="A252" s="8">
        <v>72182865</v>
      </c>
      <c r="B252" s="4" t="s">
        <v>2849</v>
      </c>
      <c r="C252" s="4" t="s">
        <v>1971</v>
      </c>
      <c r="D252" s="5">
        <v>45931</v>
      </c>
      <c r="E252" s="4" t="s">
        <v>31</v>
      </c>
      <c r="F252" s="4" t="s">
        <v>82</v>
      </c>
      <c r="G252" s="4" t="s">
        <v>2850</v>
      </c>
      <c r="H252" s="4" t="s">
        <v>1956</v>
      </c>
      <c r="I252" s="4" t="s">
        <v>1968</v>
      </c>
      <c r="J252" s="4" t="s">
        <v>2171</v>
      </c>
      <c r="K252" s="4" t="s">
        <v>2168</v>
      </c>
      <c r="L252" s="4" t="s">
        <v>2851</v>
      </c>
      <c r="M252" s="4" t="s">
        <v>36</v>
      </c>
      <c r="N252" s="4" t="s">
        <v>2852</v>
      </c>
      <c r="O252" s="4" t="s">
        <v>37</v>
      </c>
      <c r="P252" s="4" t="s">
        <v>37</v>
      </c>
      <c r="Q252" s="10" t="s">
        <v>57</v>
      </c>
      <c r="R252" s="4" t="str">
        <f t="shared" si="19"/>
        <v>Calle Calle Berlin, Int. 3, Lote 13, Mz. O1 Este, Ate, Lima, Lima, Perú</v>
      </c>
      <c r="S252" s="4">
        <v>-12.038833</v>
      </c>
      <c r="T252" s="4">
        <v>-76.925359599999993</v>
      </c>
      <c r="U252" s="30">
        <f t="shared" si="16"/>
        <v>5.35</v>
      </c>
      <c r="V252" s="4" t="str">
        <f t="shared" si="17"/>
        <v>🟡 Cerca (5-10 km)</v>
      </c>
      <c r="W252" s="19" t="str" cm="1">
        <f t="array" ref="W252">_xlfn.LET(_xlpm.lat_emp,S252,_xlpm.lon_emp,T252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Real Plaza Puruchuco (Grifo Primax)</v>
      </c>
      <c r="X252" s="19" t="str">
        <f>_xlfn.LET(_xlpm.paradero,W252,INDEX(PARADEROS_VALIDOS!$A$2:$A$67,MATCH(_xlpm.paradero,PARADEROS_VALIDOS!$C$2:$C$67,0)))</f>
        <v>RUTA 4A</v>
      </c>
      <c r="Y252" s="29" cm="1">
        <f t="array" ref="Y252">_xlfn.LET(_xlpm.lat_emp,S252,_xlpm.lon_emp,T252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0.77</v>
      </c>
      <c r="Z252" s="4" t="str">
        <f t="shared" si="18"/>
        <v>🟢 Muy Cerca (0-1 km)</v>
      </c>
      <c r="AA252" s="4"/>
      <c r="AB252" s="4"/>
      <c r="AC252" s="49">
        <v>-11.997563</v>
      </c>
      <c r="AD252" s="49">
        <v>-76.900062000000005</v>
      </c>
      <c r="AE252" s="19" t="str">
        <f>IFERROR(VLOOKUP(C252,tdcargo[],2,FALSE),"DESCONOCIDO")</f>
        <v>OPERARIO</v>
      </c>
    </row>
    <row r="253" spans="1:31" hidden="1" x14ac:dyDescent="0.35">
      <c r="A253" s="8">
        <v>77136724</v>
      </c>
      <c r="B253" s="4" t="s">
        <v>2853</v>
      </c>
      <c r="C253" s="4" t="s">
        <v>1971</v>
      </c>
      <c r="D253" s="5">
        <v>45971</v>
      </c>
      <c r="E253" s="4" t="s">
        <v>31</v>
      </c>
      <c r="F253" s="4" t="s">
        <v>36</v>
      </c>
      <c r="G253" s="4" t="s">
        <v>2854</v>
      </c>
      <c r="H253" s="4" t="s">
        <v>1956</v>
      </c>
      <c r="I253" s="4" t="s">
        <v>1968</v>
      </c>
      <c r="J253" s="4" t="s">
        <v>1968</v>
      </c>
      <c r="K253" s="4" t="s">
        <v>2855</v>
      </c>
      <c r="L253" s="4" t="s">
        <v>1968</v>
      </c>
      <c r="M253" s="4" t="s">
        <v>36</v>
      </c>
      <c r="N253" s="4" t="s">
        <v>2697</v>
      </c>
      <c r="O253" s="4" t="s">
        <v>37</v>
      </c>
      <c r="P253" s="4" t="s">
        <v>37</v>
      </c>
      <c r="Q253" s="10" t="s">
        <v>57</v>
      </c>
      <c r="R253" s="4" t="str">
        <f t="shared" si="19"/>
        <v>Ucv 21 Lote 71 Zona S Huaycan, Lote 71 S, Ate, Lima, Lima, Perú</v>
      </c>
      <c r="S253" s="4">
        <v>-12.011855499999999</v>
      </c>
      <c r="T253" s="4">
        <v>-76.824782400000004</v>
      </c>
      <c r="U253" s="30">
        <f t="shared" si="16"/>
        <v>8.34</v>
      </c>
      <c r="V253" s="4" t="str">
        <f t="shared" si="17"/>
        <v>🟡 Cerca (5-10 km)</v>
      </c>
      <c r="W253" s="19" t="str" cm="1">
        <f t="array" ref="W253">_xlfn.LET(_xlpm.lat_emp,S253,_xlpm.lon_emp,T253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253" s="19" t="str">
        <f>_xlfn.LET(_xlpm.paradero,W253,INDEX(PARADEROS_VALIDOS!$A$2:$A$67,MATCH(_xlpm.paradero,PARADEROS_VALIDOS!$C$2:$C$67,0)))</f>
        <v>RUTA 3</v>
      </c>
      <c r="Y253" s="29" cm="1">
        <f t="array" ref="Y253">_xlfn.LET(_xlpm.lat_emp,S253,_xlpm.lon_emp,T253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1.58</v>
      </c>
      <c r="Z253" s="4" t="str">
        <f t="shared" si="18"/>
        <v>🟡 Cerca (1-3 km)</v>
      </c>
      <c r="AA253" s="4"/>
      <c r="AB253" s="4"/>
      <c r="AC253" s="49">
        <v>-11.997563</v>
      </c>
      <c r="AD253" s="49">
        <v>-76.900062000000005</v>
      </c>
      <c r="AE253" s="19" t="str">
        <f>IFERROR(VLOOKUP(C253,tdcargo[],2,FALSE),"DESCONOCIDO")</f>
        <v>OPERARIO</v>
      </c>
    </row>
    <row r="254" spans="1:31" hidden="1" x14ac:dyDescent="0.35">
      <c r="A254" s="8">
        <v>75896732</v>
      </c>
      <c r="B254" s="4" t="s">
        <v>2856</v>
      </c>
      <c r="C254" s="4" t="s">
        <v>1971</v>
      </c>
      <c r="D254" s="5">
        <v>45964</v>
      </c>
      <c r="E254" s="4" t="s">
        <v>31</v>
      </c>
      <c r="F254" s="4" t="s">
        <v>82</v>
      </c>
      <c r="G254" s="4" t="s">
        <v>2857</v>
      </c>
      <c r="H254" s="4" t="s">
        <v>2114</v>
      </c>
      <c r="I254" s="4" t="s">
        <v>1968</v>
      </c>
      <c r="J254" s="4" t="s">
        <v>1968</v>
      </c>
      <c r="K254" s="4" t="s">
        <v>2114</v>
      </c>
      <c r="L254" s="4" t="s">
        <v>1974</v>
      </c>
      <c r="M254" s="4" t="s">
        <v>36</v>
      </c>
      <c r="N254" s="4" t="s">
        <v>1381</v>
      </c>
      <c r="O254" s="4" t="s">
        <v>37</v>
      </c>
      <c r="P254" s="4" t="s">
        <v>37</v>
      </c>
      <c r="Q254" s="10" t="s">
        <v>76</v>
      </c>
      <c r="R254" s="4" t="str">
        <f t="shared" si="19"/>
        <v>Calle Niveria-Casuarinas 10, Lote 10, Mz. B Niveria, Lurigancho, Lima, Lima, Perú</v>
      </c>
      <c r="S254" s="4">
        <v>-11.983333</v>
      </c>
      <c r="T254" s="4">
        <v>-76.916667000000004</v>
      </c>
      <c r="U254" s="30">
        <f t="shared" si="16"/>
        <v>2.4</v>
      </c>
      <c r="V254" s="4" t="str">
        <f t="shared" si="17"/>
        <v>🟢 Muy Cerca (0-5 km)</v>
      </c>
      <c r="W254" s="19" t="str" cm="1">
        <f t="array" ref="W254">_xlfn.LET(_xlpm.lat_emp,S254,_xlpm.lon_emp,T254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254" s="19" t="str">
        <f>_xlfn.LET(_xlpm.paradero,W254,INDEX(PARADEROS_VALIDOS!$A$2:$A$67,MATCH(_xlpm.paradero,PARADEROS_VALIDOS!$C$2:$C$67,0)))</f>
        <v>RUTA 2</v>
      </c>
      <c r="Y254" s="29" cm="1">
        <f t="array" ref="Y254">_xlfn.LET(_xlpm.lat_emp,S254,_xlpm.lon_emp,T254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1.86</v>
      </c>
      <c r="Z254" s="4" t="str">
        <f t="shared" si="18"/>
        <v>🟡 Cerca (1-3 km)</v>
      </c>
      <c r="AA254" s="4"/>
      <c r="AB254" s="4"/>
      <c r="AC254" s="49">
        <v>-11.997563</v>
      </c>
      <c r="AD254" s="49">
        <v>-76.900062000000005</v>
      </c>
      <c r="AE254" s="19" t="str">
        <f>IFERROR(VLOOKUP(C254,tdcargo[],2,FALSE),"DESCONOCIDO")</f>
        <v>OPERARIO</v>
      </c>
    </row>
    <row r="255" spans="1:31" hidden="1" x14ac:dyDescent="0.35">
      <c r="A255" s="8">
        <v>70646122</v>
      </c>
      <c r="B255" s="4" t="s">
        <v>2863</v>
      </c>
      <c r="C255" s="4" t="s">
        <v>1971</v>
      </c>
      <c r="D255" s="5">
        <v>46062</v>
      </c>
      <c r="E255" s="4" t="s">
        <v>31</v>
      </c>
      <c r="F255" s="4" t="s">
        <v>82</v>
      </c>
      <c r="G255" s="4" t="s">
        <v>2864</v>
      </c>
      <c r="H255" s="4" t="s">
        <v>2171</v>
      </c>
      <c r="I255" s="4" t="s">
        <v>1968</v>
      </c>
      <c r="J255" s="4" t="s">
        <v>1968</v>
      </c>
      <c r="K255" s="4" t="s">
        <v>2171</v>
      </c>
      <c r="L255" s="4" t="s">
        <v>1974</v>
      </c>
      <c r="M255" s="4" t="s">
        <v>36</v>
      </c>
      <c r="N255" s="4" t="s">
        <v>2865</v>
      </c>
      <c r="O255" s="4" t="s">
        <v>37</v>
      </c>
      <c r="P255" s="4" t="s">
        <v>37</v>
      </c>
      <c r="Q255" s="10" t="s">
        <v>76</v>
      </c>
      <c r="R255" s="4" t="str">
        <f t="shared" si="19"/>
        <v>Calle Las Terrazas Nieveri 3, Lote 3, Mz. B TERRAZAS, Lurigancho, Lima, Lima, Perú</v>
      </c>
      <c r="S255" s="4">
        <v>-11.930123</v>
      </c>
      <c r="T255" s="4">
        <v>-76.971232799999996</v>
      </c>
      <c r="U255" s="30">
        <f t="shared" si="16"/>
        <v>10.78</v>
      </c>
      <c r="V255" s="4" t="str">
        <f t="shared" si="17"/>
        <v>🟠 Moderada (10-20 km)</v>
      </c>
      <c r="W255" s="19" t="str" cm="1">
        <f t="array" ref="W255">_xlfn.LET(_xlpm.lat_emp,S255,_xlpm.lon_emp,T255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Acho</v>
      </c>
      <c r="X255" s="19" t="str">
        <f>_xlfn.LET(_xlpm.paradero,W255,INDEX(PARADEROS_VALIDOS!$A$2:$A$67,MATCH(_xlpm.paradero,PARADEROS_VALIDOS!$C$2:$C$67,0)))</f>
        <v>RUTA 8</v>
      </c>
      <c r="Y255" s="29" cm="1">
        <f t="array" ref="Y255">_xlfn.LET(_xlpm.lat_emp,S255,_xlpm.lon_emp,T255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5.89</v>
      </c>
      <c r="Z255" s="4" t="str">
        <f t="shared" si="18"/>
        <v>🔴 Lejos (&gt;5 km)</v>
      </c>
      <c r="AA255" s="4"/>
      <c r="AB255" s="4"/>
      <c r="AC255" s="49">
        <v>-11.997563</v>
      </c>
      <c r="AD255" s="49">
        <v>-76.900062000000005</v>
      </c>
      <c r="AE255" s="19" t="str">
        <f>IFERROR(VLOOKUP(C255,tdcargo[],2,FALSE),"DESCONOCIDO")</f>
        <v>OPERARIO</v>
      </c>
    </row>
    <row r="256" spans="1:31" hidden="1" x14ac:dyDescent="0.35">
      <c r="A256" s="8">
        <v>76840400</v>
      </c>
      <c r="B256" s="4" t="s">
        <v>2866</v>
      </c>
      <c r="C256" s="4" t="s">
        <v>1971</v>
      </c>
      <c r="D256" s="5">
        <v>46072</v>
      </c>
      <c r="E256" s="4" t="s">
        <v>31</v>
      </c>
      <c r="F256" s="4" t="s">
        <v>148</v>
      </c>
      <c r="G256" s="4" t="s">
        <v>2867</v>
      </c>
      <c r="H256" s="4" t="s">
        <v>1956</v>
      </c>
      <c r="I256" s="4" t="s">
        <v>1968</v>
      </c>
      <c r="J256" s="4" t="s">
        <v>1968</v>
      </c>
      <c r="K256" s="4" t="s">
        <v>2484</v>
      </c>
      <c r="L256" s="4" t="s">
        <v>1974</v>
      </c>
      <c r="M256" s="4" t="s">
        <v>36</v>
      </c>
      <c r="N256" s="4" t="s">
        <v>2485</v>
      </c>
      <c r="O256" s="4" t="s">
        <v>37</v>
      </c>
      <c r="P256" s="4" t="s">
        <v>37</v>
      </c>
      <c r="Q256" s="10" t="s">
        <v>57</v>
      </c>
      <c r="R256" s="4" t="str">
        <f t="shared" si="19"/>
        <v>Pasaje Virgen De Cocharcas, Lote 25, Mz. B VIRGEN DE COCHARCAS, Ate, Lima, Lima, Perú</v>
      </c>
      <c r="S256" s="4">
        <v>-12.016613899999999</v>
      </c>
      <c r="T256" s="4">
        <v>-76.895054099999996</v>
      </c>
      <c r="U256" s="30">
        <f t="shared" si="16"/>
        <v>2.19</v>
      </c>
      <c r="V256" s="4" t="str">
        <f t="shared" si="17"/>
        <v>🟢 Muy Cerca (0-5 km)</v>
      </c>
      <c r="W256" s="19" t="str" cm="1">
        <f t="array" ref="W256">_xlfn.LET(_xlpm.lat_emp,S256,_xlpm.lon_emp,T256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Sta. Clara</v>
      </c>
      <c r="X256" s="19" t="str">
        <f>_xlfn.LET(_xlpm.paradero,W256,INDEX(PARADEROS_VALIDOS!$A$2:$A$67,MATCH(_xlpm.paradero,PARADEROS_VALIDOS!$C$2:$C$67,0)))</f>
        <v>RUTA 5C</v>
      </c>
      <c r="Y256" s="29" cm="1">
        <f t="array" ref="Y256">_xlfn.LET(_xlpm.lat_emp,S256,_xlpm.lon_emp,T256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1.08</v>
      </c>
      <c r="Z256" s="4" t="str">
        <f t="shared" si="18"/>
        <v>🟡 Cerca (1-3 km)</v>
      </c>
      <c r="AA256" s="4"/>
      <c r="AB256" s="4"/>
      <c r="AC256" s="49">
        <v>-11.997563</v>
      </c>
      <c r="AD256" s="49">
        <v>-76.900062000000005</v>
      </c>
      <c r="AE256" s="19" t="str">
        <f>IFERROR(VLOOKUP(C256,tdcargo[],2,FALSE),"DESCONOCIDO")</f>
        <v>OPERARIO</v>
      </c>
    </row>
    <row r="257" spans="1:31" x14ac:dyDescent="0.35">
      <c r="A257" s="8">
        <v>76866414</v>
      </c>
      <c r="B257" s="4" t="s">
        <v>2868</v>
      </c>
      <c r="C257" s="4" t="s">
        <v>1971</v>
      </c>
      <c r="D257" s="5">
        <v>46072</v>
      </c>
      <c r="E257" s="4" t="s">
        <v>31</v>
      </c>
      <c r="F257" s="4" t="s">
        <v>793</v>
      </c>
      <c r="G257" s="4" t="s">
        <v>2869</v>
      </c>
      <c r="H257" s="4" t="s">
        <v>2870</v>
      </c>
      <c r="I257" s="4" t="s">
        <v>1968</v>
      </c>
      <c r="J257" s="4" t="s">
        <v>1995</v>
      </c>
      <c r="K257" s="4" t="s">
        <v>2871</v>
      </c>
      <c r="L257" s="4" t="s">
        <v>2082</v>
      </c>
      <c r="M257" s="4" t="s">
        <v>36</v>
      </c>
      <c r="N257" s="4" t="s">
        <v>2872</v>
      </c>
      <c r="O257" s="4" t="s">
        <v>37</v>
      </c>
      <c r="P257" s="4" t="s">
        <v>37</v>
      </c>
      <c r="Q257" s="10" t="s">
        <v>57</v>
      </c>
      <c r="R257" s="4" t="str">
        <f t="shared" si="19"/>
        <v>Carretera Av Ate 147, Int. 1, Lote 146, Mz. G AV ATE, Ate, Lima, Lima, Perú</v>
      </c>
      <c r="S257" s="4">
        <v>-12.052039199999999</v>
      </c>
      <c r="T257" s="4">
        <v>-76.952001100000004</v>
      </c>
      <c r="U257" s="30">
        <f t="shared" si="16"/>
        <v>8.2799999999999994</v>
      </c>
      <c r="V257" s="4" t="str">
        <f t="shared" si="17"/>
        <v>🟡 Cerca (5-10 km)</v>
      </c>
      <c r="W257" s="19" t="str" cm="1">
        <f t="array" ref="W257">_xlfn.LET(_xlpm.lat_emp,S257,_xlpm.lon_emp,T257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Pte. Prialé (solo aplica para la salida)</v>
      </c>
      <c r="X257" s="19" t="str">
        <f>_xlfn.LET(_xlpm.paradero,W257,INDEX(PARADEROS_VALIDOS!$A$2:$A$67,MATCH(_xlpm.paradero,PARADEROS_VALIDOS!$C$2:$C$67,0)))</f>
        <v>RUTA 7</v>
      </c>
      <c r="Y257" s="29" cm="1">
        <f t="array" ref="Y257">_xlfn.LET(_xlpm.lat_emp,S257,_xlpm.lon_emp,T257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0.6</v>
      </c>
      <c r="Z257" s="4" t="str">
        <f t="shared" si="18"/>
        <v>🟢 Muy Cerca (0-1 km)</v>
      </c>
      <c r="AA257" s="4"/>
      <c r="AB257" s="4"/>
      <c r="AC257" s="49">
        <v>-11.997563</v>
      </c>
      <c r="AD257" s="49">
        <v>-76.900062000000005</v>
      </c>
      <c r="AE257" s="19" t="str">
        <f>IFERROR(VLOOKUP(C257,tdcargo[],2,FALSE),"DESCONOCIDO")</f>
        <v>OPERARIO</v>
      </c>
    </row>
    <row r="258" spans="1:31" hidden="1" x14ac:dyDescent="0.35">
      <c r="A258" s="8">
        <v>71291999</v>
      </c>
      <c r="B258" s="4" t="s">
        <v>2873</v>
      </c>
      <c r="C258" s="4" t="s">
        <v>1971</v>
      </c>
      <c r="D258" s="5">
        <v>46024</v>
      </c>
      <c r="E258" s="4" t="s">
        <v>31</v>
      </c>
      <c r="F258" s="4" t="s">
        <v>34</v>
      </c>
      <c r="G258" s="4" t="s">
        <v>2874</v>
      </c>
      <c r="H258" s="4" t="s">
        <v>1956</v>
      </c>
      <c r="I258" s="4" t="s">
        <v>1968</v>
      </c>
      <c r="J258" s="4" t="s">
        <v>1968</v>
      </c>
      <c r="K258" s="4" t="s">
        <v>2118</v>
      </c>
      <c r="L258" s="4" t="s">
        <v>2875</v>
      </c>
      <c r="M258" s="4" t="s">
        <v>36</v>
      </c>
      <c r="N258" s="4" t="s">
        <v>2876</v>
      </c>
      <c r="O258" s="4" t="s">
        <v>37</v>
      </c>
      <c r="P258" s="4" t="s">
        <v>37</v>
      </c>
      <c r="Q258" s="10" t="s">
        <v>37</v>
      </c>
      <c r="R258" s="4" t="str">
        <f t="shared" si="19"/>
        <v>Avenida 28 De Julio Mz 6 Lt5, Lote 5, Mz. T6 SAN ANTONIO DE JICAM, Lima, Lima, Lima, Perú</v>
      </c>
      <c r="S258" s="4">
        <v>-12.130307200000001</v>
      </c>
      <c r="T258" s="4">
        <v>-77.020961799999995</v>
      </c>
      <c r="U258" s="30">
        <f t="shared" ref="U258:U321" si="20">IF(OR(S258="",T258=""),"Sin coordenadas",ROUND(6371*ACOS(COS(RADIANS(90-S258))*COS(RADIANS(90-(-11.997563)))+SIN(RADIANS(90-S258))*SIN(RADIANS(90-(-11.997563)))*COS(RADIANS(T258-(-76.900062)))),2))</f>
        <v>19.77</v>
      </c>
      <c r="V258" s="4" t="str">
        <f t="shared" ref="V258:V321" si="21">IF(U258="Sin coordenadas","N/A",IF(U258&lt;=5,"🟢 Muy Cerca (0-5 km)",IF(U258&lt;=10,"🟡 Cerca (5-10 km)",IF(U258&lt;=20,"🟠 Moderada (10-20 km)","🔴 Lejos (&gt;20 km)"))))</f>
        <v>🟠 Moderada (10-20 km)</v>
      </c>
      <c r="W258" s="19" t="str" cm="1">
        <f t="array" ref="W258">_xlfn.LET(_xlpm.lat_emp,S258,_xlpm.lon_emp,T258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Berlín con Javier prado (cruzando el semáforo) aplica solo al ingreso.</v>
      </c>
      <c r="X258" s="19" t="str">
        <f>_xlfn.LET(_xlpm.paradero,W258,INDEX(PARADEROS_VALIDOS!$A$2:$A$67,MATCH(_xlpm.paradero,PARADEROS_VALIDOS!$C$2:$C$67,0)))</f>
        <v>RUTA 4A</v>
      </c>
      <c r="Y258" s="29" cm="1">
        <f t="array" ref="Y258">_xlfn.LET(_xlpm.lat_emp,S258,_xlpm.lon_emp,T258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4.47</v>
      </c>
      <c r="Z258" s="4" t="str">
        <f t="shared" ref="Z258:Z321" si="22">IF(Y258&lt;=1,"🟢 Muy Cerca (0-1 km)",IF(Y258&lt;=3,"🟡 Cerca (1-3 km)",IF(Y258&lt;=5,"🟠 Moderada (3-5 km)","🔴 Lejos (&gt;5 km)")))</f>
        <v>🟠 Moderada (3-5 km)</v>
      </c>
      <c r="AA258" s="4"/>
      <c r="AB258" s="4"/>
      <c r="AC258" s="49">
        <v>-11.997563</v>
      </c>
      <c r="AD258" s="49">
        <v>-76.900062000000005</v>
      </c>
      <c r="AE258" s="19" t="str">
        <f>IFERROR(VLOOKUP(C258,tdcargo[],2,FALSE),"DESCONOCIDO")</f>
        <v>OPERARIO</v>
      </c>
    </row>
    <row r="259" spans="1:31" hidden="1" x14ac:dyDescent="0.35">
      <c r="A259" s="8">
        <v>42623084</v>
      </c>
      <c r="B259" s="4" t="s">
        <v>2877</v>
      </c>
      <c r="C259" s="4" t="s">
        <v>1971</v>
      </c>
      <c r="D259" s="5">
        <v>46045</v>
      </c>
      <c r="E259" s="4" t="s">
        <v>31</v>
      </c>
      <c r="F259" s="4" t="s">
        <v>82</v>
      </c>
      <c r="G259" s="4" t="s">
        <v>2878</v>
      </c>
      <c r="H259" s="4" t="s">
        <v>2879</v>
      </c>
      <c r="I259" s="4" t="s">
        <v>1968</v>
      </c>
      <c r="J259" s="4" t="s">
        <v>1995</v>
      </c>
      <c r="K259" s="4" t="s">
        <v>1968</v>
      </c>
      <c r="L259" s="4" t="s">
        <v>1184</v>
      </c>
      <c r="M259" s="4" t="s">
        <v>36</v>
      </c>
      <c r="N259" s="4" t="s">
        <v>2880</v>
      </c>
      <c r="O259" s="4" t="s">
        <v>37</v>
      </c>
      <c r="P259" s="4" t="s">
        <v>37</v>
      </c>
      <c r="Q259" s="10" t="s">
        <v>347</v>
      </c>
      <c r="R259" s="4" t="str">
        <f t="shared" si="19"/>
        <v>Calle Vicente Navarro Pach 9512, Int. 1, Mz. O VICENTELO BAJO, El Agustino, Lima, Lima, Perú</v>
      </c>
      <c r="S259" s="4">
        <v>-12.029192699999999</v>
      </c>
      <c r="T259" s="4">
        <v>-77.000666600000002</v>
      </c>
      <c r="U259" s="30">
        <f t="shared" si="20"/>
        <v>11.49</v>
      </c>
      <c r="V259" s="4" t="str">
        <f t="shared" si="21"/>
        <v>🟠 Moderada (10-20 km)</v>
      </c>
      <c r="W259" s="19" t="str" cm="1">
        <f t="array" ref="W259">_xlfn.LET(_xlpm.lat_emp,S259,_xlpm.lon_emp,T259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Puente Nuevo (Av. Chinchaysuyo &amp; Av. Malecón Checa)</v>
      </c>
      <c r="X259" s="19" t="str">
        <f>_xlfn.LET(_xlpm.paradero,W259,INDEX(PARADEROS_VALIDOS!$A$2:$A$67,MATCH(_xlpm.paradero,PARADEROS_VALIDOS!$C$2:$C$67,0)))</f>
        <v>RUTA 6C</v>
      </c>
      <c r="Y259" s="29" cm="1">
        <f t="array" ref="Y259">_xlfn.LET(_xlpm.lat_emp,S259,_xlpm.lon_emp,T259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0.76</v>
      </c>
      <c r="Z259" s="4" t="str">
        <f t="shared" si="22"/>
        <v>🟢 Muy Cerca (0-1 km)</v>
      </c>
      <c r="AA259" s="4"/>
      <c r="AB259" s="4"/>
      <c r="AC259" s="49">
        <v>-11.997563</v>
      </c>
      <c r="AD259" s="49">
        <v>-76.900062000000005</v>
      </c>
      <c r="AE259" s="19" t="str">
        <f>IFERROR(VLOOKUP(C259,tdcargo[],2,FALSE),"DESCONOCIDO")</f>
        <v>OPERARIO</v>
      </c>
    </row>
    <row r="260" spans="1:31" hidden="1" x14ac:dyDescent="0.35">
      <c r="A260" s="8">
        <v>71268871</v>
      </c>
      <c r="B260" s="4" t="s">
        <v>2881</v>
      </c>
      <c r="C260" s="4" t="s">
        <v>1971</v>
      </c>
      <c r="D260" s="5">
        <v>46041</v>
      </c>
      <c r="E260" s="4" t="s">
        <v>31</v>
      </c>
      <c r="F260" s="4" t="s">
        <v>82</v>
      </c>
      <c r="G260" s="4" t="s">
        <v>1313</v>
      </c>
      <c r="H260" s="4" t="s">
        <v>1956</v>
      </c>
      <c r="I260" s="4" t="s">
        <v>1968</v>
      </c>
      <c r="J260" s="4" t="s">
        <v>1968</v>
      </c>
      <c r="K260" s="4" t="s">
        <v>2882</v>
      </c>
      <c r="L260" s="4" t="s">
        <v>1968</v>
      </c>
      <c r="M260" s="4" t="s">
        <v>36</v>
      </c>
      <c r="N260" s="4" t="s">
        <v>2412</v>
      </c>
      <c r="O260" s="4" t="s">
        <v>37</v>
      </c>
      <c r="P260" s="4" t="s">
        <v>195</v>
      </c>
      <c r="Q260" s="10" t="s">
        <v>196</v>
      </c>
      <c r="R260" s="4" t="str">
        <f t="shared" si="19"/>
        <v>Calle Las Palmeras, Lote MZ6 PROYECTO 2000, San Antonio, Huarochiri, Lima, Perú</v>
      </c>
      <c r="S260" s="4">
        <v>-11.9855023</v>
      </c>
      <c r="T260" s="4">
        <v>-76.9465608</v>
      </c>
      <c r="U260" s="30">
        <f t="shared" si="20"/>
        <v>5.23</v>
      </c>
      <c r="V260" s="4" t="str">
        <f t="shared" si="21"/>
        <v>🟡 Cerca (5-10 km)</v>
      </c>
      <c r="W260" s="19" t="str" cm="1">
        <f t="array" ref="W260">_xlfn.LET(_xlpm.lat_emp,S260,_xlpm.lon_emp,T260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Estadio Huachipa</v>
      </c>
      <c r="X260" s="19" t="str">
        <f>_xlfn.LET(_xlpm.paradero,W260,INDEX(PARADEROS_VALIDOS!$A$2:$A$67,MATCH(_xlpm.paradero,PARADEROS_VALIDOS!$C$2:$C$67,0)))</f>
        <v>RUTA 5C</v>
      </c>
      <c r="Y260" s="29" cm="1">
        <f t="array" ref="Y260">_xlfn.LET(_xlpm.lat_emp,S260,_xlpm.lon_emp,T260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4.57</v>
      </c>
      <c r="Z260" s="4" t="str">
        <f t="shared" si="22"/>
        <v>🟠 Moderada (3-5 km)</v>
      </c>
      <c r="AA260" s="4"/>
      <c r="AB260" s="4"/>
      <c r="AC260" s="49">
        <v>-11.997563</v>
      </c>
      <c r="AD260" s="49">
        <v>-76.900062000000005</v>
      </c>
      <c r="AE260" s="19" t="str">
        <f>IFERROR(VLOOKUP(C260,tdcargo[],2,FALSE),"DESCONOCIDO")</f>
        <v>OPERARIO</v>
      </c>
    </row>
    <row r="261" spans="1:31" hidden="1" x14ac:dyDescent="0.35">
      <c r="A261" s="8">
        <v>73148566</v>
      </c>
      <c r="B261" s="4" t="s">
        <v>2883</v>
      </c>
      <c r="C261" s="4" t="s">
        <v>1971</v>
      </c>
      <c r="D261" s="5">
        <v>45810</v>
      </c>
      <c r="E261" s="4" t="s">
        <v>31</v>
      </c>
      <c r="F261" s="4" t="s">
        <v>36</v>
      </c>
      <c r="G261" s="4" t="s">
        <v>2884</v>
      </c>
      <c r="H261" s="4" t="s">
        <v>2171</v>
      </c>
      <c r="I261" s="4" t="s">
        <v>1968</v>
      </c>
      <c r="J261" s="4" t="s">
        <v>1968</v>
      </c>
      <c r="K261" s="4" t="s">
        <v>2052</v>
      </c>
      <c r="L261" s="4" t="s">
        <v>1968</v>
      </c>
      <c r="M261" s="4" t="s">
        <v>36</v>
      </c>
      <c r="N261" s="4" t="s">
        <v>2885</v>
      </c>
      <c r="O261" s="4" t="s">
        <v>37</v>
      </c>
      <c r="P261" s="4" t="s">
        <v>37</v>
      </c>
      <c r="Q261" s="10" t="s">
        <v>76</v>
      </c>
      <c r="R261" s="4" t="str">
        <f t="shared" si="19"/>
        <v>Asoc. Viv. Maria Auxiliadora Mz. 3 Lt. 12 3, Lote 12 Asoc. Viv. Maria Auxiliadora, Lurigancho, Lima, Lima, Perú</v>
      </c>
      <c r="S261" s="4">
        <v>-12.038482699999999</v>
      </c>
      <c r="T261" s="4">
        <v>-76.957009299999996</v>
      </c>
      <c r="U261" s="30">
        <f t="shared" si="20"/>
        <v>7.69</v>
      </c>
      <c r="V261" s="4" t="str">
        <f t="shared" si="21"/>
        <v>🟡 Cerca (5-10 km)</v>
      </c>
      <c r="W261" s="19" t="str" cm="1">
        <f t="array" ref="W261">_xlfn.LET(_xlpm.lat_emp,S261,_xlpm.lon_emp,T261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Av. Huarochirí con Metropolitana</v>
      </c>
      <c r="X261" s="19" t="str">
        <f>_xlfn.LET(_xlpm.paradero,W261,INDEX(PARADEROS_VALIDOS!$A$2:$A$67,MATCH(_xlpm.paradero,PARADEROS_VALIDOS!$C$2:$C$67,0)))</f>
        <v>RUTA 4A</v>
      </c>
      <c r="Y261" s="29" cm="1">
        <f t="array" ref="Y261">_xlfn.LET(_xlpm.lat_emp,S261,_xlpm.lon_emp,T261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0.34</v>
      </c>
      <c r="Z261" s="4" t="str">
        <f t="shared" si="22"/>
        <v>🟢 Muy Cerca (0-1 km)</v>
      </c>
      <c r="AA261" s="4"/>
      <c r="AB261" s="4"/>
      <c r="AC261" s="49">
        <v>-11.997563</v>
      </c>
      <c r="AD261" s="49">
        <v>-76.900062000000005</v>
      </c>
      <c r="AE261" s="19" t="str">
        <f>IFERROR(VLOOKUP(C261,tdcargo[],2,FALSE),"DESCONOCIDO")</f>
        <v>OPERARIO</v>
      </c>
    </row>
    <row r="262" spans="1:31" hidden="1" x14ac:dyDescent="0.35">
      <c r="A262" s="8">
        <v>70192804</v>
      </c>
      <c r="B262" s="4" t="s">
        <v>2886</v>
      </c>
      <c r="C262" s="4" t="s">
        <v>1971</v>
      </c>
      <c r="D262" s="5">
        <v>45075</v>
      </c>
      <c r="E262" s="4" t="s">
        <v>31</v>
      </c>
      <c r="F262" s="4" t="s">
        <v>82</v>
      </c>
      <c r="G262" s="4" t="s">
        <v>2887</v>
      </c>
      <c r="H262" s="4" t="s">
        <v>2161</v>
      </c>
      <c r="I262" s="4" t="s">
        <v>1968</v>
      </c>
      <c r="J262" s="4" t="s">
        <v>1996</v>
      </c>
      <c r="K262" s="4" t="s">
        <v>1968</v>
      </c>
      <c r="L262" s="4" t="s">
        <v>1968</v>
      </c>
      <c r="M262" s="4" t="s">
        <v>186</v>
      </c>
      <c r="N262" s="4" t="s">
        <v>46</v>
      </c>
      <c r="O262" s="4" t="s">
        <v>37</v>
      </c>
      <c r="P262" s="4" t="s">
        <v>37</v>
      </c>
      <c r="Q262" s="10" t="s">
        <v>57</v>
      </c>
      <c r="R262" s="4" t="str">
        <f t="shared" si="19"/>
        <v>Calle Andres Pineiro Mz A 14, Int. 2, Urb. Urbanización Nd, Ate, Lima, Lima, Perú</v>
      </c>
      <c r="S262" s="4">
        <v>-12.0107456</v>
      </c>
      <c r="T262" s="4">
        <v>-76.853292699999997</v>
      </c>
      <c r="U262" s="30">
        <f t="shared" si="20"/>
        <v>5.29</v>
      </c>
      <c r="V262" s="4" t="str">
        <f t="shared" si="21"/>
        <v>🟡 Cerca (5-10 km)</v>
      </c>
      <c r="W262" s="19" t="str" cm="1">
        <f t="array" ref="W262">_xlfn.LET(_xlpm.lat_emp,S262,_xlpm.lon_emp,T262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Gloria Grande</v>
      </c>
      <c r="X262" s="19" t="str">
        <f>_xlfn.LET(_xlpm.paradero,W262,INDEX(PARADEROS_VALIDOS!$A$2:$A$67,MATCH(_xlpm.paradero,PARADEROS_VALIDOS!$C$2:$C$67,0)))</f>
        <v>RUTA 5B</v>
      </c>
      <c r="Y262" s="29" cm="1">
        <f t="array" ref="Y262">_xlfn.LET(_xlpm.lat_emp,S262,_xlpm.lon_emp,T262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0.41</v>
      </c>
      <c r="Z262" s="4" t="str">
        <f t="shared" si="22"/>
        <v>🟢 Muy Cerca (0-1 km)</v>
      </c>
      <c r="AA262" s="4"/>
      <c r="AB262" s="4"/>
      <c r="AC262" s="49">
        <v>-11.997563</v>
      </c>
      <c r="AD262" s="49">
        <v>-76.900062000000005</v>
      </c>
      <c r="AE262" s="19" t="str">
        <f>IFERROR(VLOOKUP(C262,tdcargo[],2,FALSE),"DESCONOCIDO")</f>
        <v>OPERARIO</v>
      </c>
    </row>
    <row r="263" spans="1:31" hidden="1" x14ac:dyDescent="0.35">
      <c r="A263" s="8">
        <v>74863180</v>
      </c>
      <c r="B263" s="4" t="s">
        <v>2891</v>
      </c>
      <c r="C263" s="4" t="s">
        <v>1971</v>
      </c>
      <c r="D263" s="5">
        <v>46069</v>
      </c>
      <c r="E263" s="4" t="s">
        <v>31</v>
      </c>
      <c r="F263" s="4" t="s">
        <v>82</v>
      </c>
      <c r="G263" s="4" t="s">
        <v>2892</v>
      </c>
      <c r="H263" s="4" t="s">
        <v>1956</v>
      </c>
      <c r="I263" s="4" t="s">
        <v>1968</v>
      </c>
      <c r="J263" s="4" t="s">
        <v>1968</v>
      </c>
      <c r="K263" s="4" t="s">
        <v>2058</v>
      </c>
      <c r="L263" s="4" t="s">
        <v>1278</v>
      </c>
      <c r="M263" s="4" t="s">
        <v>36</v>
      </c>
      <c r="N263" s="4" t="s">
        <v>2893</v>
      </c>
      <c r="O263" s="4" t="s">
        <v>37</v>
      </c>
      <c r="P263" s="4" t="s">
        <v>37</v>
      </c>
      <c r="Q263" s="10" t="s">
        <v>57</v>
      </c>
      <c r="R263" s="4" t="str">
        <f t="shared" si="19"/>
        <v>Calle Juan Velasco Alvarad, Lote 7, Mz. A SAN ANDRES, Ate, Lima, Lima, Perú</v>
      </c>
      <c r="S263" s="4">
        <v>-12.0243108</v>
      </c>
      <c r="T263" s="4">
        <v>-76.910685099999995</v>
      </c>
      <c r="U263" s="30">
        <f t="shared" si="20"/>
        <v>3.19</v>
      </c>
      <c r="V263" s="4" t="str">
        <f t="shared" si="21"/>
        <v>🟢 Muy Cerca (0-5 km)</v>
      </c>
      <c r="W263" s="19" t="str" cm="1">
        <f t="array" ref="W263">_xlfn.LET(_xlpm.lat_emp,S263,_xlpm.lon_emp,T263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Esperanza</v>
      </c>
      <c r="X263" s="19" t="str">
        <f>_xlfn.LET(_xlpm.paradero,W263,INDEX(PARADEROS_VALIDOS!$A$2:$A$67,MATCH(_xlpm.paradero,PARADEROS_VALIDOS!$C$2:$C$67,0)))</f>
        <v>RUTA 4B</v>
      </c>
      <c r="Y263" s="29" cm="1">
        <f t="array" ref="Y263">_xlfn.LET(_xlpm.lat_emp,S263,_xlpm.lon_emp,T263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0.5</v>
      </c>
      <c r="Z263" s="4" t="str">
        <f t="shared" si="22"/>
        <v>🟢 Muy Cerca (0-1 km)</v>
      </c>
      <c r="AA263" s="4"/>
      <c r="AB263" s="4"/>
      <c r="AC263" s="49">
        <v>-11.997563</v>
      </c>
      <c r="AD263" s="49">
        <v>-76.900062000000005</v>
      </c>
      <c r="AE263" s="19" t="str">
        <f>IFERROR(VLOOKUP(C263,tdcargo[],2,FALSE),"DESCONOCIDO")</f>
        <v>OPERARIO</v>
      </c>
    </row>
    <row r="264" spans="1:31" hidden="1" x14ac:dyDescent="0.35">
      <c r="A264" s="8">
        <v>71332238</v>
      </c>
      <c r="B264" s="4" t="s">
        <v>2894</v>
      </c>
      <c r="C264" s="4" t="s">
        <v>2006</v>
      </c>
      <c r="D264" s="5">
        <v>45516</v>
      </c>
      <c r="E264" s="4" t="s">
        <v>31</v>
      </c>
      <c r="F264" s="4" t="s">
        <v>82</v>
      </c>
      <c r="G264" s="4" t="s">
        <v>2895</v>
      </c>
      <c r="H264" s="4" t="s">
        <v>1996</v>
      </c>
      <c r="I264" s="4" t="s">
        <v>1968</v>
      </c>
      <c r="J264" s="4" t="s">
        <v>1996</v>
      </c>
      <c r="K264" s="4" t="s">
        <v>1968</v>
      </c>
      <c r="L264" s="4" t="s">
        <v>1968</v>
      </c>
      <c r="M264" s="4" t="s">
        <v>36</v>
      </c>
      <c r="N264" s="4" t="s">
        <v>2896</v>
      </c>
      <c r="O264" s="4" t="s">
        <v>37</v>
      </c>
      <c r="P264" s="4" t="s">
        <v>37</v>
      </c>
      <c r="Q264" s="10" t="s">
        <v>57</v>
      </c>
      <c r="R264" s="4" t="str">
        <f t="shared" si="19"/>
        <v>Calle Sol De Vitarte Sector 6 2, Int. 2 Sol De Vitarte, Ate, Lima, Lima, Perú</v>
      </c>
      <c r="S264" s="4">
        <v>-12.0362572</v>
      </c>
      <c r="T264" s="4">
        <v>-76.935897900000001</v>
      </c>
      <c r="U264" s="30">
        <f t="shared" si="20"/>
        <v>5.81</v>
      </c>
      <c r="V264" s="4" t="str">
        <f t="shared" si="21"/>
        <v>🟡 Cerca (5-10 km)</v>
      </c>
      <c r="W264" s="19" t="str" cm="1">
        <f t="array" ref="W264">_xlfn.LET(_xlpm.lat_emp,S264,_xlpm.lon_emp,T264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Real Plaza Puruchuco (Grifo Primax)</v>
      </c>
      <c r="X264" s="19" t="str">
        <f>_xlfn.LET(_xlpm.paradero,W264,INDEX(PARADEROS_VALIDOS!$A$2:$A$67,MATCH(_xlpm.paradero,PARADEROS_VALIDOS!$C$2:$C$67,0)))</f>
        <v>RUTA 4A</v>
      </c>
      <c r="Y264" s="29" cm="1">
        <f t="array" ref="Y264">_xlfn.LET(_xlpm.lat_emp,S264,_xlpm.lon_emp,T264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0.71</v>
      </c>
      <c r="Z264" s="4" t="str">
        <f t="shared" si="22"/>
        <v>🟢 Muy Cerca (0-1 km)</v>
      </c>
      <c r="AA264" s="4"/>
      <c r="AB264" s="4"/>
      <c r="AC264" s="49">
        <v>-11.997563</v>
      </c>
      <c r="AD264" s="49">
        <v>-76.900062000000005</v>
      </c>
      <c r="AE264" s="19" t="str">
        <f>IFERROR(VLOOKUP(C264,tdcargo[],2,FALSE),"DESCONOCIDO")</f>
        <v>OPERARIO</v>
      </c>
    </row>
    <row r="265" spans="1:31" hidden="1" x14ac:dyDescent="0.35">
      <c r="A265" s="8">
        <v>77732438</v>
      </c>
      <c r="B265" s="4" t="s">
        <v>2897</v>
      </c>
      <c r="C265" s="4" t="s">
        <v>1971</v>
      </c>
      <c r="D265" s="5">
        <v>45390</v>
      </c>
      <c r="E265" s="4" t="s">
        <v>31</v>
      </c>
      <c r="F265" s="4" t="s">
        <v>82</v>
      </c>
      <c r="G265" s="4" t="s">
        <v>2898</v>
      </c>
      <c r="H265" s="4" t="s">
        <v>1956</v>
      </c>
      <c r="I265" s="4" t="s">
        <v>1968</v>
      </c>
      <c r="J265" s="4" t="s">
        <v>1968</v>
      </c>
      <c r="K265" s="4" t="s">
        <v>1968</v>
      </c>
      <c r="L265" s="4" t="s">
        <v>1968</v>
      </c>
      <c r="M265" s="4" t="s">
        <v>36</v>
      </c>
      <c r="N265" s="4" t="s">
        <v>1681</v>
      </c>
      <c r="O265" s="4" t="s">
        <v>37</v>
      </c>
      <c r="P265" s="4" t="s">
        <v>37</v>
      </c>
      <c r="Q265" s="10" t="s">
        <v>57</v>
      </c>
      <c r="R265" s="4" t="str">
        <f t="shared" si="19"/>
        <v>Calle Zona H Hm, Ate, Lima, Lima, Perú</v>
      </c>
      <c r="S265" s="4">
        <v>-12.0220717</v>
      </c>
      <c r="T265" s="4">
        <v>-76.813480600000005</v>
      </c>
      <c r="U265" s="30">
        <f t="shared" si="20"/>
        <v>9.8000000000000007</v>
      </c>
      <c r="V265" s="4" t="str">
        <f t="shared" si="21"/>
        <v>🟡 Cerca (5-10 km)</v>
      </c>
      <c r="W265" s="19" t="str" cm="1">
        <f t="array" ref="W265">_xlfn.LET(_xlpm.lat_emp,S265,_xlpm.lon_emp,T265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265" s="19" t="str">
        <f>_xlfn.LET(_xlpm.paradero,W265,INDEX(PARADEROS_VALIDOS!$A$2:$A$67,MATCH(_xlpm.paradero,PARADEROS_VALIDOS!$C$2:$C$67,0)))</f>
        <v>RUTA 3</v>
      </c>
      <c r="Y265" s="29" cm="1">
        <f t="array" ref="Y265">_xlfn.LET(_xlpm.lat_emp,S265,_xlpm.lon_emp,T265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1.08</v>
      </c>
      <c r="Z265" s="4" t="str">
        <f t="shared" si="22"/>
        <v>🟡 Cerca (1-3 km)</v>
      </c>
      <c r="AA265" s="4"/>
      <c r="AB265" s="4"/>
      <c r="AC265" s="49">
        <v>-11.997563</v>
      </c>
      <c r="AD265" s="49">
        <v>-76.900062000000005</v>
      </c>
      <c r="AE265" s="19" t="str">
        <f>IFERROR(VLOOKUP(C265,tdcargo[],2,FALSE),"DESCONOCIDO")</f>
        <v>OPERARIO</v>
      </c>
    </row>
    <row r="266" spans="1:31" hidden="1" x14ac:dyDescent="0.35">
      <c r="A266" s="8">
        <v>72254209</v>
      </c>
      <c r="B266" s="4" t="s">
        <v>2899</v>
      </c>
      <c r="C266" s="4" t="s">
        <v>1971</v>
      </c>
      <c r="D266" s="5">
        <v>45719</v>
      </c>
      <c r="E266" s="4" t="s">
        <v>31</v>
      </c>
      <c r="F266" s="4" t="s">
        <v>148</v>
      </c>
      <c r="G266" s="4" t="s">
        <v>2900</v>
      </c>
      <c r="H266" s="4" t="s">
        <v>2901</v>
      </c>
      <c r="I266" s="4" t="s">
        <v>2171</v>
      </c>
      <c r="J266" s="4" t="s">
        <v>1968</v>
      </c>
      <c r="K266" s="4" t="s">
        <v>1968</v>
      </c>
      <c r="L266" s="4" t="s">
        <v>1968</v>
      </c>
      <c r="M266" s="4" t="s">
        <v>186</v>
      </c>
      <c r="N266" s="4" t="s">
        <v>3241</v>
      </c>
      <c r="O266" s="4" t="s">
        <v>37</v>
      </c>
      <c r="P266" s="4" t="s">
        <v>37</v>
      </c>
      <c r="Q266" s="10" t="s">
        <v>1602</v>
      </c>
      <c r="R266" s="4" t="str">
        <f t="shared" si="19"/>
        <v>Pasaje Venus 126, Apt. 3, Urb. Urbanización SIN ZONA, Rimac, Lima, Lima, Perú</v>
      </c>
      <c r="S266" s="4">
        <v>-12.0211869</v>
      </c>
      <c r="T266" s="4">
        <v>-77.028258500000007</v>
      </c>
      <c r="U266" s="30">
        <f t="shared" si="20"/>
        <v>14.19</v>
      </c>
      <c r="V266" s="4" t="str">
        <f t="shared" si="21"/>
        <v>🟠 Moderada (10-20 km)</v>
      </c>
      <c r="W266" s="19" t="str" cm="1">
        <f t="array" ref="W266">_xlfn.LET(_xlpm.lat_emp,S266,_xlpm.lon_emp,T266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Mercado Las Flores</v>
      </c>
      <c r="X266" s="19" t="str">
        <f>_xlfn.LET(_xlpm.paradero,W266,INDEX(PARADEROS_VALIDOS!$A$2:$A$67,MATCH(_xlpm.paradero,PARADEROS_VALIDOS!$C$2:$C$67,0)))</f>
        <v>RUTA 8</v>
      </c>
      <c r="Y266" s="29" cm="1">
        <f t="array" ref="Y266">_xlfn.LET(_xlpm.lat_emp,S266,_xlpm.lon_emp,T266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0.54</v>
      </c>
      <c r="Z266" s="4" t="str">
        <f t="shared" si="22"/>
        <v>🟢 Muy Cerca (0-1 km)</v>
      </c>
      <c r="AA266" s="4"/>
      <c r="AB266" s="4"/>
      <c r="AC266" s="49">
        <v>-11.997563</v>
      </c>
      <c r="AD266" s="49">
        <v>-76.900062000000005</v>
      </c>
      <c r="AE266" s="19" t="str">
        <f>IFERROR(VLOOKUP(C266,tdcargo[],2,FALSE),"DESCONOCIDO")</f>
        <v>OPERARIO</v>
      </c>
    </row>
    <row r="267" spans="1:31" hidden="1" x14ac:dyDescent="0.35">
      <c r="A267" s="8">
        <v>77816349</v>
      </c>
      <c r="B267" s="4" t="s">
        <v>2902</v>
      </c>
      <c r="C267" s="4" t="s">
        <v>1971</v>
      </c>
      <c r="D267" s="5">
        <v>45400</v>
      </c>
      <c r="E267" s="4" t="s">
        <v>31</v>
      </c>
      <c r="F267" s="4" t="s">
        <v>82</v>
      </c>
      <c r="G267" s="4" t="s">
        <v>2903</v>
      </c>
      <c r="H267" s="4" t="s">
        <v>1956</v>
      </c>
      <c r="I267" s="4" t="s">
        <v>1968</v>
      </c>
      <c r="J267" s="4" t="s">
        <v>1968</v>
      </c>
      <c r="K267" s="4" t="s">
        <v>1968</v>
      </c>
      <c r="L267" s="4" t="s">
        <v>1968</v>
      </c>
      <c r="M267" s="4" t="s">
        <v>36</v>
      </c>
      <c r="N267" s="4" t="s">
        <v>279</v>
      </c>
      <c r="O267" s="4" t="s">
        <v>37</v>
      </c>
      <c r="P267" s="4" t="s">
        <v>37</v>
      </c>
      <c r="Q267" s="10" t="s">
        <v>38</v>
      </c>
      <c r="R267" s="4" t="str">
        <f t="shared" si="19"/>
        <v>Calle Cerro Los Angeles Campoy, San Juan De Lurigancho, Lima, Lima, Perú</v>
      </c>
      <c r="S267" s="4">
        <v>-12.021375300000001</v>
      </c>
      <c r="T267" s="4">
        <v>-76.968266600000007</v>
      </c>
      <c r="U267" s="30">
        <f t="shared" si="20"/>
        <v>7.88</v>
      </c>
      <c r="V267" s="4" t="str">
        <f t="shared" si="21"/>
        <v>🟡 Cerca (5-10 km)</v>
      </c>
      <c r="W267" s="19" t="str" cm="1">
        <f t="array" ref="W267">_xlfn.LET(_xlpm.lat_emp,S267,_xlpm.lon_emp,T267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Tottus Campoy</v>
      </c>
      <c r="X267" s="19" t="str">
        <f>_xlfn.LET(_xlpm.paradero,W267,INDEX(PARADEROS_VALIDOS!$A$2:$A$67,MATCH(_xlpm.paradero,PARADEROS_VALIDOS!$C$2:$C$67,0)))</f>
        <v>RUTA 6C</v>
      </c>
      <c r="Y267" s="29" cm="1">
        <f t="array" ref="Y267">_xlfn.LET(_xlpm.lat_emp,S267,_xlpm.lon_emp,T267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0.61</v>
      </c>
      <c r="Z267" s="4" t="str">
        <f t="shared" si="22"/>
        <v>🟢 Muy Cerca (0-1 km)</v>
      </c>
      <c r="AA267" s="4"/>
      <c r="AB267" s="4"/>
      <c r="AC267" s="49">
        <v>-11.997563</v>
      </c>
      <c r="AD267" s="49">
        <v>-76.900062000000005</v>
      </c>
      <c r="AE267" s="19" t="str">
        <f>IFERROR(VLOOKUP(C267,tdcargo[],2,FALSE),"DESCONOCIDO")</f>
        <v>OPERARIO</v>
      </c>
    </row>
    <row r="268" spans="1:31" hidden="1" x14ac:dyDescent="0.35">
      <c r="A268" s="8">
        <v>42487202</v>
      </c>
      <c r="B268" s="4" t="s">
        <v>2904</v>
      </c>
      <c r="C268" s="4" t="s">
        <v>1971</v>
      </c>
      <c r="D268" s="5">
        <v>44431</v>
      </c>
      <c r="E268" s="4" t="s">
        <v>31</v>
      </c>
      <c r="F268" s="4" t="s">
        <v>36</v>
      </c>
      <c r="G268" s="4" t="s">
        <v>2905</v>
      </c>
      <c r="H268" s="4" t="s">
        <v>1956</v>
      </c>
      <c r="I268" s="4" t="s">
        <v>1968</v>
      </c>
      <c r="J268" s="4" t="s">
        <v>1968</v>
      </c>
      <c r="K268" s="4" t="s">
        <v>1968</v>
      </c>
      <c r="L268" s="4" t="s">
        <v>1968</v>
      </c>
      <c r="M268" s="4" t="s">
        <v>186</v>
      </c>
      <c r="N268" s="4" t="s">
        <v>2906</v>
      </c>
      <c r="O268" s="4" t="s">
        <v>37</v>
      </c>
      <c r="P268" s="4" t="s">
        <v>37</v>
      </c>
      <c r="Q268" s="10" t="s">
        <v>38</v>
      </c>
      <c r="R268" s="4" t="str">
        <f t="shared" si="19"/>
        <v>Avenida Santa Rosa De Lima, Urb. Urbanización Urb Semi Rustica De Canto Grande, San Juan De Lurigancho, Lima, Lima, Perú</v>
      </c>
      <c r="S268" s="4">
        <v>-11.991848299999999</v>
      </c>
      <c r="T268" s="4">
        <v>-77.014922100000007</v>
      </c>
      <c r="U268" s="30">
        <f t="shared" si="20"/>
        <v>12.51</v>
      </c>
      <c r="V268" s="4" t="str">
        <f t="shared" si="21"/>
        <v>🟠 Moderada (10-20 km)</v>
      </c>
      <c r="W268" s="19" t="str" cm="1">
        <f t="array" ref="W268">_xlfn.LET(_xlpm.lat_emp,S268,_xlpm.lon_emp,T268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Carlos</v>
      </c>
      <c r="X268" s="19" t="str">
        <f>_xlfn.LET(_xlpm.paradero,W268,INDEX(PARADEROS_VALIDOS!$A$2:$A$67,MATCH(_xlpm.paradero,PARADEROS_VALIDOS!$C$2:$C$67,0)))</f>
        <v>RUTA 6B</v>
      </c>
      <c r="Y268" s="29" cm="1">
        <f t="array" ref="Y268">_xlfn.LET(_xlpm.lat_emp,S268,_xlpm.lon_emp,T268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0.56000000000000005</v>
      </c>
      <c r="Z268" s="4" t="str">
        <f t="shared" si="22"/>
        <v>🟢 Muy Cerca (0-1 km)</v>
      </c>
      <c r="AA268" s="4"/>
      <c r="AB268" s="4"/>
      <c r="AC268" s="49">
        <v>-11.997563</v>
      </c>
      <c r="AD268" s="49">
        <v>-76.900062000000005</v>
      </c>
      <c r="AE268" s="19" t="str">
        <f>IFERROR(VLOOKUP(C268,tdcargo[],2,FALSE),"DESCONOCIDO")</f>
        <v>OPERARIO</v>
      </c>
    </row>
    <row r="269" spans="1:31" hidden="1" x14ac:dyDescent="0.35">
      <c r="A269" s="8">
        <v>74938771</v>
      </c>
      <c r="B269" s="4" t="s">
        <v>2907</v>
      </c>
      <c r="C269" s="4" t="s">
        <v>1971</v>
      </c>
      <c r="D269" s="5">
        <v>45509</v>
      </c>
      <c r="E269" s="4" t="s">
        <v>31</v>
      </c>
      <c r="F269" s="4" t="s">
        <v>148</v>
      </c>
      <c r="G269" s="4" t="s">
        <v>289</v>
      </c>
      <c r="H269" s="4" t="s">
        <v>1968</v>
      </c>
      <c r="I269" s="4" t="s">
        <v>1968</v>
      </c>
      <c r="J269" s="4" t="s">
        <v>1968</v>
      </c>
      <c r="K269" s="4" t="s">
        <v>2118</v>
      </c>
      <c r="L269" s="4" t="s">
        <v>1974</v>
      </c>
      <c r="M269" s="4" t="s">
        <v>36</v>
      </c>
      <c r="N269" s="4" t="s">
        <v>2908</v>
      </c>
      <c r="O269" s="4" t="s">
        <v>37</v>
      </c>
      <c r="P269" s="4" t="s">
        <v>37</v>
      </c>
      <c r="Q269" s="10" t="s">
        <v>76</v>
      </c>
      <c r="R269" s="4" t="str">
        <f t="shared" si="19"/>
        <v>Pasaje San Juan, Lote 5, Mz. B Sector Los Carrizale, Lurigancho, Lima, Lima, Perú</v>
      </c>
      <c r="S269" s="4">
        <v>-11.9722308</v>
      </c>
      <c r="T269" s="4">
        <v>-76.772752299999993</v>
      </c>
      <c r="U269" s="30">
        <f t="shared" si="20"/>
        <v>14.13</v>
      </c>
      <c r="V269" s="4" t="str">
        <f t="shared" si="21"/>
        <v>🟠 Moderada (10-20 km)</v>
      </c>
      <c r="W269" s="19" t="str" cm="1">
        <f t="array" ref="W269">_xlfn.LET(_xlpm.lat_emp,S269,_xlpm.lon_emp,T269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269" s="19" t="str">
        <f>_xlfn.LET(_xlpm.paradero,W269,INDEX(PARADEROS_VALIDOS!$A$2:$A$67,MATCH(_xlpm.paradero,PARADEROS_VALIDOS!$C$2:$C$67,0)))</f>
        <v>RUTA 5A</v>
      </c>
      <c r="Y269" s="29" cm="1">
        <f t="array" ref="Y269">_xlfn.LET(_xlpm.lat_emp,S269,_xlpm.lon_emp,T269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0.47</v>
      </c>
      <c r="Z269" s="4" t="str">
        <f t="shared" si="22"/>
        <v>🟢 Muy Cerca (0-1 km)</v>
      </c>
      <c r="AA269" s="4"/>
      <c r="AB269" s="4"/>
      <c r="AC269" s="49">
        <v>-11.997563</v>
      </c>
      <c r="AD269" s="49">
        <v>-76.900062000000005</v>
      </c>
      <c r="AE269" s="19" t="str">
        <f>IFERROR(VLOOKUP(C269,tdcargo[],2,FALSE),"DESCONOCIDO")</f>
        <v>OPERARIO</v>
      </c>
    </row>
    <row r="270" spans="1:31" x14ac:dyDescent="0.35">
      <c r="A270" s="8">
        <v>75915153</v>
      </c>
      <c r="B270" s="4" t="s">
        <v>2909</v>
      </c>
      <c r="C270" s="4" t="s">
        <v>1971</v>
      </c>
      <c r="D270" s="5">
        <v>45505</v>
      </c>
      <c r="E270" s="4" t="s">
        <v>31</v>
      </c>
      <c r="F270" s="4" t="s">
        <v>82</v>
      </c>
      <c r="G270" s="4" t="s">
        <v>2910</v>
      </c>
      <c r="H270" s="4" t="s">
        <v>1956</v>
      </c>
      <c r="I270" s="4" t="s">
        <v>1968</v>
      </c>
      <c r="J270" s="4" t="s">
        <v>1968</v>
      </c>
      <c r="K270" s="4" t="s">
        <v>1968</v>
      </c>
      <c r="L270" s="4" t="s">
        <v>1968</v>
      </c>
      <c r="M270" s="4" t="s">
        <v>36</v>
      </c>
      <c r="N270" s="4" t="s">
        <v>2911</v>
      </c>
      <c r="O270" s="4" t="s">
        <v>37</v>
      </c>
      <c r="P270" s="4" t="s">
        <v>37</v>
      </c>
      <c r="Q270" s="10" t="s">
        <v>76</v>
      </c>
      <c r="R270" s="4" t="str">
        <f t="shared" si="19"/>
        <v>Calle Ca Moras, Las A-9D 4 Asoc Moras , Las - E Asociacion De Vivienda Las Moras, Lurigancho, Lima, Lima, Perú</v>
      </c>
      <c r="S270" s="4">
        <v>-12.1679181</v>
      </c>
      <c r="T270" s="4">
        <v>-76.988180200000002</v>
      </c>
      <c r="U270" s="30">
        <f t="shared" si="20"/>
        <v>21.23</v>
      </c>
      <c r="V270" s="4" t="str">
        <f t="shared" si="21"/>
        <v>🔴 Lejos (&gt;20 km)</v>
      </c>
      <c r="W270" s="19" t="str" cm="1">
        <f t="array" ref="W270">_xlfn.LET(_xlpm.lat_emp,S270,_xlpm.lon_emp,T270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Amauta</v>
      </c>
      <c r="X270" s="19" t="str">
        <f>_xlfn.LET(_xlpm.paradero,W270,INDEX(PARADEROS_VALIDOS!$A$2:$A$67,MATCH(_xlpm.paradero,PARADEROS_VALIDOS!$C$2:$C$67,0)))</f>
        <v>RUTA 7</v>
      </c>
      <c r="Y270" s="29" cm="1">
        <f t="array" ref="Y270">_xlfn.LET(_xlpm.lat_emp,S270,_xlpm.lon_emp,T270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0.96</v>
      </c>
      <c r="Z270" s="4" t="str">
        <f t="shared" si="22"/>
        <v>🟢 Muy Cerca (0-1 km)</v>
      </c>
      <c r="AA270" s="4"/>
      <c r="AB270" s="4"/>
      <c r="AC270" s="49">
        <v>-11.997563</v>
      </c>
      <c r="AD270" s="49">
        <v>-76.900062000000005</v>
      </c>
      <c r="AE270" s="19" t="str">
        <f>IFERROR(VLOOKUP(C270,tdcargo[],2,FALSE),"DESCONOCIDO")</f>
        <v>OPERARIO</v>
      </c>
    </row>
    <row r="271" spans="1:31" hidden="1" x14ac:dyDescent="0.35">
      <c r="A271" s="8">
        <v>47411977</v>
      </c>
      <c r="B271" s="4" t="s">
        <v>2912</v>
      </c>
      <c r="C271" s="4" t="s">
        <v>1971</v>
      </c>
      <c r="D271" s="5">
        <v>45839</v>
      </c>
      <c r="E271" s="4" t="s">
        <v>31</v>
      </c>
      <c r="F271" s="4" t="s">
        <v>36</v>
      </c>
      <c r="G271" s="4" t="s">
        <v>705</v>
      </c>
      <c r="H271" s="4" t="s">
        <v>1956</v>
      </c>
      <c r="I271" s="4" t="s">
        <v>1968</v>
      </c>
      <c r="J271" s="4" t="s">
        <v>1968</v>
      </c>
      <c r="K271" s="4" t="s">
        <v>1968</v>
      </c>
      <c r="L271" s="4" t="s">
        <v>1968</v>
      </c>
      <c r="M271" s="4" t="s">
        <v>36</v>
      </c>
      <c r="N271" s="4" t="s">
        <v>2913</v>
      </c>
      <c r="O271" s="4" t="s">
        <v>37</v>
      </c>
      <c r="P271" s="4" t="s">
        <v>37</v>
      </c>
      <c r="Q271" s="10" t="s">
        <v>57</v>
      </c>
      <c r="R271" s="4" t="str">
        <f t="shared" si="19"/>
        <v>Huaycan Ucv 79 Lote 20 Zona E, Ate, Lima, Lima, Perú</v>
      </c>
      <c r="S271" s="4">
        <v>-12.010044199999999</v>
      </c>
      <c r="T271" s="4">
        <v>-76.827822299999994</v>
      </c>
      <c r="U271" s="30">
        <f t="shared" si="20"/>
        <v>7.98</v>
      </c>
      <c r="V271" s="4" t="str">
        <f t="shared" si="21"/>
        <v>🟡 Cerca (5-10 km)</v>
      </c>
      <c r="W271" s="19" t="str" cm="1">
        <f t="array" ref="W271">_xlfn.LET(_xlpm.lat_emp,S271,_xlpm.lon_emp,T271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Horacio</v>
      </c>
      <c r="X271" s="19" t="str">
        <f>_xlfn.LET(_xlpm.paradero,W271,INDEX(PARADEROS_VALIDOS!$A$2:$A$67,MATCH(_xlpm.paradero,PARADEROS_VALIDOS!$C$2:$C$67,0)))</f>
        <v>RUTA 5B</v>
      </c>
      <c r="Y271" s="29" cm="1">
        <f t="array" ref="Y271">_xlfn.LET(_xlpm.lat_emp,S271,_xlpm.lon_emp,T271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1.56</v>
      </c>
      <c r="Z271" s="4" t="str">
        <f t="shared" si="22"/>
        <v>🟡 Cerca (1-3 km)</v>
      </c>
      <c r="AA271" s="4"/>
      <c r="AB271" s="4"/>
      <c r="AC271" s="49">
        <v>-11.997563</v>
      </c>
      <c r="AD271" s="49">
        <v>-76.900062000000005</v>
      </c>
      <c r="AE271" s="19" t="str">
        <f>IFERROR(VLOOKUP(C271,tdcargo[],2,FALSE),"DESCONOCIDO")</f>
        <v>OPERARIO</v>
      </c>
    </row>
    <row r="272" spans="1:31" hidden="1" x14ac:dyDescent="0.35">
      <c r="A272" s="8">
        <v>74276339</v>
      </c>
      <c r="B272" s="4" t="s">
        <v>2914</v>
      </c>
      <c r="C272" s="4" t="s">
        <v>1971</v>
      </c>
      <c r="D272" s="5">
        <v>45748</v>
      </c>
      <c r="E272" s="4" t="s">
        <v>31</v>
      </c>
      <c r="F272" s="4" t="s">
        <v>34</v>
      </c>
      <c r="G272" s="4" t="s">
        <v>2915</v>
      </c>
      <c r="H272" s="4" t="s">
        <v>2403</v>
      </c>
      <c r="I272" s="4" t="s">
        <v>1968</v>
      </c>
      <c r="J272" s="4" t="s">
        <v>1968</v>
      </c>
      <c r="K272" s="4" t="s">
        <v>1968</v>
      </c>
      <c r="L272" s="4" t="s">
        <v>1968</v>
      </c>
      <c r="M272" s="4" t="s">
        <v>36</v>
      </c>
      <c r="N272" s="4" t="s">
        <v>2916</v>
      </c>
      <c r="O272" s="4" t="s">
        <v>37</v>
      </c>
      <c r="P272" s="4" t="s">
        <v>37</v>
      </c>
      <c r="Q272" s="10" t="s">
        <v>76</v>
      </c>
      <c r="R272" s="4" t="str">
        <f t="shared" si="19"/>
        <v>Avenida 23 De Septiembre 16 Asociacion Agropecuaria Haras El Huayco, Lurigancho, Lima, Lima, Perú</v>
      </c>
      <c r="S272" s="4">
        <v>-11.9977234</v>
      </c>
      <c r="T272" s="4">
        <v>-76.912954200000001</v>
      </c>
      <c r="U272" s="30">
        <f t="shared" si="20"/>
        <v>1.4</v>
      </c>
      <c r="V272" s="4" t="str">
        <f t="shared" si="21"/>
        <v>🟢 Muy Cerca (0-5 km)</v>
      </c>
      <c r="W272" s="19" t="str" cm="1">
        <f t="array" ref="W272">_xlfn.LET(_xlpm.lat_emp,S272,_xlpm.lon_emp,T272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272" s="19" t="str">
        <f>_xlfn.LET(_xlpm.paradero,W272,INDEX(PARADEROS_VALIDOS!$A$2:$A$67,MATCH(_xlpm.paradero,PARADEROS_VALIDOS!$C$2:$C$67,0)))</f>
        <v>RUTA 2</v>
      </c>
      <c r="Y272" s="29" cm="1">
        <f t="array" ref="Y272">_xlfn.LET(_xlpm.lat_emp,S272,_xlpm.lon_emp,T272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1.17</v>
      </c>
      <c r="Z272" s="4" t="str">
        <f t="shared" si="22"/>
        <v>🟡 Cerca (1-3 km)</v>
      </c>
      <c r="AA272" s="4"/>
      <c r="AB272" s="4"/>
      <c r="AC272" s="49">
        <v>-11.997563</v>
      </c>
      <c r="AD272" s="49">
        <v>-76.900062000000005</v>
      </c>
      <c r="AE272" s="19" t="str">
        <f>IFERROR(VLOOKUP(C272,tdcargo[],2,FALSE),"DESCONOCIDO")</f>
        <v>OPERARIO</v>
      </c>
    </row>
    <row r="273" spans="1:31" hidden="1" x14ac:dyDescent="0.35">
      <c r="A273" s="8">
        <v>73267084</v>
      </c>
      <c r="B273" s="4" t="s">
        <v>2920</v>
      </c>
      <c r="C273" s="4" t="s">
        <v>1971</v>
      </c>
      <c r="D273" s="5">
        <v>45784</v>
      </c>
      <c r="E273" s="4" t="s">
        <v>31</v>
      </c>
      <c r="F273" s="4" t="s">
        <v>82</v>
      </c>
      <c r="G273" s="4" t="s">
        <v>249</v>
      </c>
      <c r="H273" s="4" t="s">
        <v>2656</v>
      </c>
      <c r="I273" s="4" t="s">
        <v>1968</v>
      </c>
      <c r="J273" s="4" t="s">
        <v>1968</v>
      </c>
      <c r="K273" s="4" t="s">
        <v>1968</v>
      </c>
      <c r="L273" s="4" t="s">
        <v>1987</v>
      </c>
      <c r="M273" s="4" t="s">
        <v>36</v>
      </c>
      <c r="N273" s="4" t="s">
        <v>2921</v>
      </c>
      <c r="O273" s="4" t="s">
        <v>37</v>
      </c>
      <c r="P273" s="4" t="s">
        <v>37</v>
      </c>
      <c r="Q273" s="10" t="s">
        <v>118</v>
      </c>
      <c r="R273" s="4" t="str">
        <f t="shared" si="19"/>
        <v>Calle Los Eucaliptos 43, Mz. J Malteria, Chaclacayo, Lima, Lima, Perú</v>
      </c>
      <c r="S273" s="4">
        <v>-11.9809014</v>
      </c>
      <c r="T273" s="4">
        <v>-76.779341900000006</v>
      </c>
      <c r="U273" s="30">
        <f t="shared" si="20"/>
        <v>13.26</v>
      </c>
      <c r="V273" s="4" t="str">
        <f t="shared" si="21"/>
        <v>🟠 Moderada (10-20 km)</v>
      </c>
      <c r="W273" s="19" t="str" cm="1">
        <f t="array" ref="W273">_xlfn.LET(_xlpm.lat_emp,S273,_xlpm.lon_emp,T273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Mercado Ramiro Prialé</v>
      </c>
      <c r="X273" s="19" t="str">
        <f>_xlfn.LET(_xlpm.paradero,W273,INDEX(PARADEROS_VALIDOS!$A$2:$A$67,MATCH(_xlpm.paradero,PARADEROS_VALIDOS!$C$2:$C$67,0)))</f>
        <v>RUTA 5A</v>
      </c>
      <c r="Y273" s="29" cm="1">
        <f t="array" ref="Y273">_xlfn.LET(_xlpm.lat_emp,S273,_xlpm.lon_emp,T273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0.4</v>
      </c>
      <c r="Z273" s="4" t="str">
        <f t="shared" si="22"/>
        <v>🟢 Muy Cerca (0-1 km)</v>
      </c>
      <c r="AA273" s="4"/>
      <c r="AB273" s="4"/>
      <c r="AC273" s="49">
        <v>-11.997563</v>
      </c>
      <c r="AD273" s="49">
        <v>-76.900062000000005</v>
      </c>
      <c r="AE273" s="19" t="str">
        <f>IFERROR(VLOOKUP(C273,tdcargo[],2,FALSE),"DESCONOCIDO")</f>
        <v>OPERARIO</v>
      </c>
    </row>
    <row r="274" spans="1:31" hidden="1" x14ac:dyDescent="0.35">
      <c r="A274" s="8">
        <v>46261152</v>
      </c>
      <c r="B274" s="4" t="s">
        <v>2922</v>
      </c>
      <c r="C274" s="4" t="s">
        <v>1971</v>
      </c>
      <c r="D274" s="5">
        <v>45075</v>
      </c>
      <c r="E274" s="4" t="s">
        <v>31</v>
      </c>
      <c r="F274" s="4" t="s">
        <v>82</v>
      </c>
      <c r="G274" s="4" t="s">
        <v>2923</v>
      </c>
      <c r="H274" s="4" t="s">
        <v>1956</v>
      </c>
      <c r="I274" s="4" t="s">
        <v>1968</v>
      </c>
      <c r="J274" s="4" t="s">
        <v>1968</v>
      </c>
      <c r="K274" s="4" t="s">
        <v>1968</v>
      </c>
      <c r="L274" s="4" t="s">
        <v>1968</v>
      </c>
      <c r="M274" s="4" t="s">
        <v>186</v>
      </c>
      <c r="N274" s="4" t="s">
        <v>2924</v>
      </c>
      <c r="O274" s="4" t="s">
        <v>37</v>
      </c>
      <c r="P274" s="4" t="s">
        <v>37</v>
      </c>
      <c r="Q274" s="10" t="s">
        <v>38</v>
      </c>
      <c r="R274" s="4" t="str">
        <f t="shared" si="19"/>
        <v>Calle Las Gardeniaz, Urb. Urbanización Horizonte De Zarate, San Juan De Lurigancho, Lima, Lima, Perú</v>
      </c>
      <c r="S274" s="4">
        <v>-12.0131532</v>
      </c>
      <c r="T274" s="4">
        <v>-76.993240799999995</v>
      </c>
      <c r="U274" s="30">
        <f t="shared" si="20"/>
        <v>10.28</v>
      </c>
      <c r="V274" s="4" t="str">
        <f t="shared" si="21"/>
        <v>🟠 Moderada (10-20 km)</v>
      </c>
      <c r="W274" s="19" t="str" cm="1">
        <f t="array" ref="W274">_xlfn.LET(_xlpm.lat_emp,S274,_xlpm.lon_emp,T274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Celima</v>
      </c>
      <c r="X274" s="19" t="str">
        <f>_xlfn.LET(_xlpm.paradero,W274,INDEX(PARADEROS_VALIDOS!$A$2:$A$67,MATCH(_xlpm.paradero,PARADEROS_VALIDOS!$C$2:$C$67,0)))</f>
        <v>RUTA 6C</v>
      </c>
      <c r="Y274" s="29" cm="1">
        <f t="array" ref="Y274">_xlfn.LET(_xlpm.lat_emp,S274,_xlpm.lon_emp,T274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0.91</v>
      </c>
      <c r="Z274" s="4" t="str">
        <f t="shared" si="22"/>
        <v>🟢 Muy Cerca (0-1 km)</v>
      </c>
      <c r="AA274" s="4"/>
      <c r="AB274" s="4"/>
      <c r="AC274" s="49">
        <v>-11.997563</v>
      </c>
      <c r="AD274" s="49">
        <v>-76.900062000000005</v>
      </c>
      <c r="AE274" s="19" t="str">
        <f>IFERROR(VLOOKUP(C274,tdcargo[],2,FALSE),"DESCONOCIDO")</f>
        <v>OPERARIO</v>
      </c>
    </row>
    <row r="275" spans="1:31" hidden="1" x14ac:dyDescent="0.35">
      <c r="A275" s="8">
        <v>43579637</v>
      </c>
      <c r="B275" s="4" t="s">
        <v>2929</v>
      </c>
      <c r="C275" s="4" t="s">
        <v>1971</v>
      </c>
      <c r="D275" s="5">
        <v>45008</v>
      </c>
      <c r="E275" s="4" t="s">
        <v>31</v>
      </c>
      <c r="F275" s="4" t="s">
        <v>82</v>
      </c>
      <c r="G275" s="4" t="s">
        <v>787</v>
      </c>
      <c r="H275" s="4" t="s">
        <v>1956</v>
      </c>
      <c r="I275" s="4" t="s">
        <v>1968</v>
      </c>
      <c r="J275" s="4" t="s">
        <v>1968</v>
      </c>
      <c r="K275" s="4" t="s">
        <v>1968</v>
      </c>
      <c r="L275" s="4" t="s">
        <v>1968</v>
      </c>
      <c r="M275" s="4" t="s">
        <v>186</v>
      </c>
      <c r="N275" s="4" t="s">
        <v>2371</v>
      </c>
      <c r="O275" s="4" t="s">
        <v>37</v>
      </c>
      <c r="P275" s="4" t="s">
        <v>37</v>
      </c>
      <c r="Q275" s="10" t="s">
        <v>57</v>
      </c>
      <c r="R275" s="4" t="str">
        <f t="shared" si="19"/>
        <v>Calle San Martin, Urb. Urbanización Amauta B, Ate, Lima, Lima, Perú</v>
      </c>
      <c r="S275" s="4">
        <v>-12.026482100000001</v>
      </c>
      <c r="T275" s="4">
        <v>-76.923767900000001</v>
      </c>
      <c r="U275" s="30">
        <f t="shared" si="20"/>
        <v>4.12</v>
      </c>
      <c r="V275" s="4" t="str">
        <f t="shared" si="21"/>
        <v>🟢 Muy Cerca (0-5 km)</v>
      </c>
      <c r="W275" s="19" t="str" cm="1">
        <f t="array" ref="W275">_xlfn.LET(_xlpm.lat_emp,S275,_xlpm.lon_emp,T275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Panadería Marcela (cruce de la carretera central, con Av. Jose Carlos Mariátegui)</v>
      </c>
      <c r="X275" s="19" t="str">
        <f>_xlfn.LET(_xlpm.paradero,W275,INDEX(PARADEROS_VALIDOS!$A$2:$A$67,MATCH(_xlpm.paradero,PARADEROS_VALIDOS!$C$2:$C$67,0)))</f>
        <v>RUTA 4B</v>
      </c>
      <c r="Y275" s="29" cm="1">
        <f t="array" ref="Y275">_xlfn.LET(_xlpm.lat_emp,S275,_xlpm.lon_emp,T275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0.34</v>
      </c>
      <c r="Z275" s="4" t="str">
        <f t="shared" si="22"/>
        <v>🟢 Muy Cerca (0-1 km)</v>
      </c>
      <c r="AA275" s="4"/>
      <c r="AB275" s="4"/>
      <c r="AC275" s="49">
        <v>-11.997563</v>
      </c>
      <c r="AD275" s="49">
        <v>-76.900062000000005</v>
      </c>
      <c r="AE275" s="19" t="str">
        <f>IFERROR(VLOOKUP(C275,tdcargo[],2,FALSE),"DESCONOCIDO")</f>
        <v>OPERARIO</v>
      </c>
    </row>
    <row r="276" spans="1:31" hidden="1" x14ac:dyDescent="0.35">
      <c r="A276" s="8">
        <v>77709051</v>
      </c>
      <c r="B276" s="4" t="s">
        <v>2930</v>
      </c>
      <c r="C276" s="4" t="s">
        <v>1971</v>
      </c>
      <c r="D276" s="5">
        <v>45887</v>
      </c>
      <c r="E276" s="4" t="s">
        <v>31</v>
      </c>
      <c r="F276" s="4" t="s">
        <v>82</v>
      </c>
      <c r="G276" s="4" t="s">
        <v>787</v>
      </c>
      <c r="H276" s="4" t="s">
        <v>1956</v>
      </c>
      <c r="I276" s="4" t="s">
        <v>1968</v>
      </c>
      <c r="J276" s="4" t="s">
        <v>1968</v>
      </c>
      <c r="K276" s="4" t="s">
        <v>2931</v>
      </c>
      <c r="L276" s="4" t="s">
        <v>1968</v>
      </c>
      <c r="M276" s="4" t="s">
        <v>36</v>
      </c>
      <c r="N276" s="4" t="s">
        <v>787</v>
      </c>
      <c r="O276" s="4" t="s">
        <v>37</v>
      </c>
      <c r="P276" s="4" t="s">
        <v>37</v>
      </c>
      <c r="Q276" s="10" t="s">
        <v>57</v>
      </c>
      <c r="R276" s="4" t="str">
        <f t="shared" si="19"/>
        <v>Calle San Martin, Lote 68 San Martin, Ate, Lima, Lima, Perú</v>
      </c>
      <c r="S276" s="4">
        <v>-12.0212351</v>
      </c>
      <c r="T276" s="4">
        <v>-76.891988600000005</v>
      </c>
      <c r="U276" s="30">
        <f t="shared" si="20"/>
        <v>2.77</v>
      </c>
      <c r="V276" s="4" t="str">
        <f t="shared" si="21"/>
        <v>🟢 Muy Cerca (0-5 km)</v>
      </c>
      <c r="W276" s="19" t="str" cm="1">
        <f t="array" ref="W276">_xlfn.LET(_xlpm.lat_emp,S276,_xlpm.lon_emp,T276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Sta. Clara</v>
      </c>
      <c r="X276" s="19" t="str">
        <f>_xlfn.LET(_xlpm.paradero,W276,INDEX(PARADEROS_VALIDOS!$A$2:$A$67,MATCH(_xlpm.paradero,PARADEROS_VALIDOS!$C$2:$C$67,0)))</f>
        <v>RUTA 5C</v>
      </c>
      <c r="Y276" s="29" cm="1">
        <f t="array" ref="Y276">_xlfn.LET(_xlpm.lat_emp,S276,_xlpm.lon_emp,T276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1.02</v>
      </c>
      <c r="Z276" s="4" t="str">
        <f t="shared" si="22"/>
        <v>🟡 Cerca (1-3 km)</v>
      </c>
      <c r="AA276" s="4"/>
      <c r="AB276" s="4"/>
      <c r="AC276" s="49">
        <v>-11.997563</v>
      </c>
      <c r="AD276" s="49">
        <v>-76.900062000000005</v>
      </c>
      <c r="AE276" s="19" t="str">
        <f>IFERROR(VLOOKUP(C276,tdcargo[],2,FALSE),"DESCONOCIDO")</f>
        <v>OPERARIO</v>
      </c>
    </row>
    <row r="277" spans="1:31" hidden="1" x14ac:dyDescent="0.35">
      <c r="A277" s="8">
        <v>75229161</v>
      </c>
      <c r="B277" s="4" t="s">
        <v>2932</v>
      </c>
      <c r="C277" s="4" t="s">
        <v>1971</v>
      </c>
      <c r="D277" s="5">
        <v>45915</v>
      </c>
      <c r="E277" s="4" t="s">
        <v>31</v>
      </c>
      <c r="F277" s="4" t="s">
        <v>82</v>
      </c>
      <c r="G277" s="4" t="s">
        <v>2933</v>
      </c>
      <c r="H277" s="4" t="s">
        <v>1956</v>
      </c>
      <c r="I277" s="4" t="s">
        <v>1968</v>
      </c>
      <c r="J277" s="4" t="s">
        <v>1995</v>
      </c>
      <c r="K277" s="4" t="s">
        <v>2118</v>
      </c>
      <c r="L277" s="4" t="s">
        <v>1461</v>
      </c>
      <c r="M277" s="4" t="s">
        <v>36</v>
      </c>
      <c r="N277" s="4" t="s">
        <v>1438</v>
      </c>
      <c r="O277" s="4" t="s">
        <v>37</v>
      </c>
      <c r="P277" s="4" t="s">
        <v>37</v>
      </c>
      <c r="Q277" s="10" t="s">
        <v>57</v>
      </c>
      <c r="R277" s="4" t="str">
        <f t="shared" si="19"/>
        <v>Calle 15 De Abril, Int. 1, Lote 5, Mz. C Micaela Bastidas, Ate, Lima, Lima, Perú</v>
      </c>
      <c r="S277" s="4">
        <v>-12.0452914</v>
      </c>
      <c r="T277" s="4">
        <v>-76.929210900000001</v>
      </c>
      <c r="U277" s="30">
        <f t="shared" si="20"/>
        <v>6.18</v>
      </c>
      <c r="V277" s="4" t="str">
        <f t="shared" si="21"/>
        <v>🟡 Cerca (5-10 km)</v>
      </c>
      <c r="W277" s="19" t="str" cm="1">
        <f t="array" ref="W277">_xlfn.LET(_xlpm.lat_emp,S277,_xlpm.lon_emp,T277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Real Plaza Puruchuco (Grifo Primax)</v>
      </c>
      <c r="X277" s="19" t="str">
        <f>_xlfn.LET(_xlpm.paradero,W277,INDEX(PARADEROS_VALIDOS!$A$2:$A$67,MATCH(_xlpm.paradero,PARADEROS_VALIDOS!$C$2:$C$67,0)))</f>
        <v>RUTA 4A</v>
      </c>
      <c r="Y277" s="29" cm="1">
        <f t="array" ref="Y277">_xlfn.LET(_xlpm.lat_emp,S277,_xlpm.lon_emp,T277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0.53</v>
      </c>
      <c r="Z277" s="4" t="str">
        <f t="shared" si="22"/>
        <v>🟢 Muy Cerca (0-1 km)</v>
      </c>
      <c r="AA277" s="4"/>
      <c r="AB277" s="4"/>
      <c r="AC277" s="49">
        <v>-11.997563</v>
      </c>
      <c r="AD277" s="49">
        <v>-76.900062000000005</v>
      </c>
      <c r="AE277" s="19" t="str">
        <f>IFERROR(VLOOKUP(C277,tdcargo[],2,FALSE),"DESCONOCIDO")</f>
        <v>OPERARIO</v>
      </c>
    </row>
    <row r="278" spans="1:31" hidden="1" x14ac:dyDescent="0.35">
      <c r="A278" s="8">
        <v>72086202</v>
      </c>
      <c r="B278" s="4" t="s">
        <v>2934</v>
      </c>
      <c r="C278" s="4" t="s">
        <v>1971</v>
      </c>
      <c r="D278" s="5">
        <v>44630</v>
      </c>
      <c r="E278" s="4" t="s">
        <v>31</v>
      </c>
      <c r="F278" s="4" t="s">
        <v>36</v>
      </c>
      <c r="G278" s="4" t="s">
        <v>2935</v>
      </c>
      <c r="H278" s="4" t="s">
        <v>1956</v>
      </c>
      <c r="I278" s="4" t="s">
        <v>1968</v>
      </c>
      <c r="J278" s="4" t="s">
        <v>1968</v>
      </c>
      <c r="K278" s="4" t="s">
        <v>1968</v>
      </c>
      <c r="L278" s="4" t="s">
        <v>1968</v>
      </c>
      <c r="M278" s="4" t="s">
        <v>55</v>
      </c>
      <c r="N278" s="4" t="s">
        <v>2936</v>
      </c>
      <c r="O278" s="4" t="s">
        <v>37</v>
      </c>
      <c r="P278" s="4" t="s">
        <v>37</v>
      </c>
      <c r="Q278" s="10" t="s">
        <v>57</v>
      </c>
      <c r="R278" s="4" t="str">
        <f t="shared" si="19"/>
        <v>Coop. Ramiro Priale Priale, Coo. Cooperativa Ramiro Priale Priale, Ate, Lima, Lima, Perú</v>
      </c>
      <c r="S278" s="4">
        <v>-12.0375791</v>
      </c>
      <c r="T278" s="4">
        <v>-76.892906800000006</v>
      </c>
      <c r="U278" s="30">
        <f t="shared" si="20"/>
        <v>4.5199999999999996</v>
      </c>
      <c r="V278" s="4" t="str">
        <f t="shared" si="21"/>
        <v>🟢 Muy Cerca (0-5 km)</v>
      </c>
      <c r="W278" s="19" t="str" cm="1">
        <f t="array" ref="W278">_xlfn.LET(_xlpm.lat_emp,S278,_xlpm.lon_emp,T278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Esperanza</v>
      </c>
      <c r="X278" s="19" t="str">
        <f>_xlfn.LET(_xlpm.paradero,W278,INDEX(PARADEROS_VALIDOS!$A$2:$A$67,MATCH(_xlpm.paradero,PARADEROS_VALIDOS!$C$2:$C$67,0)))</f>
        <v>RUTA 4B</v>
      </c>
      <c r="Y278" s="29" cm="1">
        <f t="array" ref="Y278">_xlfn.LET(_xlpm.lat_emp,S278,_xlpm.lon_emp,T278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2.3199999999999998</v>
      </c>
      <c r="Z278" s="4" t="str">
        <f t="shared" si="22"/>
        <v>🟡 Cerca (1-3 km)</v>
      </c>
      <c r="AA278" s="4"/>
      <c r="AB278" s="4"/>
      <c r="AC278" s="49">
        <v>-11.997563</v>
      </c>
      <c r="AD278" s="49">
        <v>-76.900062000000005</v>
      </c>
      <c r="AE278" s="19" t="str">
        <f>IFERROR(VLOOKUP(C278,tdcargo[],2,FALSE),"DESCONOCIDO")</f>
        <v>OPERARIO</v>
      </c>
    </row>
    <row r="279" spans="1:31" hidden="1" x14ac:dyDescent="0.35">
      <c r="A279" s="8">
        <v>60918618</v>
      </c>
      <c r="B279" s="4" t="s">
        <v>2945</v>
      </c>
      <c r="C279" s="4" t="s">
        <v>1971</v>
      </c>
      <c r="D279" s="5">
        <v>46069</v>
      </c>
      <c r="E279" s="4" t="s">
        <v>31</v>
      </c>
      <c r="F279" s="4" t="s">
        <v>34</v>
      </c>
      <c r="G279" s="4" t="s">
        <v>1135</v>
      </c>
      <c r="H279" s="4" t="s">
        <v>2052</v>
      </c>
      <c r="I279" s="4" t="s">
        <v>1968</v>
      </c>
      <c r="J279" s="4" t="s">
        <v>1968</v>
      </c>
      <c r="K279" s="4" t="s">
        <v>1968</v>
      </c>
      <c r="L279" s="4" t="s">
        <v>2196</v>
      </c>
      <c r="M279" s="4" t="s">
        <v>36</v>
      </c>
      <c r="N279" s="4" t="s">
        <v>2946</v>
      </c>
      <c r="O279" s="4" t="s">
        <v>37</v>
      </c>
      <c r="P279" s="4" t="s">
        <v>37</v>
      </c>
      <c r="Q279" s="10" t="s">
        <v>76</v>
      </c>
      <c r="R279" s="4" t="str">
        <f t="shared" si="19"/>
        <v>Avenida 16 De Mayo 12, Mz. N BASILIO AUQUI, Lurigancho, Lima, Lima, Perú</v>
      </c>
      <c r="S279" s="4">
        <v>-11.993431599999999</v>
      </c>
      <c r="T279" s="4">
        <v>-76.951778399999995</v>
      </c>
      <c r="U279" s="30">
        <f t="shared" si="20"/>
        <v>5.64</v>
      </c>
      <c r="V279" s="4" t="str">
        <f t="shared" si="21"/>
        <v>🟡 Cerca (5-10 km)</v>
      </c>
      <c r="W279" s="19" t="str" cm="1">
        <f t="array" ref="W279">_xlfn.LET(_xlpm.lat_emp,S279,_xlpm.lon_emp,T279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Saracoto</v>
      </c>
      <c r="X279" s="19" t="str">
        <f>_xlfn.LET(_xlpm.paradero,W279,INDEX(PARADEROS_VALIDOS!$A$2:$A$67,MATCH(_xlpm.paradero,PARADEROS_VALIDOS!$C$2:$C$67,0)))</f>
        <v>RUTA 1</v>
      </c>
      <c r="Y279" s="29" cm="1">
        <f t="array" ref="Y279">_xlfn.LET(_xlpm.lat_emp,S279,_xlpm.lon_emp,T279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3.87</v>
      </c>
      <c r="Z279" s="4" t="str">
        <f t="shared" si="22"/>
        <v>🟠 Moderada (3-5 km)</v>
      </c>
      <c r="AA279" s="4"/>
      <c r="AB279" s="4"/>
      <c r="AC279" s="49">
        <v>-11.997563</v>
      </c>
      <c r="AD279" s="49">
        <v>-76.900062000000005</v>
      </c>
      <c r="AE279" s="19" t="str">
        <f>IFERROR(VLOOKUP(C279,tdcargo[],2,FALSE),"DESCONOCIDO")</f>
        <v>OPERARIO</v>
      </c>
    </row>
    <row r="280" spans="1:31" hidden="1" x14ac:dyDescent="0.35">
      <c r="A280" s="8">
        <v>72957778</v>
      </c>
      <c r="B280" s="4" t="s">
        <v>2947</v>
      </c>
      <c r="C280" s="4" t="s">
        <v>1971</v>
      </c>
      <c r="D280" s="5">
        <v>46072</v>
      </c>
      <c r="E280" s="4" t="s">
        <v>31</v>
      </c>
      <c r="F280" s="4" t="s">
        <v>793</v>
      </c>
      <c r="G280" s="4" t="s">
        <v>705</v>
      </c>
      <c r="H280" s="4" t="s">
        <v>1956</v>
      </c>
      <c r="I280" s="4" t="s">
        <v>1968</v>
      </c>
      <c r="J280" s="4" t="s">
        <v>1968</v>
      </c>
      <c r="K280" s="4" t="s">
        <v>2948</v>
      </c>
      <c r="L280" s="4" t="s">
        <v>1968</v>
      </c>
      <c r="M280" s="4" t="s">
        <v>36</v>
      </c>
      <c r="N280" s="4" t="s">
        <v>727</v>
      </c>
      <c r="O280" s="4" t="s">
        <v>37</v>
      </c>
      <c r="P280" s="4" t="s">
        <v>37</v>
      </c>
      <c r="Q280" s="10" t="s">
        <v>57</v>
      </c>
      <c r="R280" s="4" t="str">
        <f t="shared" si="19"/>
        <v>Carretera Huaycan, Lote 112 HUAYCAN, Ate, Lima, Lima, Perú</v>
      </c>
      <c r="S280" s="4">
        <v>-12.0201464</v>
      </c>
      <c r="T280" s="4">
        <v>-76.8175454</v>
      </c>
      <c r="U280" s="30">
        <f t="shared" si="20"/>
        <v>9.32</v>
      </c>
      <c r="V280" s="4" t="str">
        <f t="shared" si="21"/>
        <v>🟡 Cerca (5-10 km)</v>
      </c>
      <c r="W280" s="19" t="str" cm="1">
        <f t="array" ref="W280">_xlfn.LET(_xlpm.lat_emp,S280,_xlpm.lon_emp,T280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280" s="19" t="str">
        <f>_xlfn.LET(_xlpm.paradero,W280,INDEX(PARADEROS_VALIDOS!$A$2:$A$67,MATCH(_xlpm.paradero,PARADEROS_VALIDOS!$C$2:$C$67,0)))</f>
        <v>RUTA 3</v>
      </c>
      <c r="Y280" s="29" cm="1">
        <f t="array" ref="Y280">_xlfn.LET(_xlpm.lat_emp,S280,_xlpm.lon_emp,T280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0.84</v>
      </c>
      <c r="Z280" s="4" t="str">
        <f t="shared" si="22"/>
        <v>🟢 Muy Cerca (0-1 km)</v>
      </c>
      <c r="AA280" s="4"/>
      <c r="AB280" s="4"/>
      <c r="AC280" s="49">
        <v>-11.997563</v>
      </c>
      <c r="AD280" s="49">
        <v>-76.900062000000005</v>
      </c>
      <c r="AE280" s="19" t="str">
        <f>IFERROR(VLOOKUP(C280,tdcargo[],2,FALSE),"DESCONOCIDO")</f>
        <v>OPERARIO</v>
      </c>
    </row>
    <row r="281" spans="1:31" hidden="1" x14ac:dyDescent="0.35">
      <c r="A281" s="8">
        <v>70947405</v>
      </c>
      <c r="B281" s="4" t="s">
        <v>2949</v>
      </c>
      <c r="C281" s="4" t="s">
        <v>1971</v>
      </c>
      <c r="D281" s="5">
        <v>45931</v>
      </c>
      <c r="E281" s="4" t="s">
        <v>31</v>
      </c>
      <c r="F281" s="4" t="s">
        <v>34</v>
      </c>
      <c r="G281" s="4" t="s">
        <v>1017</v>
      </c>
      <c r="H281" s="4" t="s">
        <v>1981</v>
      </c>
      <c r="I281" s="4" t="s">
        <v>1968</v>
      </c>
      <c r="J281" s="4" t="s">
        <v>1968</v>
      </c>
      <c r="K281" s="4" t="s">
        <v>1981</v>
      </c>
      <c r="L281" s="4" t="s">
        <v>1974</v>
      </c>
      <c r="M281" s="4" t="s">
        <v>36</v>
      </c>
      <c r="N281" s="4" t="s">
        <v>2950</v>
      </c>
      <c r="O281" s="4" t="s">
        <v>37</v>
      </c>
      <c r="P281" s="4" t="s">
        <v>37</v>
      </c>
      <c r="Q281" s="10" t="s">
        <v>76</v>
      </c>
      <c r="R281" s="4" t="str">
        <f t="shared" si="19"/>
        <v>Avenida Cajamarquilla 6, Lote 6, Mz. B Sol De Chambala, Lurigancho, Lima, Lima, Perú</v>
      </c>
      <c r="S281" s="4">
        <v>-11.998999700000001</v>
      </c>
      <c r="T281" s="4">
        <v>-76.907456499999995</v>
      </c>
      <c r="U281" s="30">
        <f t="shared" si="20"/>
        <v>0.82</v>
      </c>
      <c r="V281" s="4" t="str">
        <f t="shared" si="21"/>
        <v>🟢 Muy Cerca (0-5 km)</v>
      </c>
      <c r="W281" s="19" t="str" cm="1">
        <f t="array" ref="W281">_xlfn.LET(_xlpm.lat_emp,S281,_xlpm.lon_emp,T281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281" s="19" t="str">
        <f>_xlfn.LET(_xlpm.paradero,W281,INDEX(PARADEROS_VALIDOS!$A$2:$A$67,MATCH(_xlpm.paradero,PARADEROS_VALIDOS!$C$2:$C$67,0)))</f>
        <v>RUTA 2</v>
      </c>
      <c r="Y281" s="29" cm="1">
        <f t="array" ref="Y281">_xlfn.LET(_xlpm.lat_emp,S281,_xlpm.lon_emp,T281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0.77</v>
      </c>
      <c r="Z281" s="4" t="str">
        <f t="shared" si="22"/>
        <v>🟢 Muy Cerca (0-1 km)</v>
      </c>
      <c r="AA281" s="4"/>
      <c r="AB281" s="4"/>
      <c r="AC281" s="49">
        <v>-11.997563</v>
      </c>
      <c r="AD281" s="49">
        <v>-76.900062000000005</v>
      </c>
      <c r="AE281" s="19" t="str">
        <f>IFERROR(VLOOKUP(C281,tdcargo[],2,FALSE),"DESCONOCIDO")</f>
        <v>OPERARIO</v>
      </c>
    </row>
    <row r="282" spans="1:31" hidden="1" x14ac:dyDescent="0.35">
      <c r="A282" s="8">
        <v>76395887</v>
      </c>
      <c r="B282" s="4" t="s">
        <v>2951</v>
      </c>
      <c r="C282" s="4" t="s">
        <v>1971</v>
      </c>
      <c r="D282" s="5">
        <v>46062</v>
      </c>
      <c r="E282" s="4" t="s">
        <v>31</v>
      </c>
      <c r="F282" s="4" t="s">
        <v>82</v>
      </c>
      <c r="G282" s="4" t="s">
        <v>976</v>
      </c>
      <c r="H282" s="4" t="s">
        <v>2952</v>
      </c>
      <c r="I282" s="4" t="s">
        <v>1968</v>
      </c>
      <c r="J282" s="4" t="s">
        <v>1968</v>
      </c>
      <c r="K282" s="4" t="s">
        <v>1968</v>
      </c>
      <c r="L282" s="4" t="s">
        <v>1968</v>
      </c>
      <c r="M282" s="4" t="s">
        <v>36</v>
      </c>
      <c r="N282" s="4" t="s">
        <v>2953</v>
      </c>
      <c r="O282" s="4" t="s">
        <v>37</v>
      </c>
      <c r="P282" s="4" t="s">
        <v>37</v>
      </c>
      <c r="Q282" s="10" t="s">
        <v>347</v>
      </c>
      <c r="R282" s="4" t="str">
        <f t="shared" si="19"/>
        <v>Calle Las Gardenias 561 SAN JOSE, El Agustino, Lima, Lima, Perú</v>
      </c>
      <c r="S282" s="4">
        <v>-12.0321956</v>
      </c>
      <c r="T282" s="4">
        <v>-77.003768100000002</v>
      </c>
      <c r="U282" s="30">
        <f t="shared" si="20"/>
        <v>11.92</v>
      </c>
      <c r="V282" s="4" t="str">
        <f t="shared" si="21"/>
        <v>🟠 Moderada (10-20 km)</v>
      </c>
      <c r="W282" s="19" t="str" cm="1">
        <f t="array" ref="W282">_xlfn.LET(_xlpm.lat_emp,S282,_xlpm.lon_emp,T282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Puente Nuevo (Av. Chinchaysuyo &amp; Av. Malecón Checa)</v>
      </c>
      <c r="X282" s="19" t="str">
        <f>_xlfn.LET(_xlpm.paradero,W282,INDEX(PARADEROS_VALIDOS!$A$2:$A$67,MATCH(_xlpm.paradero,PARADEROS_VALIDOS!$C$2:$C$67,0)))</f>
        <v>RUTA 6C</v>
      </c>
      <c r="Y282" s="29" cm="1">
        <f t="array" ref="Y282">_xlfn.LET(_xlpm.lat_emp,S282,_xlpm.lon_emp,T282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1.17</v>
      </c>
      <c r="Z282" s="4" t="str">
        <f t="shared" si="22"/>
        <v>🟡 Cerca (1-3 km)</v>
      </c>
      <c r="AA282" s="4"/>
      <c r="AB282" s="4"/>
      <c r="AC282" s="49">
        <v>-11.997563</v>
      </c>
      <c r="AD282" s="49">
        <v>-76.900062000000005</v>
      </c>
      <c r="AE282" s="19" t="str">
        <f>IFERROR(VLOOKUP(C282,tdcargo[],2,FALSE),"DESCONOCIDO")</f>
        <v>OPERARIO</v>
      </c>
    </row>
    <row r="283" spans="1:31" hidden="1" x14ac:dyDescent="0.35">
      <c r="A283" s="8">
        <v>70701004</v>
      </c>
      <c r="B283" s="4" t="s">
        <v>2954</v>
      </c>
      <c r="C283" s="4" t="s">
        <v>1971</v>
      </c>
      <c r="D283" s="5">
        <v>46062</v>
      </c>
      <c r="E283" s="4" t="s">
        <v>31</v>
      </c>
      <c r="F283" s="4" t="s">
        <v>36</v>
      </c>
      <c r="G283" s="4" t="s">
        <v>2955</v>
      </c>
      <c r="H283" s="4" t="s">
        <v>1956</v>
      </c>
      <c r="I283" s="4" t="s">
        <v>1968</v>
      </c>
      <c r="J283" s="4" t="s">
        <v>1968</v>
      </c>
      <c r="K283" s="4" t="s">
        <v>2283</v>
      </c>
      <c r="L283" s="4" t="s">
        <v>1968</v>
      </c>
      <c r="M283" s="4" t="s">
        <v>36</v>
      </c>
      <c r="N283" s="4" t="s">
        <v>2956</v>
      </c>
      <c r="O283" s="4" t="s">
        <v>37</v>
      </c>
      <c r="P283" s="4" t="s">
        <v>37</v>
      </c>
      <c r="Q283" s="10" t="s">
        <v>57</v>
      </c>
      <c r="R283" s="4" t="str">
        <f t="shared" si="19"/>
        <v>Ucv 146 A Lt 22 Zn J, Lote 22 ZONA J, Ate, Lima, Lima, Perú</v>
      </c>
      <c r="S283" s="4">
        <v>-12.010091900000001</v>
      </c>
      <c r="T283" s="4">
        <v>-76.827758000000003</v>
      </c>
      <c r="U283" s="30">
        <f t="shared" si="20"/>
        <v>7.99</v>
      </c>
      <c r="V283" s="4" t="str">
        <f t="shared" si="21"/>
        <v>🟡 Cerca (5-10 km)</v>
      </c>
      <c r="W283" s="19" t="str" cm="1">
        <f t="array" ref="W283">_xlfn.LET(_xlpm.lat_emp,S283,_xlpm.lon_emp,T283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Horacio</v>
      </c>
      <c r="X283" s="19" t="str">
        <f>_xlfn.LET(_xlpm.paradero,W283,INDEX(PARADEROS_VALIDOS!$A$2:$A$67,MATCH(_xlpm.paradero,PARADEROS_VALIDOS!$C$2:$C$67,0)))</f>
        <v>RUTA 5B</v>
      </c>
      <c r="Y283" s="29" cm="1">
        <f t="array" ref="Y283">_xlfn.LET(_xlpm.lat_emp,S283,_xlpm.lon_emp,T283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1.56</v>
      </c>
      <c r="Z283" s="4" t="str">
        <f t="shared" si="22"/>
        <v>🟡 Cerca (1-3 km)</v>
      </c>
      <c r="AA283" s="4"/>
      <c r="AB283" s="4"/>
      <c r="AC283" s="49">
        <v>-11.997563</v>
      </c>
      <c r="AD283" s="49">
        <v>-76.900062000000005</v>
      </c>
      <c r="AE283" s="19" t="str">
        <f>IFERROR(VLOOKUP(C283,tdcargo[],2,FALSE),"DESCONOCIDO")</f>
        <v>OPERARIO</v>
      </c>
    </row>
    <row r="284" spans="1:31" hidden="1" x14ac:dyDescent="0.35">
      <c r="A284" s="8">
        <v>73151394</v>
      </c>
      <c r="B284" s="4" t="s">
        <v>2957</v>
      </c>
      <c r="C284" s="4" t="s">
        <v>1971</v>
      </c>
      <c r="D284" s="5">
        <v>45931</v>
      </c>
      <c r="E284" s="4" t="s">
        <v>31</v>
      </c>
      <c r="F284" s="4" t="s">
        <v>36</v>
      </c>
      <c r="G284" s="4" t="s">
        <v>2958</v>
      </c>
      <c r="H284" s="4" t="s">
        <v>1956</v>
      </c>
      <c r="I284" s="4" t="s">
        <v>1968</v>
      </c>
      <c r="J284" s="4" t="s">
        <v>2347</v>
      </c>
      <c r="K284" s="4" t="s">
        <v>1995</v>
      </c>
      <c r="L284" s="4" t="s">
        <v>2284</v>
      </c>
      <c r="M284" s="4" t="s">
        <v>36</v>
      </c>
      <c r="N284" s="4" t="s">
        <v>2959</v>
      </c>
      <c r="O284" s="4" t="s">
        <v>37</v>
      </c>
      <c r="P284" s="4" t="s">
        <v>37</v>
      </c>
      <c r="Q284" s="10" t="s">
        <v>57</v>
      </c>
      <c r="R284" s="4" t="str">
        <f t="shared" si="19"/>
        <v>Javier Heraud, Int. 4, Lote 1, Mz. Q Vitarte, Ate, Lima, Lima, Perú</v>
      </c>
      <c r="S284" s="4">
        <v>-12.027976499999999</v>
      </c>
      <c r="T284" s="4">
        <v>-76.915688299999999</v>
      </c>
      <c r="U284" s="30">
        <f t="shared" si="20"/>
        <v>3.78</v>
      </c>
      <c r="V284" s="4" t="str">
        <f t="shared" si="21"/>
        <v>🟢 Muy Cerca (0-5 km)</v>
      </c>
      <c r="W284" s="19" t="str" cm="1">
        <f t="array" ref="W284">_xlfn.LET(_xlpm.lat_emp,S284,_xlpm.lon_emp,T284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Panadería Marcela (cruce de la carretera central, con Av. Jose Carlos Mariátegui)</v>
      </c>
      <c r="X284" s="19" t="str">
        <f>_xlfn.LET(_xlpm.paradero,W284,INDEX(PARADEROS_VALIDOS!$A$2:$A$67,MATCH(_xlpm.paradero,PARADEROS_VALIDOS!$C$2:$C$67,0)))</f>
        <v>RUTA 4B</v>
      </c>
      <c r="Y284" s="29" cm="1">
        <f t="array" ref="Y284">_xlfn.LET(_xlpm.lat_emp,S284,_xlpm.lon_emp,T284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0.56000000000000005</v>
      </c>
      <c r="Z284" s="4" t="str">
        <f t="shared" si="22"/>
        <v>🟢 Muy Cerca (0-1 km)</v>
      </c>
      <c r="AA284" s="4"/>
      <c r="AB284" s="4"/>
      <c r="AC284" s="49">
        <v>-11.997563</v>
      </c>
      <c r="AD284" s="49">
        <v>-76.900062000000005</v>
      </c>
      <c r="AE284" s="19" t="str">
        <f>IFERROR(VLOOKUP(C284,tdcargo[],2,FALSE),"DESCONOCIDO")</f>
        <v>OPERARIO</v>
      </c>
    </row>
    <row r="285" spans="1:31" hidden="1" x14ac:dyDescent="0.35">
      <c r="A285" s="8">
        <v>72744280</v>
      </c>
      <c r="B285" s="4" t="s">
        <v>2960</v>
      </c>
      <c r="C285" s="4" t="s">
        <v>1971</v>
      </c>
      <c r="D285" s="5">
        <v>45931</v>
      </c>
      <c r="E285" s="4" t="s">
        <v>31</v>
      </c>
      <c r="F285" s="4" t="s">
        <v>82</v>
      </c>
      <c r="G285" s="4" t="s">
        <v>1832</v>
      </c>
      <c r="H285" s="4" t="s">
        <v>2052</v>
      </c>
      <c r="I285" s="4" t="s">
        <v>1968</v>
      </c>
      <c r="J285" s="4" t="s">
        <v>1968</v>
      </c>
      <c r="K285" s="4" t="s">
        <v>1968</v>
      </c>
      <c r="L285" s="4" t="s">
        <v>1968</v>
      </c>
      <c r="M285" s="4" t="s">
        <v>36</v>
      </c>
      <c r="N285" s="4" t="s">
        <v>1803</v>
      </c>
      <c r="O285" s="4" t="s">
        <v>37</v>
      </c>
      <c r="P285" s="4" t="s">
        <v>37</v>
      </c>
      <c r="Q285" s="10" t="s">
        <v>76</v>
      </c>
      <c r="R285" s="4" t="str">
        <f t="shared" si="19"/>
        <v>Calle Haras El Huayco 12 Chambala, Lurigancho, Lima, Lima, Perú</v>
      </c>
      <c r="S285" s="4">
        <v>-11.9977234</v>
      </c>
      <c r="T285" s="4">
        <v>-76.912954200000001</v>
      </c>
      <c r="U285" s="30">
        <f t="shared" si="20"/>
        <v>1.4</v>
      </c>
      <c r="V285" s="4" t="str">
        <f t="shared" si="21"/>
        <v>🟢 Muy Cerca (0-5 km)</v>
      </c>
      <c r="W285" s="19" t="str" cm="1">
        <f t="array" ref="W285">_xlfn.LET(_xlpm.lat_emp,S285,_xlpm.lon_emp,T285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285" s="19" t="str">
        <f>_xlfn.LET(_xlpm.paradero,W285,INDEX(PARADEROS_VALIDOS!$A$2:$A$67,MATCH(_xlpm.paradero,PARADEROS_VALIDOS!$C$2:$C$67,0)))</f>
        <v>RUTA 2</v>
      </c>
      <c r="Y285" s="29" cm="1">
        <f t="array" ref="Y285">_xlfn.LET(_xlpm.lat_emp,S285,_xlpm.lon_emp,T285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1.17</v>
      </c>
      <c r="Z285" s="4" t="str">
        <f t="shared" si="22"/>
        <v>🟡 Cerca (1-3 km)</v>
      </c>
      <c r="AA285" s="4"/>
      <c r="AB285" s="4"/>
      <c r="AC285" s="49">
        <v>-11.997563</v>
      </c>
      <c r="AD285" s="49">
        <v>-76.900062000000005</v>
      </c>
      <c r="AE285" s="19" t="str">
        <f>IFERROR(VLOOKUP(C285,tdcargo[],2,FALSE),"DESCONOCIDO")</f>
        <v>OPERARIO</v>
      </c>
    </row>
    <row r="286" spans="1:31" hidden="1" x14ac:dyDescent="0.35">
      <c r="A286" s="8">
        <v>75628865</v>
      </c>
      <c r="B286" s="4" t="s">
        <v>2961</v>
      </c>
      <c r="C286" s="4" t="s">
        <v>1971</v>
      </c>
      <c r="D286" s="5">
        <v>45931</v>
      </c>
      <c r="E286" s="4" t="s">
        <v>31</v>
      </c>
      <c r="F286" s="4" t="s">
        <v>36</v>
      </c>
      <c r="G286" s="4" t="s">
        <v>1990</v>
      </c>
      <c r="H286" s="4" t="s">
        <v>2962</v>
      </c>
      <c r="I286" s="4" t="s">
        <v>1968</v>
      </c>
      <c r="J286" s="4" t="s">
        <v>1968</v>
      </c>
      <c r="K286" s="4" t="s">
        <v>2058</v>
      </c>
      <c r="L286" s="4" t="s">
        <v>2963</v>
      </c>
      <c r="M286" s="4" t="s">
        <v>36</v>
      </c>
      <c r="N286" s="4" t="s">
        <v>1990</v>
      </c>
      <c r="O286" s="4" t="s">
        <v>37</v>
      </c>
      <c r="P286" s="4" t="s">
        <v>37</v>
      </c>
      <c r="Q286" s="10" t="s">
        <v>38</v>
      </c>
      <c r="R286" s="4" t="str">
        <f t="shared" si="19"/>
        <v>Mariscal Caceres 1540, Lote 7, Mz. B18 Mariscal Caceres, San Juan De Lurigancho, Lima, Lima, Perú</v>
      </c>
      <c r="S286" s="4">
        <v>-11.947525199999999</v>
      </c>
      <c r="T286" s="4">
        <v>-76.980099100000004</v>
      </c>
      <c r="U286" s="30">
        <f t="shared" si="20"/>
        <v>10.33</v>
      </c>
      <c r="V286" s="4" t="str">
        <f t="shared" si="21"/>
        <v>🟠 Moderada (10-20 km)</v>
      </c>
      <c r="W286" s="19" t="str" cm="1">
        <f t="array" ref="W286">_xlfn.LET(_xlpm.lat_emp,S286,_xlpm.lon_emp,T286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286" s="19" t="str">
        <f>_xlfn.LET(_xlpm.paradero,W286,INDEX(PARADEROS_VALIDOS!$A$2:$A$67,MATCH(_xlpm.paradero,PARADEROS_VALIDOS!$C$2:$C$67,0)))</f>
        <v>RUTA 6A</v>
      </c>
      <c r="Y286" s="29" cm="1">
        <f t="array" ref="Y286">_xlfn.LET(_xlpm.lat_emp,S286,_xlpm.lon_emp,T286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3.75</v>
      </c>
      <c r="Z286" s="4" t="str">
        <f t="shared" si="22"/>
        <v>🟠 Moderada (3-5 km)</v>
      </c>
      <c r="AA286" s="4"/>
      <c r="AB286" s="4"/>
      <c r="AC286" s="49">
        <v>-11.997563</v>
      </c>
      <c r="AD286" s="49">
        <v>-76.900062000000005</v>
      </c>
      <c r="AE286" s="19" t="str">
        <f>IFERROR(VLOOKUP(C286,tdcargo[],2,FALSE),"DESCONOCIDO")</f>
        <v>OPERARIO</v>
      </c>
    </row>
    <row r="287" spans="1:31" hidden="1" x14ac:dyDescent="0.35">
      <c r="A287" s="8">
        <v>46875494</v>
      </c>
      <c r="B287" s="4" t="s">
        <v>2964</v>
      </c>
      <c r="C287" s="4" t="s">
        <v>1971</v>
      </c>
      <c r="D287" s="5">
        <v>45931</v>
      </c>
      <c r="E287" s="4" t="s">
        <v>31</v>
      </c>
      <c r="F287" s="4" t="s">
        <v>148</v>
      </c>
      <c r="G287" s="4" t="s">
        <v>2965</v>
      </c>
      <c r="H287" s="4" t="s">
        <v>2249</v>
      </c>
      <c r="I287" s="4" t="s">
        <v>1968</v>
      </c>
      <c r="J287" s="4" t="s">
        <v>1968</v>
      </c>
      <c r="K287" s="4" t="s">
        <v>1995</v>
      </c>
      <c r="L287" s="4" t="s">
        <v>1278</v>
      </c>
      <c r="M287" s="4" t="s">
        <v>36</v>
      </c>
      <c r="N287" s="4" t="s">
        <v>1154</v>
      </c>
      <c r="O287" s="4" t="s">
        <v>37</v>
      </c>
      <c r="P287" s="4" t="s">
        <v>37</v>
      </c>
      <c r="Q287" s="10" t="s">
        <v>57</v>
      </c>
      <c r="R287" s="4" t="str">
        <f t="shared" si="19"/>
        <v>Pasaje Asosacion De Vivienda Hijos De Amauta Zona A 23, Lote 1, Mz. A Amauta, Ate, Lima, Lima, Perú</v>
      </c>
      <c r="S287" s="4">
        <v>-12.0435052</v>
      </c>
      <c r="T287" s="4">
        <v>-76.904161299999998</v>
      </c>
      <c r="U287" s="30">
        <f t="shared" si="20"/>
        <v>5.13</v>
      </c>
      <c r="V287" s="4" t="str">
        <f t="shared" si="21"/>
        <v>🟡 Cerca (5-10 km)</v>
      </c>
      <c r="W287" s="19" t="str" cm="1">
        <f t="array" ref="W287">_xlfn.LET(_xlpm.lat_emp,S287,_xlpm.lon_emp,T287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Esperanza</v>
      </c>
      <c r="X287" s="19" t="str">
        <f>_xlfn.LET(_xlpm.paradero,W287,INDEX(PARADEROS_VALIDOS!$A$2:$A$67,MATCH(_xlpm.paradero,PARADEROS_VALIDOS!$C$2:$C$67,0)))</f>
        <v>RUTA 4B</v>
      </c>
      <c r="Y287" s="29" cm="1">
        <f t="array" ref="Y287">_xlfn.LET(_xlpm.lat_emp,S287,_xlpm.lon_emp,T287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2.4300000000000002</v>
      </c>
      <c r="Z287" s="4" t="str">
        <f t="shared" si="22"/>
        <v>🟡 Cerca (1-3 km)</v>
      </c>
      <c r="AA287" s="4"/>
      <c r="AB287" s="4"/>
      <c r="AC287" s="49">
        <v>-11.997563</v>
      </c>
      <c r="AD287" s="49">
        <v>-76.900062000000005</v>
      </c>
      <c r="AE287" s="19" t="str">
        <f>IFERROR(VLOOKUP(C287,tdcargo[],2,FALSE),"DESCONOCIDO")</f>
        <v>OPERARIO</v>
      </c>
    </row>
    <row r="288" spans="1:31" hidden="1" x14ac:dyDescent="0.35">
      <c r="A288" s="8">
        <v>72437143</v>
      </c>
      <c r="B288" s="4" t="s">
        <v>2966</v>
      </c>
      <c r="C288" s="4" t="s">
        <v>1971</v>
      </c>
      <c r="D288" s="5">
        <v>45931</v>
      </c>
      <c r="E288" s="4" t="s">
        <v>31</v>
      </c>
      <c r="F288" s="4" t="s">
        <v>960</v>
      </c>
      <c r="G288" s="4" t="s">
        <v>2967</v>
      </c>
      <c r="H288" s="4" t="s">
        <v>1956</v>
      </c>
      <c r="I288" s="4" t="s">
        <v>1968</v>
      </c>
      <c r="J288" s="4" t="s">
        <v>1968</v>
      </c>
      <c r="K288" s="4" t="s">
        <v>1995</v>
      </c>
      <c r="L288" s="4" t="s">
        <v>1968</v>
      </c>
      <c r="M288" s="4" t="s">
        <v>36</v>
      </c>
      <c r="N288" s="4" t="s">
        <v>2968</v>
      </c>
      <c r="O288" s="4" t="s">
        <v>37</v>
      </c>
      <c r="P288" s="4" t="s">
        <v>37</v>
      </c>
      <c r="Q288" s="10" t="s">
        <v>38</v>
      </c>
      <c r="R288" s="4" t="str">
        <f t="shared" si="19"/>
        <v>Ovalo Comunidad Campesina La Vizcachera, Lote 1 No Existe, San Juan De Lurigancho, Lima, Lima, Perú</v>
      </c>
      <c r="S288" s="4">
        <v>-12.021504200000001</v>
      </c>
      <c r="T288" s="4">
        <v>-76.988903300000004</v>
      </c>
      <c r="U288" s="30">
        <f t="shared" si="20"/>
        <v>10.02</v>
      </c>
      <c r="V288" s="4" t="str">
        <f t="shared" si="21"/>
        <v>🟠 Moderada (10-20 km)</v>
      </c>
      <c r="W288" s="19" t="str" cm="1">
        <f t="array" ref="W288">_xlfn.LET(_xlpm.lat_emp,S288,_xlpm.lon_emp,T288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Pajatén (Pajatén/Av. Malecón Checa)</v>
      </c>
      <c r="X288" s="19" t="str">
        <f>_xlfn.LET(_xlpm.paradero,W288,INDEX(PARADEROS_VALIDOS!$A$2:$A$67,MATCH(_xlpm.paradero,PARADEROS_VALIDOS!$C$2:$C$67,0)))</f>
        <v>RUTA 6C</v>
      </c>
      <c r="Y288" s="29" cm="1">
        <f t="array" ref="Y288">_xlfn.LET(_xlpm.lat_emp,S288,_xlpm.lon_emp,T288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0.3</v>
      </c>
      <c r="Z288" s="4" t="str">
        <f t="shared" si="22"/>
        <v>🟢 Muy Cerca (0-1 km)</v>
      </c>
      <c r="AA288" s="4"/>
      <c r="AB288" s="4"/>
      <c r="AC288" s="49">
        <v>-11.997563</v>
      </c>
      <c r="AD288" s="49">
        <v>-76.900062000000005</v>
      </c>
      <c r="AE288" s="19" t="str">
        <f>IFERROR(VLOOKUP(C288,tdcargo[],2,FALSE),"DESCONOCIDO")</f>
        <v>OPERARIO</v>
      </c>
    </row>
    <row r="289" spans="1:31" hidden="1" x14ac:dyDescent="0.35">
      <c r="A289" s="8">
        <v>71151655</v>
      </c>
      <c r="B289" s="4" t="s">
        <v>2969</v>
      </c>
      <c r="C289" s="4" t="s">
        <v>1971</v>
      </c>
      <c r="D289" s="5">
        <v>46083</v>
      </c>
      <c r="E289" s="4" t="s">
        <v>31</v>
      </c>
      <c r="F289" s="4" t="s">
        <v>82</v>
      </c>
      <c r="G289" s="4" t="s">
        <v>2970</v>
      </c>
      <c r="H289" s="4" t="s">
        <v>1956</v>
      </c>
      <c r="I289" s="4" t="s">
        <v>1968</v>
      </c>
      <c r="J289" s="4" t="s">
        <v>1968</v>
      </c>
      <c r="K289" s="4" t="s">
        <v>1968</v>
      </c>
      <c r="L289" s="4" t="s">
        <v>1968</v>
      </c>
      <c r="M289" s="4" t="s">
        <v>36</v>
      </c>
      <c r="N289" s="4" t="s">
        <v>2971</v>
      </c>
      <c r="O289" s="4" t="s">
        <v>37</v>
      </c>
      <c r="P289" s="4" t="s">
        <v>37</v>
      </c>
      <c r="Q289" s="10" t="s">
        <v>57</v>
      </c>
      <c r="R289" s="4" t="str">
        <f t="shared" si="19"/>
        <v>Calle Huaycan Zona X ZONA X, Ate, Lima, Lima, Perú</v>
      </c>
      <c r="S289" s="4">
        <v>-12.0330633</v>
      </c>
      <c r="T289" s="4">
        <v>-76.816953299999994</v>
      </c>
      <c r="U289" s="30">
        <f t="shared" si="20"/>
        <v>9.86</v>
      </c>
      <c r="V289" s="4" t="str">
        <f t="shared" si="21"/>
        <v>🟡 Cerca (5-10 km)</v>
      </c>
      <c r="W289" s="19" t="str" cm="1">
        <f t="array" ref="W289">_xlfn.LET(_xlpm.lat_emp,S289,_xlpm.lon_emp,T289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289" s="19" t="str">
        <f>_xlfn.LET(_xlpm.paradero,W289,INDEX(PARADEROS_VALIDOS!$A$2:$A$67,MATCH(_xlpm.paradero,PARADEROS_VALIDOS!$C$2:$C$67,0)))</f>
        <v>RUTA 3</v>
      </c>
      <c r="Y289" s="29" cm="1">
        <f t="array" ref="Y289">_xlfn.LET(_xlpm.lat_emp,S289,_xlpm.lon_emp,T289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1.01</v>
      </c>
      <c r="Z289" s="4" t="str">
        <f t="shared" si="22"/>
        <v>🟡 Cerca (1-3 km)</v>
      </c>
      <c r="AA289" s="4"/>
      <c r="AB289" s="4"/>
      <c r="AC289" s="49">
        <v>-11.997563</v>
      </c>
      <c r="AD289" s="49">
        <v>-76.900062000000005</v>
      </c>
      <c r="AE289" s="19" t="str">
        <f>IFERROR(VLOOKUP(C289,tdcargo[],2,FALSE),"DESCONOCIDO")</f>
        <v>OPERARIO</v>
      </c>
    </row>
    <row r="290" spans="1:31" hidden="1" x14ac:dyDescent="0.35">
      <c r="A290" s="8">
        <v>75695285</v>
      </c>
      <c r="B290" s="4" t="s">
        <v>2972</v>
      </c>
      <c r="C290" s="4" t="s">
        <v>1971</v>
      </c>
      <c r="D290" s="5">
        <v>46083</v>
      </c>
      <c r="E290" s="4" t="s">
        <v>31</v>
      </c>
      <c r="F290" s="4" t="s">
        <v>82</v>
      </c>
      <c r="G290" s="4" t="s">
        <v>2973</v>
      </c>
      <c r="H290" s="4" t="s">
        <v>2161</v>
      </c>
      <c r="I290" s="4" t="s">
        <v>1968</v>
      </c>
      <c r="J290" s="4" t="s">
        <v>1968</v>
      </c>
      <c r="K290" s="4" t="s">
        <v>2161</v>
      </c>
      <c r="L290" s="4" t="s">
        <v>2184</v>
      </c>
      <c r="M290" s="4" t="s">
        <v>36</v>
      </c>
      <c r="N290" s="4" t="s">
        <v>2974</v>
      </c>
      <c r="O290" s="4" t="s">
        <v>37</v>
      </c>
      <c r="P290" s="4" t="s">
        <v>37</v>
      </c>
      <c r="Q290" s="10" t="s">
        <v>76</v>
      </c>
      <c r="R290" s="4" t="str">
        <f t="shared" si="19"/>
        <v>Calle Los Geranios 14, Lote 14, Mz. P RURAL PROD AGRICOL, Lurigancho, Lima, Lima, Perú</v>
      </c>
      <c r="S290" s="4">
        <v>-12.009696699999999</v>
      </c>
      <c r="T290" s="4">
        <v>-76.905361299999996</v>
      </c>
      <c r="U290" s="30">
        <f t="shared" si="20"/>
        <v>1.47</v>
      </c>
      <c r="V290" s="4" t="str">
        <f t="shared" si="21"/>
        <v>🟢 Muy Cerca (0-5 km)</v>
      </c>
      <c r="W290" s="19" t="str" cm="1">
        <f t="array" ref="W290">_xlfn.LET(_xlpm.lat_emp,S290,_xlpm.lon_emp,T290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Tottus Huachipa</v>
      </c>
      <c r="X290" s="19" t="str">
        <f>_xlfn.LET(_xlpm.paradero,W290,INDEX(PARADEROS_VALIDOS!$A$2:$A$67,MATCH(_xlpm.paradero,PARADEROS_VALIDOS!$C$2:$C$67,0)))</f>
        <v>RUTA 1</v>
      </c>
      <c r="Y290" s="29" cm="1">
        <f t="array" ref="Y290">_xlfn.LET(_xlpm.lat_emp,S290,_xlpm.lon_emp,T290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1.18</v>
      </c>
      <c r="Z290" s="4" t="str">
        <f t="shared" si="22"/>
        <v>🟡 Cerca (1-3 km)</v>
      </c>
      <c r="AA290" s="4"/>
      <c r="AB290" s="4"/>
      <c r="AC290" s="49">
        <v>-11.997563</v>
      </c>
      <c r="AD290" s="49">
        <v>-76.900062000000005</v>
      </c>
      <c r="AE290" s="19" t="str">
        <f>IFERROR(VLOOKUP(C290,tdcargo[],2,FALSE),"DESCONOCIDO")</f>
        <v>OPERARIO</v>
      </c>
    </row>
    <row r="291" spans="1:31" hidden="1" x14ac:dyDescent="0.35">
      <c r="A291" s="8">
        <v>70489991</v>
      </c>
      <c r="B291" s="4" t="s">
        <v>2975</v>
      </c>
      <c r="C291" s="4" t="s">
        <v>1971</v>
      </c>
      <c r="D291" s="5">
        <v>46083</v>
      </c>
      <c r="E291" s="4" t="s">
        <v>31</v>
      </c>
      <c r="F291" s="4" t="s">
        <v>82</v>
      </c>
      <c r="G291" s="4" t="s">
        <v>2976</v>
      </c>
      <c r="H291" s="4" t="s">
        <v>2977</v>
      </c>
      <c r="I291" s="4" t="s">
        <v>1968</v>
      </c>
      <c r="J291" s="4" t="s">
        <v>1968</v>
      </c>
      <c r="K291" s="4" t="s">
        <v>2161</v>
      </c>
      <c r="L291" s="4" t="s">
        <v>2196</v>
      </c>
      <c r="M291" s="4" t="s">
        <v>36</v>
      </c>
      <c r="N291" s="4" t="s">
        <v>2978</v>
      </c>
      <c r="O291" s="4" t="s">
        <v>37</v>
      </c>
      <c r="P291" s="4" t="s">
        <v>37</v>
      </c>
      <c r="Q291" s="10" t="s">
        <v>38</v>
      </c>
      <c r="R291" s="4" t="str">
        <f t="shared" si="19"/>
        <v>Calle Los Datiles 961, Lote 14, Mz. N CANTO GRANDE II ETAP, San Juan De Lurigancho, Lima, Lima, Perú</v>
      </c>
      <c r="S291" s="4">
        <v>-12.0154795</v>
      </c>
      <c r="T291" s="4">
        <v>-76.995805200000007</v>
      </c>
      <c r="U291" s="30">
        <f t="shared" si="20"/>
        <v>10.6</v>
      </c>
      <c r="V291" s="4" t="str">
        <f t="shared" si="21"/>
        <v>🟠 Moderada (10-20 km)</v>
      </c>
      <c r="W291" s="19" t="str" cm="1">
        <f t="array" ref="W291">_xlfn.LET(_xlpm.lat_emp,S291,_xlpm.lon_emp,T291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Celima</v>
      </c>
      <c r="X291" s="19" t="str">
        <f>_xlfn.LET(_xlpm.paradero,W291,INDEX(PARADEROS_VALIDOS!$A$2:$A$67,MATCH(_xlpm.paradero,PARADEROS_VALIDOS!$C$2:$C$67,0)))</f>
        <v>RUTA 6C</v>
      </c>
      <c r="Y291" s="29" cm="1">
        <f t="array" ref="Y291">_xlfn.LET(_xlpm.lat_emp,S291,_xlpm.lon_emp,T291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0.67</v>
      </c>
      <c r="Z291" s="4" t="str">
        <f t="shared" si="22"/>
        <v>🟢 Muy Cerca (0-1 km)</v>
      </c>
      <c r="AA291" s="4"/>
      <c r="AB291" s="4"/>
      <c r="AC291" s="49">
        <v>-11.997563</v>
      </c>
      <c r="AD291" s="49">
        <v>-76.900062000000005</v>
      </c>
      <c r="AE291" s="19" t="str">
        <f>IFERROR(VLOOKUP(C291,tdcargo[],2,FALSE),"DESCONOCIDO")</f>
        <v>OPERARIO</v>
      </c>
    </row>
    <row r="292" spans="1:31" hidden="1" x14ac:dyDescent="0.35">
      <c r="A292" s="8">
        <v>70634889</v>
      </c>
      <c r="B292" s="4" t="s">
        <v>2979</v>
      </c>
      <c r="C292" s="4" t="s">
        <v>1971</v>
      </c>
      <c r="D292" s="5">
        <v>46083</v>
      </c>
      <c r="E292" s="4" t="s">
        <v>31</v>
      </c>
      <c r="F292" s="4" t="s">
        <v>148</v>
      </c>
      <c r="G292" s="4" t="s">
        <v>2867</v>
      </c>
      <c r="H292" s="4" t="s">
        <v>1956</v>
      </c>
      <c r="I292" s="4" t="s">
        <v>1968</v>
      </c>
      <c r="J292" s="4" t="s">
        <v>1968</v>
      </c>
      <c r="K292" s="4" t="s">
        <v>2656</v>
      </c>
      <c r="L292" s="4" t="s">
        <v>2980</v>
      </c>
      <c r="M292" s="4" t="s">
        <v>36</v>
      </c>
      <c r="N292" s="4" t="s">
        <v>2981</v>
      </c>
      <c r="O292" s="4" t="s">
        <v>37</v>
      </c>
      <c r="P292" s="4" t="s">
        <v>37</v>
      </c>
      <c r="Q292" s="10" t="s">
        <v>57</v>
      </c>
      <c r="R292" s="4" t="str">
        <f t="shared" si="19"/>
        <v>Pasaje Virgen De Cocharcas, Lote 43, Mz. NO ZONA C, Ate, Lima, Lima, Perú</v>
      </c>
      <c r="S292" s="4">
        <v>-12.016613899999999</v>
      </c>
      <c r="T292" s="4">
        <v>-76.895054099999996</v>
      </c>
      <c r="U292" s="30">
        <f t="shared" si="20"/>
        <v>2.19</v>
      </c>
      <c r="V292" s="4" t="str">
        <f t="shared" si="21"/>
        <v>🟢 Muy Cerca (0-5 km)</v>
      </c>
      <c r="W292" s="19" t="str" cm="1">
        <f t="array" ref="W292">_xlfn.LET(_xlpm.lat_emp,S292,_xlpm.lon_emp,T292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Sta. Clara</v>
      </c>
      <c r="X292" s="19" t="str">
        <f>_xlfn.LET(_xlpm.paradero,W292,INDEX(PARADEROS_VALIDOS!$A$2:$A$67,MATCH(_xlpm.paradero,PARADEROS_VALIDOS!$C$2:$C$67,0)))</f>
        <v>RUTA 5C</v>
      </c>
      <c r="Y292" s="29" cm="1">
        <f t="array" ref="Y292">_xlfn.LET(_xlpm.lat_emp,S292,_xlpm.lon_emp,T292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1.08</v>
      </c>
      <c r="Z292" s="4" t="str">
        <f t="shared" si="22"/>
        <v>🟡 Cerca (1-3 km)</v>
      </c>
      <c r="AA292" s="4"/>
      <c r="AB292" s="4"/>
      <c r="AC292" s="49">
        <v>-11.997563</v>
      </c>
      <c r="AD292" s="49">
        <v>-76.900062000000005</v>
      </c>
      <c r="AE292" s="19" t="str">
        <f>IFERROR(VLOOKUP(C292,tdcargo[],2,FALSE),"DESCONOCIDO")</f>
        <v>OPERARIO</v>
      </c>
    </row>
    <row r="293" spans="1:31" hidden="1" x14ac:dyDescent="0.35">
      <c r="A293" s="8">
        <v>61293154</v>
      </c>
      <c r="B293" s="4" t="s">
        <v>2986</v>
      </c>
      <c r="C293" s="4" t="s">
        <v>1971</v>
      </c>
      <c r="D293" s="5">
        <v>46055</v>
      </c>
      <c r="E293" s="4" t="s">
        <v>31</v>
      </c>
      <c r="F293" s="4" t="s">
        <v>34</v>
      </c>
      <c r="G293" s="4" t="s">
        <v>2987</v>
      </c>
      <c r="H293" s="4" t="s">
        <v>1956</v>
      </c>
      <c r="I293" s="4" t="s">
        <v>1968</v>
      </c>
      <c r="J293" s="4" t="s">
        <v>1968</v>
      </c>
      <c r="K293" s="4" t="s">
        <v>2264</v>
      </c>
      <c r="L293" s="4" t="s">
        <v>2380</v>
      </c>
      <c r="M293" s="4" t="s">
        <v>1054</v>
      </c>
      <c r="N293" s="4" t="s">
        <v>2988</v>
      </c>
      <c r="O293" s="4" t="s">
        <v>37</v>
      </c>
      <c r="P293" s="4" t="s">
        <v>37</v>
      </c>
      <c r="Q293" s="10" t="s">
        <v>76</v>
      </c>
      <c r="R293" s="4" t="str">
        <f t="shared" si="19"/>
        <v>Avenida Industrial, Lote 8, Mz. F, Z.I. Zona Industrial PARQUE INDUSTRIAL, Lurigancho, Lima, Lima, Perú</v>
      </c>
      <c r="S293" s="4">
        <v>-11.8650951</v>
      </c>
      <c r="T293" s="4">
        <v>-77.067433600000001</v>
      </c>
      <c r="U293" s="30">
        <f t="shared" si="20"/>
        <v>23.42</v>
      </c>
      <c r="V293" s="4" t="str">
        <f t="shared" si="21"/>
        <v>🔴 Lejos (&gt;20 km)</v>
      </c>
      <c r="W293" s="19" t="str" cm="1">
        <f t="array" ref="W293">_xlfn.LET(_xlpm.lat_emp,S293,_xlpm.lon_emp,T293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Cesar Vallejo</v>
      </c>
      <c r="X293" s="19" t="str">
        <f>_xlfn.LET(_xlpm.paradero,W293,INDEX(PARADEROS_VALIDOS!$A$2:$A$67,MATCH(_xlpm.paradero,PARADEROS_VALIDOS!$C$2:$C$67,0)))</f>
        <v>RUTA 4B</v>
      </c>
      <c r="Y293" s="29" cm="1">
        <f t="array" ref="Y293">_xlfn.LET(_xlpm.lat_emp,S293,_xlpm.lon_emp,T293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9.43</v>
      </c>
      <c r="Z293" s="4" t="str">
        <f t="shared" si="22"/>
        <v>🔴 Lejos (&gt;5 km)</v>
      </c>
      <c r="AA293" s="4"/>
      <c r="AB293" s="4"/>
      <c r="AC293" s="49">
        <v>-11.997563</v>
      </c>
      <c r="AD293" s="49">
        <v>-76.900062000000005</v>
      </c>
      <c r="AE293" s="19" t="str">
        <f>IFERROR(VLOOKUP(C293,tdcargo[],2,FALSE),"DESCONOCIDO")</f>
        <v>OPERARIO</v>
      </c>
    </row>
    <row r="294" spans="1:31" hidden="1" x14ac:dyDescent="0.35">
      <c r="A294" s="8">
        <v>60540252</v>
      </c>
      <c r="B294" s="4" t="s">
        <v>2989</v>
      </c>
      <c r="C294" s="4" t="s">
        <v>1971</v>
      </c>
      <c r="D294" s="5">
        <v>46055</v>
      </c>
      <c r="E294" s="4" t="s">
        <v>31</v>
      </c>
      <c r="F294" s="4" t="s">
        <v>36</v>
      </c>
      <c r="G294" s="4" t="s">
        <v>2990</v>
      </c>
      <c r="H294" s="4" t="s">
        <v>1956</v>
      </c>
      <c r="I294" s="4" t="s">
        <v>1968</v>
      </c>
      <c r="J294" s="4" t="s">
        <v>1968</v>
      </c>
      <c r="K294" s="4" t="s">
        <v>2347</v>
      </c>
      <c r="L294" s="4" t="s">
        <v>1968</v>
      </c>
      <c r="M294" s="4" t="s">
        <v>36</v>
      </c>
      <c r="N294" s="4" t="s">
        <v>2991</v>
      </c>
      <c r="O294" s="4" t="s">
        <v>37</v>
      </c>
      <c r="P294" s="4" t="s">
        <v>195</v>
      </c>
      <c r="Q294" s="10" t="s">
        <v>196</v>
      </c>
      <c r="R294" s="4" t="str">
        <f t="shared" si="19"/>
        <v>Julio Tello Anexo 8, Lote 4 JICAMARCA, San Antonio, Huarochiri, Lima, Perú</v>
      </c>
      <c r="S294" s="4">
        <v>-11.9819438</v>
      </c>
      <c r="T294" s="4">
        <v>-76.949588399999996</v>
      </c>
      <c r="U294" s="30">
        <f t="shared" si="20"/>
        <v>5.66</v>
      </c>
      <c r="V294" s="4" t="str">
        <f t="shared" si="21"/>
        <v>🟡 Cerca (5-10 km)</v>
      </c>
      <c r="W294" s="19" t="str" cm="1">
        <f t="array" ref="W294">_xlfn.LET(_xlpm.lat_emp,S294,_xlpm.lon_emp,T294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Saracoto</v>
      </c>
      <c r="X294" s="19" t="str">
        <f>_xlfn.LET(_xlpm.paradero,W294,INDEX(PARADEROS_VALIDOS!$A$2:$A$67,MATCH(_xlpm.paradero,PARADEROS_VALIDOS!$C$2:$C$67,0)))</f>
        <v>RUTA 1</v>
      </c>
      <c r="Y294" s="29" cm="1">
        <f t="array" ref="Y294">_xlfn.LET(_xlpm.lat_emp,S294,_xlpm.lon_emp,T294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4.84</v>
      </c>
      <c r="Z294" s="4" t="str">
        <f t="shared" si="22"/>
        <v>🟠 Moderada (3-5 km)</v>
      </c>
      <c r="AA294" s="4"/>
      <c r="AB294" s="4"/>
      <c r="AC294" s="49">
        <v>-11.997563</v>
      </c>
      <c r="AD294" s="49">
        <v>-76.900062000000005</v>
      </c>
      <c r="AE294" s="19" t="str">
        <f>IFERROR(VLOOKUP(C294,tdcargo[],2,FALSE),"DESCONOCIDO")</f>
        <v>OPERARIO</v>
      </c>
    </row>
    <row r="295" spans="1:31" hidden="1" x14ac:dyDescent="0.35">
      <c r="A295" s="8">
        <v>75355795</v>
      </c>
      <c r="B295" s="4" t="s">
        <v>2992</v>
      </c>
      <c r="C295" s="4" t="s">
        <v>1971</v>
      </c>
      <c r="D295" s="5">
        <v>46045</v>
      </c>
      <c r="E295" s="4" t="s">
        <v>31</v>
      </c>
      <c r="F295" s="4" t="s">
        <v>34</v>
      </c>
      <c r="G295" s="4" t="s">
        <v>2993</v>
      </c>
      <c r="H295" s="4" t="s">
        <v>2994</v>
      </c>
      <c r="I295" s="4" t="s">
        <v>1968</v>
      </c>
      <c r="J295" s="4" t="s">
        <v>1968</v>
      </c>
      <c r="K295" s="4" t="s">
        <v>1968</v>
      </c>
      <c r="L295" s="4" t="s">
        <v>2995</v>
      </c>
      <c r="M295" s="4" t="s">
        <v>36</v>
      </c>
      <c r="N295" s="4" t="s">
        <v>2996</v>
      </c>
      <c r="O295" s="4" t="s">
        <v>37</v>
      </c>
      <c r="P295" s="4" t="s">
        <v>37</v>
      </c>
      <c r="Q295" s="10" t="s">
        <v>76</v>
      </c>
      <c r="R295" s="4" t="str">
        <f t="shared" si="19"/>
        <v>Avenida Unin Jica Mz X2 Lt 8 9874, Mz. X2 SAN ANTONIO JICAMAR, Lurigancho, Lima, Lima, Perú</v>
      </c>
      <c r="S295" s="4">
        <v>-11.912877</v>
      </c>
      <c r="T295" s="4">
        <v>-76.945955100000006</v>
      </c>
      <c r="U295" s="30">
        <f t="shared" si="20"/>
        <v>10.66</v>
      </c>
      <c r="V295" s="4" t="str">
        <f t="shared" si="21"/>
        <v>🟠 Moderada (10-20 km)</v>
      </c>
      <c r="W295" s="19" t="str" cm="1">
        <f t="array" ref="W295">_xlfn.LET(_xlpm.lat_emp,S295,_xlpm.lon_emp,T295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295" s="19" t="str">
        <f>_xlfn.LET(_xlpm.paradero,W295,INDEX(PARADEROS_VALIDOS!$A$2:$A$67,MATCH(_xlpm.paradero,PARADEROS_VALIDOS!$C$2:$C$67,0)))</f>
        <v>RUTA 6A</v>
      </c>
      <c r="Y295" s="29" cm="1">
        <f t="array" ref="Y295">_xlfn.LET(_xlpm.lat_emp,S295,_xlpm.lon_emp,T295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9.08</v>
      </c>
      <c r="Z295" s="4" t="str">
        <f t="shared" si="22"/>
        <v>🔴 Lejos (&gt;5 km)</v>
      </c>
      <c r="AA295" s="4"/>
      <c r="AB295" s="4"/>
      <c r="AC295" s="49">
        <v>-11.997563</v>
      </c>
      <c r="AD295" s="49">
        <v>-76.900062000000005</v>
      </c>
      <c r="AE295" s="19" t="str">
        <f>IFERROR(VLOOKUP(C295,tdcargo[],2,FALSE),"DESCONOCIDO")</f>
        <v>OPERARIO</v>
      </c>
    </row>
    <row r="296" spans="1:31" hidden="1" x14ac:dyDescent="0.35">
      <c r="A296" s="8">
        <v>60861217</v>
      </c>
      <c r="B296" s="4" t="s">
        <v>2997</v>
      </c>
      <c r="C296" s="4" t="s">
        <v>1971</v>
      </c>
      <c r="D296" s="5">
        <v>45943</v>
      </c>
      <c r="E296" s="4" t="s">
        <v>31</v>
      </c>
      <c r="F296" s="4" t="s">
        <v>148</v>
      </c>
      <c r="G296" s="4" t="s">
        <v>2998</v>
      </c>
      <c r="H296" s="4" t="s">
        <v>2999</v>
      </c>
      <c r="I296" s="4" t="s">
        <v>1968</v>
      </c>
      <c r="J296" s="4" t="s">
        <v>1968</v>
      </c>
      <c r="K296" s="4" t="s">
        <v>2347</v>
      </c>
      <c r="L296" s="4" t="s">
        <v>3000</v>
      </c>
      <c r="M296" s="4" t="s">
        <v>36</v>
      </c>
      <c r="N296" s="4" t="s">
        <v>1154</v>
      </c>
      <c r="O296" s="4" t="s">
        <v>37</v>
      </c>
      <c r="P296" s="4" t="s">
        <v>37</v>
      </c>
      <c r="Q296" s="10" t="s">
        <v>57</v>
      </c>
      <c r="R296" s="4" t="str">
        <f t="shared" si="19"/>
        <v>Pasaje San Alejandro 1549, Lote 4, Mz. E1 Amauta, Ate, Lima, Lima, Perú</v>
      </c>
      <c r="S296" s="4">
        <v>-12.0441854</v>
      </c>
      <c r="T296" s="4">
        <v>-76.898178999999999</v>
      </c>
      <c r="U296" s="30">
        <f t="shared" si="20"/>
        <v>5.19</v>
      </c>
      <c r="V296" s="4" t="str">
        <f t="shared" si="21"/>
        <v>🟡 Cerca (5-10 km)</v>
      </c>
      <c r="W296" s="19" t="str" cm="1">
        <f t="array" ref="W296">_xlfn.LET(_xlpm.lat_emp,S296,_xlpm.lon_emp,T296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Esperanza</v>
      </c>
      <c r="X296" s="19" t="str">
        <f>_xlfn.LET(_xlpm.paradero,W296,INDEX(PARADEROS_VALIDOS!$A$2:$A$67,MATCH(_xlpm.paradero,PARADEROS_VALIDOS!$C$2:$C$67,0)))</f>
        <v>RUTA 4B</v>
      </c>
      <c r="Y296" s="29" cm="1">
        <f t="array" ref="Y296">_xlfn.LET(_xlpm.lat_emp,S296,_xlpm.lon_emp,T296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2.67</v>
      </c>
      <c r="Z296" s="4" t="str">
        <f t="shared" si="22"/>
        <v>🟡 Cerca (1-3 km)</v>
      </c>
      <c r="AA296" s="4"/>
      <c r="AB296" s="4"/>
      <c r="AC296" s="49">
        <v>-11.997563</v>
      </c>
      <c r="AD296" s="49">
        <v>-76.900062000000005</v>
      </c>
      <c r="AE296" s="19" t="str">
        <f>IFERROR(VLOOKUP(C296,tdcargo[],2,FALSE),"DESCONOCIDO")</f>
        <v>OPERARIO</v>
      </c>
    </row>
    <row r="297" spans="1:31" x14ac:dyDescent="0.35">
      <c r="A297" s="8">
        <v>74364135</v>
      </c>
      <c r="B297" s="4" t="s">
        <v>3003</v>
      </c>
      <c r="C297" s="4" t="s">
        <v>1971</v>
      </c>
      <c r="D297" s="5">
        <v>44648</v>
      </c>
      <c r="E297" s="4" t="s">
        <v>31</v>
      </c>
      <c r="F297" s="4" t="s">
        <v>82</v>
      </c>
      <c r="G297" s="4" t="s">
        <v>3004</v>
      </c>
      <c r="H297" s="4" t="s">
        <v>1956</v>
      </c>
      <c r="I297" s="4" t="s">
        <v>1968</v>
      </c>
      <c r="J297" s="4" t="s">
        <v>1968</v>
      </c>
      <c r="K297" s="4" t="s">
        <v>1968</v>
      </c>
      <c r="L297" s="4" t="s">
        <v>1968</v>
      </c>
      <c r="M297" s="4" t="s">
        <v>36</v>
      </c>
      <c r="N297" s="4" t="s">
        <v>3005</v>
      </c>
      <c r="O297" s="4" t="s">
        <v>37</v>
      </c>
      <c r="P297" s="4" t="s">
        <v>37</v>
      </c>
      <c r="Q297" s="10" t="s">
        <v>858</v>
      </c>
      <c r="R297" s="4" t="str">
        <f t="shared" si="19"/>
        <v>Calle Cotabanva Umamarca, San Juan De Miraflores, Lima, Lima, Perú</v>
      </c>
      <c r="S297" s="4">
        <v>-12.1769523</v>
      </c>
      <c r="T297" s="4">
        <v>-76.9789095</v>
      </c>
      <c r="U297" s="30">
        <f t="shared" si="20"/>
        <v>21.71</v>
      </c>
      <c r="V297" s="4" t="str">
        <f t="shared" si="21"/>
        <v>🔴 Lejos (&gt;20 km)</v>
      </c>
      <c r="W297" s="19" t="str" cm="1">
        <f t="array" ref="W297">_xlfn.LET(_xlpm.lat_emp,S297,_xlpm.lon_emp,T297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Puente Alipio</v>
      </c>
      <c r="X297" s="19" t="str">
        <f>_xlfn.LET(_xlpm.paradero,W297,INDEX(PARADEROS_VALIDOS!$A$2:$A$67,MATCH(_xlpm.paradero,PARADEROS_VALIDOS!$C$2:$C$67,0)))</f>
        <v>RUTA 7</v>
      </c>
      <c r="Y297" s="29" cm="1">
        <f t="array" ref="Y297">_xlfn.LET(_xlpm.lat_emp,S297,_xlpm.lon_emp,T297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0.92</v>
      </c>
      <c r="Z297" s="4" t="str">
        <f t="shared" si="22"/>
        <v>🟢 Muy Cerca (0-1 km)</v>
      </c>
      <c r="AA297" s="4"/>
      <c r="AB297" s="4"/>
      <c r="AC297" s="49">
        <v>-11.997563</v>
      </c>
      <c r="AD297" s="49">
        <v>-76.900062000000005</v>
      </c>
      <c r="AE297" s="19" t="str">
        <f>IFERROR(VLOOKUP(C297,tdcargo[],2,FALSE),"DESCONOCIDO")</f>
        <v>OPERARIO</v>
      </c>
    </row>
    <row r="298" spans="1:31" hidden="1" x14ac:dyDescent="0.35">
      <c r="A298" s="8">
        <v>62809524</v>
      </c>
      <c r="B298" s="4" t="s">
        <v>3007</v>
      </c>
      <c r="C298" s="4" t="s">
        <v>1971</v>
      </c>
      <c r="D298" s="5">
        <v>46069</v>
      </c>
      <c r="E298" s="4" t="s">
        <v>31</v>
      </c>
      <c r="F298" s="4" t="s">
        <v>36</v>
      </c>
      <c r="G298" s="4" t="s">
        <v>480</v>
      </c>
      <c r="H298" s="4" t="s">
        <v>1956</v>
      </c>
      <c r="I298" s="4" t="s">
        <v>1968</v>
      </c>
      <c r="J298" s="4" t="s">
        <v>1968</v>
      </c>
      <c r="K298" s="4" t="s">
        <v>2049</v>
      </c>
      <c r="L298" s="4" t="s">
        <v>202</v>
      </c>
      <c r="M298" s="4" t="s">
        <v>36</v>
      </c>
      <c r="N298" s="4" t="s">
        <v>3008</v>
      </c>
      <c r="O298" s="4" t="s">
        <v>37</v>
      </c>
      <c r="P298" s="4" t="s">
        <v>37</v>
      </c>
      <c r="Q298" s="10" t="s">
        <v>76</v>
      </c>
      <c r="R298" s="4" t="str">
        <f t="shared" si="19"/>
        <v>Los Pinos, Lote 31, Mz. L COMUNEROS JICAMARCA, Lurigancho, Lima, Lima, Perú</v>
      </c>
      <c r="S298" s="4">
        <v>-11.9775835</v>
      </c>
      <c r="T298" s="4">
        <v>-76.937094799999997</v>
      </c>
      <c r="U298" s="30">
        <f t="shared" si="20"/>
        <v>4.5999999999999996</v>
      </c>
      <c r="V298" s="4" t="str">
        <f t="shared" si="21"/>
        <v>🟢 Muy Cerca (0-5 km)</v>
      </c>
      <c r="W298" s="19" t="str" cm="1">
        <f t="array" ref="W298">_xlfn.LET(_xlpm.lat_emp,S298,_xlpm.lon_emp,T298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298" s="19" t="str">
        <f>_xlfn.LET(_xlpm.paradero,W298,INDEX(PARADEROS_VALIDOS!$A$2:$A$67,MATCH(_xlpm.paradero,PARADEROS_VALIDOS!$C$2:$C$67,0)))</f>
        <v>RUTA 2</v>
      </c>
      <c r="Y298" s="29" cm="1">
        <f t="array" ref="Y298">_xlfn.LET(_xlpm.lat_emp,S298,_xlpm.lon_emp,T298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4.0999999999999996</v>
      </c>
      <c r="Z298" s="4" t="str">
        <f t="shared" si="22"/>
        <v>🟠 Moderada (3-5 km)</v>
      </c>
      <c r="AA298" s="4"/>
      <c r="AB298" s="4"/>
      <c r="AC298" s="49">
        <v>-11.997563</v>
      </c>
      <c r="AD298" s="49">
        <v>-76.900062000000005</v>
      </c>
      <c r="AE298" s="19" t="str">
        <f>IFERROR(VLOOKUP(C298,tdcargo[],2,FALSE),"DESCONOCIDO")</f>
        <v>OPERARIO</v>
      </c>
    </row>
    <row r="299" spans="1:31" hidden="1" x14ac:dyDescent="0.35">
      <c r="A299" s="8">
        <v>71157778</v>
      </c>
      <c r="B299" s="4" t="s">
        <v>3009</v>
      </c>
      <c r="C299" s="4" t="s">
        <v>1971</v>
      </c>
      <c r="D299" s="5">
        <v>46069</v>
      </c>
      <c r="E299" s="4" t="s">
        <v>31</v>
      </c>
      <c r="F299" s="4" t="s">
        <v>36</v>
      </c>
      <c r="G299" s="4" t="s">
        <v>3010</v>
      </c>
      <c r="H299" s="4" t="s">
        <v>2654</v>
      </c>
      <c r="I299" s="4" t="s">
        <v>1968</v>
      </c>
      <c r="J299" s="4" t="s">
        <v>1968</v>
      </c>
      <c r="K299" s="4" t="s">
        <v>2347</v>
      </c>
      <c r="L299" s="4" t="s">
        <v>202</v>
      </c>
      <c r="M299" s="4" t="s">
        <v>36</v>
      </c>
      <c r="N299" s="4" t="s">
        <v>706</v>
      </c>
      <c r="O299" s="4" t="s">
        <v>37</v>
      </c>
      <c r="P299" s="4" t="s">
        <v>37</v>
      </c>
      <c r="Q299" s="10" t="s">
        <v>57</v>
      </c>
      <c r="R299" s="4" t="str">
        <f t="shared" si="19"/>
        <v>Casa Huerta Product. 1548, Lote 4, Mz. L ZONA Z, Ate, Lima, Lima, Perú</v>
      </c>
      <c r="S299" s="4">
        <v>-12.023711</v>
      </c>
      <c r="T299" s="4">
        <v>-76.894016899999997</v>
      </c>
      <c r="U299" s="30">
        <f t="shared" si="20"/>
        <v>2.98</v>
      </c>
      <c r="V299" s="4" t="str">
        <f t="shared" si="21"/>
        <v>🟢 Muy Cerca (0-5 km)</v>
      </c>
      <c r="W299" s="19" t="str" cm="1">
        <f t="array" ref="W299">_xlfn.LET(_xlpm.lat_emp,S299,_xlpm.lon_emp,T299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Sta. Clara</v>
      </c>
      <c r="X299" s="19" t="str">
        <f>_xlfn.LET(_xlpm.paradero,W299,INDEX(PARADEROS_VALIDOS!$A$2:$A$67,MATCH(_xlpm.paradero,PARADEROS_VALIDOS!$C$2:$C$67,0)))</f>
        <v>RUTA 5C</v>
      </c>
      <c r="Y299" s="29" cm="1">
        <f t="array" ref="Y299">_xlfn.LET(_xlpm.lat_emp,S299,_xlpm.lon_emp,T299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1.37</v>
      </c>
      <c r="Z299" s="4" t="str">
        <f t="shared" si="22"/>
        <v>🟡 Cerca (1-3 km)</v>
      </c>
      <c r="AA299" s="4"/>
      <c r="AB299" s="4"/>
      <c r="AC299" s="49">
        <v>-11.997563</v>
      </c>
      <c r="AD299" s="49">
        <v>-76.900062000000005</v>
      </c>
      <c r="AE299" s="19" t="str">
        <f>IFERROR(VLOOKUP(C299,tdcargo[],2,FALSE),"DESCONOCIDO")</f>
        <v>OPERARIO</v>
      </c>
    </row>
    <row r="300" spans="1:31" hidden="1" x14ac:dyDescent="0.35">
      <c r="A300" s="8">
        <v>46401870</v>
      </c>
      <c r="B300" s="4" t="s">
        <v>3011</v>
      </c>
      <c r="C300" s="4" t="s">
        <v>1971</v>
      </c>
      <c r="D300" s="5">
        <v>43083</v>
      </c>
      <c r="E300" s="4" t="s">
        <v>31</v>
      </c>
      <c r="F300" s="4" t="s">
        <v>36</v>
      </c>
      <c r="G300" s="4" t="s">
        <v>3012</v>
      </c>
      <c r="H300" s="4" t="s">
        <v>1956</v>
      </c>
      <c r="I300" s="4" t="s">
        <v>1968</v>
      </c>
      <c r="J300" s="4" t="s">
        <v>1968</v>
      </c>
      <c r="K300" s="4" t="s">
        <v>1968</v>
      </c>
      <c r="L300" s="4" t="s">
        <v>1968</v>
      </c>
      <c r="M300" s="4" t="s">
        <v>66</v>
      </c>
      <c r="N300" s="4" t="s">
        <v>3012</v>
      </c>
      <c r="O300" s="4" t="s">
        <v>37</v>
      </c>
      <c r="P300" s="4" t="s">
        <v>37</v>
      </c>
      <c r="Q300" s="10" t="s">
        <v>76</v>
      </c>
      <c r="R300" s="4" t="str">
        <f t="shared" si="19"/>
        <v>Rur Y Pec Prod Agri Huancayo, U.V. Unidad Vecinal Rur Y Pec Prod Agri Huancayo, Lurigancho, Lima, Lima, Perú</v>
      </c>
      <c r="S300" s="4">
        <v>-11.985370100000001</v>
      </c>
      <c r="T300" s="4">
        <v>-76.940439299999994</v>
      </c>
      <c r="U300" s="30">
        <f t="shared" si="20"/>
        <v>4.5999999999999996</v>
      </c>
      <c r="V300" s="4" t="str">
        <f t="shared" si="21"/>
        <v>🟢 Muy Cerca (0-5 km)</v>
      </c>
      <c r="W300" s="19" t="str" cm="1">
        <f t="array" ref="W300">_xlfn.LET(_xlpm.lat_emp,S300,_xlpm.lon_emp,T300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Estadio Huachipa</v>
      </c>
      <c r="X300" s="19" t="str">
        <f>_xlfn.LET(_xlpm.paradero,W300,INDEX(PARADEROS_VALIDOS!$A$2:$A$67,MATCH(_xlpm.paradero,PARADEROS_VALIDOS!$C$2:$C$67,0)))</f>
        <v>RUTA 5C</v>
      </c>
      <c r="Y300" s="29" cm="1">
        <f t="array" ref="Y300">_xlfn.LET(_xlpm.lat_emp,S300,_xlpm.lon_emp,T300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4.13</v>
      </c>
      <c r="Z300" s="4" t="str">
        <f t="shared" si="22"/>
        <v>🟠 Moderada (3-5 km)</v>
      </c>
      <c r="AA300" s="4"/>
      <c r="AB300" s="4"/>
      <c r="AC300" s="49">
        <v>-11.997563</v>
      </c>
      <c r="AD300" s="49">
        <v>-76.900062000000005</v>
      </c>
      <c r="AE300" s="19" t="str">
        <f>IFERROR(VLOOKUP(C300,tdcargo[],2,FALSE),"DESCONOCIDO")</f>
        <v>OPERARIO</v>
      </c>
    </row>
    <row r="301" spans="1:31" x14ac:dyDescent="0.35">
      <c r="A301" s="8">
        <v>10443962</v>
      </c>
      <c r="B301" s="4" t="s">
        <v>3013</v>
      </c>
      <c r="C301" s="4" t="s">
        <v>1971</v>
      </c>
      <c r="D301" s="5">
        <v>41465</v>
      </c>
      <c r="E301" s="4" t="s">
        <v>31</v>
      </c>
      <c r="F301" s="4" t="s">
        <v>36</v>
      </c>
      <c r="G301" s="4" t="s">
        <v>46</v>
      </c>
      <c r="H301" s="4" t="s">
        <v>1956</v>
      </c>
      <c r="I301" s="4" t="s">
        <v>1968</v>
      </c>
      <c r="J301" s="4" t="s">
        <v>1968</v>
      </c>
      <c r="K301" s="4" t="s">
        <v>1968</v>
      </c>
      <c r="L301" s="4" t="s">
        <v>1968</v>
      </c>
      <c r="M301" s="4" t="s">
        <v>36</v>
      </c>
      <c r="N301" s="4" t="s">
        <v>3014</v>
      </c>
      <c r="O301" s="4" t="s">
        <v>37</v>
      </c>
      <c r="P301" s="4" t="s">
        <v>37</v>
      </c>
      <c r="Q301" s="10" t="s">
        <v>310</v>
      </c>
      <c r="R301" s="4" t="str">
        <f t="shared" si="19"/>
        <v>Nd 2 Grupo 7, Villa El Salvador, Lima, Lima, Perú</v>
      </c>
      <c r="S301" s="4">
        <v>-12.2142436</v>
      </c>
      <c r="T301" s="4">
        <v>-76.934417400000001</v>
      </c>
      <c r="U301" s="30">
        <f t="shared" si="20"/>
        <v>24.38</v>
      </c>
      <c r="V301" s="4" t="str">
        <f t="shared" si="21"/>
        <v>🔴 Lejos (&gt;20 km)</v>
      </c>
      <c r="W301" s="19" t="str" cm="1">
        <f t="array" ref="W301">_xlfn.LET(_xlpm.lat_emp,S301,_xlpm.lon_emp,T301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Av. Mariátegui con la Ruta C</v>
      </c>
      <c r="X301" s="19" t="str">
        <f>_xlfn.LET(_xlpm.paradero,W301,INDEX(PARADEROS_VALIDOS!$A$2:$A$67,MATCH(_xlpm.paradero,PARADEROS_VALIDOS!$C$2:$C$67,0)))</f>
        <v>RUTA 7</v>
      </c>
      <c r="Y301" s="29" cm="1">
        <f t="array" ref="Y301">_xlfn.LET(_xlpm.lat_emp,S301,_xlpm.lon_emp,T301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1.2</v>
      </c>
      <c r="Z301" s="4" t="str">
        <f t="shared" si="22"/>
        <v>🟡 Cerca (1-3 km)</v>
      </c>
      <c r="AA301" s="4"/>
      <c r="AB301" s="4"/>
      <c r="AC301" s="49">
        <v>-11.997563</v>
      </c>
      <c r="AD301" s="49">
        <v>-76.900062000000005</v>
      </c>
      <c r="AE301" s="19" t="str">
        <f>IFERROR(VLOOKUP(C301,tdcargo[],2,FALSE),"DESCONOCIDO")</f>
        <v>OPERARIO</v>
      </c>
    </row>
    <row r="302" spans="1:31" hidden="1" x14ac:dyDescent="0.35">
      <c r="A302" s="8">
        <v>76780264</v>
      </c>
      <c r="B302" s="4" t="s">
        <v>3015</v>
      </c>
      <c r="C302" s="4" t="s">
        <v>1971</v>
      </c>
      <c r="D302" s="5">
        <v>44413</v>
      </c>
      <c r="E302" s="4" t="s">
        <v>31</v>
      </c>
      <c r="F302" s="4" t="s">
        <v>36</v>
      </c>
      <c r="G302" s="4" t="s">
        <v>3016</v>
      </c>
      <c r="H302" s="4" t="s">
        <v>1996</v>
      </c>
      <c r="I302" s="4" t="s">
        <v>1968</v>
      </c>
      <c r="J302" s="4" t="s">
        <v>1968</v>
      </c>
      <c r="K302" s="4" t="s">
        <v>1968</v>
      </c>
      <c r="L302" s="4" t="s">
        <v>1968</v>
      </c>
      <c r="M302" s="4" t="s">
        <v>66</v>
      </c>
      <c r="N302" s="4" t="s">
        <v>3017</v>
      </c>
      <c r="O302" s="4" t="s">
        <v>37</v>
      </c>
      <c r="P302" s="4" t="s">
        <v>37</v>
      </c>
      <c r="Q302" s="10" t="s">
        <v>57</v>
      </c>
      <c r="R302" s="4" t="str">
        <f t="shared" si="19"/>
        <v>Asociacion Casuarinas De Barbadillo 2, U.V. Unidad Vecinal Casiarinas, Ate, Lima, Lima, Perú</v>
      </c>
      <c r="S302" s="4">
        <v>-12.0338507</v>
      </c>
      <c r="T302" s="4">
        <v>-76.921599400000005</v>
      </c>
      <c r="U302" s="30">
        <f t="shared" si="20"/>
        <v>4.67</v>
      </c>
      <c r="V302" s="4" t="str">
        <f t="shared" si="21"/>
        <v>🟢 Muy Cerca (0-5 km)</v>
      </c>
      <c r="W302" s="19" t="str" cm="1">
        <f t="array" ref="W302">_xlfn.LET(_xlpm.lat_emp,S302,_xlpm.lon_emp,T302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Panadería Marcela (cruce de la carretera central, con Av. Jose Carlos Mariátegui)</v>
      </c>
      <c r="X302" s="19" t="str">
        <f>_xlfn.LET(_xlpm.paradero,W302,INDEX(PARADEROS_VALIDOS!$A$2:$A$67,MATCH(_xlpm.paradero,PARADEROS_VALIDOS!$C$2:$C$67,0)))</f>
        <v>RUTA 4B</v>
      </c>
      <c r="Y302" s="29" cm="1">
        <f t="array" ref="Y302">_xlfn.LET(_xlpm.lat_emp,S302,_xlpm.lon_emp,T302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0.81</v>
      </c>
      <c r="Z302" s="4" t="str">
        <f t="shared" si="22"/>
        <v>🟢 Muy Cerca (0-1 km)</v>
      </c>
      <c r="AA302" s="4"/>
      <c r="AB302" s="4"/>
      <c r="AC302" s="49">
        <v>-11.997563</v>
      </c>
      <c r="AD302" s="49">
        <v>-76.900062000000005</v>
      </c>
      <c r="AE302" s="19" t="str">
        <f>IFERROR(VLOOKUP(C302,tdcargo[],2,FALSE),"DESCONOCIDO")</f>
        <v>OPERARIO</v>
      </c>
    </row>
    <row r="303" spans="1:31" x14ac:dyDescent="0.35">
      <c r="A303" s="8">
        <v>17632970</v>
      </c>
      <c r="B303" s="4" t="s">
        <v>3018</v>
      </c>
      <c r="C303" s="4" t="s">
        <v>1971</v>
      </c>
      <c r="D303" s="5">
        <v>45131</v>
      </c>
      <c r="E303" s="4" t="s">
        <v>31</v>
      </c>
      <c r="F303" s="4" t="s">
        <v>36</v>
      </c>
      <c r="G303" s="4" t="s">
        <v>3019</v>
      </c>
      <c r="H303" s="4" t="s">
        <v>2347</v>
      </c>
      <c r="I303" s="4" t="s">
        <v>1968</v>
      </c>
      <c r="J303" s="4" t="s">
        <v>1968</v>
      </c>
      <c r="K303" s="4" t="s">
        <v>1968</v>
      </c>
      <c r="L303" s="4" t="s">
        <v>1968</v>
      </c>
      <c r="M303" s="4" t="s">
        <v>36</v>
      </c>
      <c r="N303" s="4" t="s">
        <v>82</v>
      </c>
      <c r="O303" s="4" t="s">
        <v>37</v>
      </c>
      <c r="P303" s="4" t="s">
        <v>37</v>
      </c>
      <c r="Q303" s="10" t="s">
        <v>310</v>
      </c>
      <c r="R303" s="4" t="str">
        <f t="shared" si="19"/>
        <v>Sector 07 4 Calle, Villa El Salvador, Lima, Lima, Perú</v>
      </c>
      <c r="S303" s="4">
        <v>-12.2182362</v>
      </c>
      <c r="T303" s="4">
        <v>-76.933595400000002</v>
      </c>
      <c r="U303" s="30">
        <f t="shared" si="20"/>
        <v>24.81</v>
      </c>
      <c r="V303" s="4" t="str">
        <f t="shared" si="21"/>
        <v>🔴 Lejos (&gt;20 km)</v>
      </c>
      <c r="W303" s="19" t="str" cm="1">
        <f t="array" ref="W303">_xlfn.LET(_xlpm.lat_emp,S303,_xlpm.lon_emp,T303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Av. Mariátegui con la Ruta C</v>
      </c>
      <c r="X303" s="19" t="str">
        <f>_xlfn.LET(_xlpm.paradero,W303,INDEX(PARADEROS_VALIDOS!$A$2:$A$67,MATCH(_xlpm.paradero,PARADEROS_VALIDOS!$C$2:$C$67,0)))</f>
        <v>RUTA 7</v>
      </c>
      <c r="Y303" s="29" cm="1">
        <f t="array" ref="Y303">_xlfn.LET(_xlpm.lat_emp,S303,_xlpm.lon_emp,T303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1.1599999999999999</v>
      </c>
      <c r="Z303" s="4" t="str">
        <f t="shared" si="22"/>
        <v>🟡 Cerca (1-3 km)</v>
      </c>
      <c r="AA303" s="4"/>
      <c r="AB303" s="4"/>
      <c r="AC303" s="49">
        <v>-11.997563</v>
      </c>
      <c r="AD303" s="49">
        <v>-76.900062000000005</v>
      </c>
      <c r="AE303" s="19" t="str">
        <f>IFERROR(VLOOKUP(C303,tdcargo[],2,FALSE),"DESCONOCIDO")</f>
        <v>OPERARIO</v>
      </c>
    </row>
    <row r="304" spans="1:31" hidden="1" x14ac:dyDescent="0.35">
      <c r="A304" s="8">
        <v>76589244</v>
      </c>
      <c r="B304" s="4" t="s">
        <v>3020</v>
      </c>
      <c r="C304" s="4" t="s">
        <v>1971</v>
      </c>
      <c r="D304" s="5">
        <v>45505</v>
      </c>
      <c r="E304" s="4" t="s">
        <v>31</v>
      </c>
      <c r="F304" s="4" t="s">
        <v>36</v>
      </c>
      <c r="G304" s="4" t="s">
        <v>705</v>
      </c>
      <c r="H304" s="4" t="s">
        <v>1956</v>
      </c>
      <c r="I304" s="4" t="s">
        <v>1968</v>
      </c>
      <c r="J304" s="4" t="s">
        <v>1968</v>
      </c>
      <c r="K304" s="4" t="s">
        <v>1973</v>
      </c>
      <c r="L304" s="4" t="s">
        <v>1968</v>
      </c>
      <c r="M304" s="4" t="s">
        <v>36</v>
      </c>
      <c r="N304" s="4" t="s">
        <v>3021</v>
      </c>
      <c r="O304" s="4" t="s">
        <v>37</v>
      </c>
      <c r="P304" s="4" t="s">
        <v>37</v>
      </c>
      <c r="Q304" s="10" t="s">
        <v>57</v>
      </c>
      <c r="R304" s="4" t="str">
        <f t="shared" si="19"/>
        <v>Huaycan, Lote 15 Zona J, Ate, Lima, Lima, Perú</v>
      </c>
      <c r="S304" s="4">
        <v>-12.0295819</v>
      </c>
      <c r="T304" s="4">
        <v>-76.824523299999996</v>
      </c>
      <c r="U304" s="30">
        <f t="shared" si="20"/>
        <v>8.9499999999999993</v>
      </c>
      <c r="V304" s="4" t="str">
        <f t="shared" si="21"/>
        <v>🟡 Cerca (5-10 km)</v>
      </c>
      <c r="W304" s="19" t="str" cm="1">
        <f t="array" ref="W304">_xlfn.LET(_xlpm.lat_emp,S304,_xlpm.lon_emp,T304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304" s="19" t="str">
        <f>_xlfn.LET(_xlpm.paradero,W304,INDEX(PARADEROS_VALIDOS!$A$2:$A$67,MATCH(_xlpm.paradero,PARADEROS_VALIDOS!$C$2:$C$67,0)))</f>
        <v>RUTA 3</v>
      </c>
      <c r="Y304" s="29" cm="1">
        <f t="array" ref="Y304">_xlfn.LET(_xlpm.lat_emp,S304,_xlpm.lon_emp,T304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0.46</v>
      </c>
      <c r="Z304" s="4" t="str">
        <f t="shared" si="22"/>
        <v>🟢 Muy Cerca (0-1 km)</v>
      </c>
      <c r="AA304" s="4"/>
      <c r="AB304" s="4"/>
      <c r="AC304" s="49">
        <v>-11.997563</v>
      </c>
      <c r="AD304" s="49">
        <v>-76.900062000000005</v>
      </c>
      <c r="AE304" s="19" t="str">
        <f>IFERROR(VLOOKUP(C304,tdcargo[],2,FALSE),"DESCONOCIDO")</f>
        <v>OPERARIO</v>
      </c>
    </row>
    <row r="305" spans="1:31" x14ac:dyDescent="0.35">
      <c r="A305" s="8">
        <v>60549531</v>
      </c>
      <c r="B305" s="4" t="s">
        <v>3022</v>
      </c>
      <c r="C305" s="4" t="s">
        <v>1971</v>
      </c>
      <c r="D305" s="5">
        <v>45754</v>
      </c>
      <c r="E305" s="4" t="s">
        <v>31</v>
      </c>
      <c r="F305" s="4" t="s">
        <v>36</v>
      </c>
      <c r="G305" s="4" t="s">
        <v>1916</v>
      </c>
      <c r="H305" s="4" t="s">
        <v>2171</v>
      </c>
      <c r="I305" s="4" t="s">
        <v>1968</v>
      </c>
      <c r="J305" s="4" t="s">
        <v>1968</v>
      </c>
      <c r="K305" s="4" t="s">
        <v>1968</v>
      </c>
      <c r="L305" s="4" t="s">
        <v>1968</v>
      </c>
      <c r="M305" s="4" t="s">
        <v>36</v>
      </c>
      <c r="N305" s="4" t="s">
        <v>3023</v>
      </c>
      <c r="O305" s="4" t="s">
        <v>37</v>
      </c>
      <c r="P305" s="4" t="s">
        <v>37</v>
      </c>
      <c r="Q305" s="10" t="s">
        <v>76</v>
      </c>
      <c r="R305" s="4" t="str">
        <f t="shared" si="19"/>
        <v>Bayovar 3 Asentamiento Humano Jose Sabogal, Lurigancho, Lima, Lima, Perú</v>
      </c>
      <c r="S305" s="4">
        <v>-12.120972500000001</v>
      </c>
      <c r="T305" s="4">
        <v>-77.010932600000004</v>
      </c>
      <c r="U305" s="30">
        <f t="shared" si="20"/>
        <v>18.27</v>
      </c>
      <c r="V305" s="4" t="str">
        <f t="shared" si="21"/>
        <v>🟠 Moderada (10-20 km)</v>
      </c>
      <c r="W305" s="19" t="str" cm="1">
        <f t="array" ref="W305">_xlfn.LET(_xlpm.lat_emp,S305,_xlpm.lon_emp,T305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Pentagonito</v>
      </c>
      <c r="X305" s="19" t="str">
        <f>_xlfn.LET(_xlpm.paradero,W305,INDEX(PARADEROS_VALIDOS!$A$2:$A$67,MATCH(_xlpm.paradero,PARADEROS_VALIDOS!$C$2:$C$67,0)))</f>
        <v>RUTA 7</v>
      </c>
      <c r="Y305" s="29" cm="1">
        <f t="array" ref="Y305">_xlfn.LET(_xlpm.lat_emp,S305,_xlpm.lon_emp,T305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3.46</v>
      </c>
      <c r="Z305" s="4" t="str">
        <f t="shared" si="22"/>
        <v>🟠 Moderada (3-5 km)</v>
      </c>
      <c r="AA305" s="4"/>
      <c r="AB305" s="4"/>
      <c r="AC305" s="49">
        <v>-11.997563</v>
      </c>
      <c r="AD305" s="49">
        <v>-76.900062000000005</v>
      </c>
      <c r="AE305" s="19" t="str">
        <f>IFERROR(VLOOKUP(C305,tdcargo[],2,FALSE),"DESCONOCIDO")</f>
        <v>OPERARIO</v>
      </c>
    </row>
    <row r="306" spans="1:31" hidden="1" x14ac:dyDescent="0.35">
      <c r="A306" s="8">
        <v>43114787</v>
      </c>
      <c r="B306" s="4" t="s">
        <v>3024</v>
      </c>
      <c r="C306" s="4" t="s">
        <v>1971</v>
      </c>
      <c r="D306" s="5">
        <v>44462</v>
      </c>
      <c r="E306" s="4" t="s">
        <v>31</v>
      </c>
      <c r="F306" s="4" t="s">
        <v>34</v>
      </c>
      <c r="G306" s="4" t="s">
        <v>3025</v>
      </c>
      <c r="H306" s="4" t="s">
        <v>1956</v>
      </c>
      <c r="I306" s="4" t="s">
        <v>1968</v>
      </c>
      <c r="J306" s="4" t="s">
        <v>1968</v>
      </c>
      <c r="K306" s="4" t="s">
        <v>1968</v>
      </c>
      <c r="L306" s="4" t="s">
        <v>1968</v>
      </c>
      <c r="M306" s="4" t="s">
        <v>609</v>
      </c>
      <c r="N306" s="4" t="s">
        <v>303</v>
      </c>
      <c r="O306" s="4" t="s">
        <v>37</v>
      </c>
      <c r="P306" s="4" t="s">
        <v>37</v>
      </c>
      <c r="Q306" s="10" t="s">
        <v>38</v>
      </c>
      <c r="R306" s="4" t="str">
        <f t="shared" si="19"/>
        <v>Avenida Jose Carlos Mariategui - Grupo 5, P.J. Pueblo Joven Huascar, San Juan De Lurigancho, Lima, Lima, Perú</v>
      </c>
      <c r="S306" s="4">
        <v>-11.9625992</v>
      </c>
      <c r="T306" s="4">
        <v>-77.0075827</v>
      </c>
      <c r="U306" s="30">
        <f t="shared" si="20"/>
        <v>12.32</v>
      </c>
      <c r="V306" s="4" t="str">
        <f t="shared" si="21"/>
        <v>🟠 Moderada (10-20 km)</v>
      </c>
      <c r="W306" s="19" t="str" cm="1">
        <f t="array" ref="W306">_xlfn.LET(_xlpm.lat_emp,S306,_xlpm.lon_emp,T306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Acho</v>
      </c>
      <c r="X306" s="19" t="str">
        <f>_xlfn.LET(_xlpm.paradero,W306,INDEX(PARADEROS_VALIDOS!$A$2:$A$67,MATCH(_xlpm.paradero,PARADEROS_VALIDOS!$C$2:$C$67,0)))</f>
        <v>RUTA 8</v>
      </c>
      <c r="Y306" s="29" cm="1">
        <f t="array" ref="Y306">_xlfn.LET(_xlpm.lat_emp,S306,_xlpm.lon_emp,T306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1.1499999999999999</v>
      </c>
      <c r="Z306" s="4" t="str">
        <f t="shared" si="22"/>
        <v>🟡 Cerca (1-3 km)</v>
      </c>
      <c r="AA306" s="4"/>
      <c r="AB306" s="4"/>
      <c r="AC306" s="49">
        <v>-11.997563</v>
      </c>
      <c r="AD306" s="49">
        <v>-76.900062000000005</v>
      </c>
      <c r="AE306" s="19" t="str">
        <f>IFERROR(VLOOKUP(C306,tdcargo[],2,FALSE),"DESCONOCIDO")</f>
        <v>OPERARIO</v>
      </c>
    </row>
    <row r="307" spans="1:31" hidden="1" x14ac:dyDescent="0.35">
      <c r="A307" s="8">
        <v>43972519</v>
      </c>
      <c r="B307" s="4" t="s">
        <v>3026</v>
      </c>
      <c r="C307" s="4" t="s">
        <v>2001</v>
      </c>
      <c r="D307" s="5">
        <v>41905</v>
      </c>
      <c r="E307" s="4" t="s">
        <v>31</v>
      </c>
      <c r="F307" s="4" t="s">
        <v>36</v>
      </c>
      <c r="G307" s="4" t="s">
        <v>3027</v>
      </c>
      <c r="H307" s="4" t="s">
        <v>1956</v>
      </c>
      <c r="I307" s="4" t="s">
        <v>1968</v>
      </c>
      <c r="J307" s="4" t="s">
        <v>1968</v>
      </c>
      <c r="K307" s="4" t="s">
        <v>1968</v>
      </c>
      <c r="L307" s="4" t="s">
        <v>1968</v>
      </c>
      <c r="M307" s="4" t="s">
        <v>186</v>
      </c>
      <c r="N307" s="4" t="s">
        <v>1803</v>
      </c>
      <c r="O307" s="4" t="s">
        <v>37</v>
      </c>
      <c r="P307" s="4" t="s">
        <v>37</v>
      </c>
      <c r="Q307" s="10" t="s">
        <v>76</v>
      </c>
      <c r="R307" s="4" t="str">
        <f t="shared" si="19"/>
        <v>Fundo Niviera Chosica, Urb. Urbanización Chambala, Lurigancho, Lima, Lima, Perú</v>
      </c>
      <c r="S307" s="4">
        <v>-11.9532975</v>
      </c>
      <c r="T307" s="4">
        <v>-76.722865400000003</v>
      </c>
      <c r="U307" s="30">
        <f t="shared" si="20"/>
        <v>19.89</v>
      </c>
      <c r="V307" s="4" t="str">
        <f t="shared" si="21"/>
        <v>🟠 Moderada (10-20 km)</v>
      </c>
      <c r="W307" s="19" t="str" cm="1">
        <f t="array" ref="W307">_xlfn.LET(_xlpm.lat_emp,S307,_xlpm.lon_emp,T307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307" s="19" t="str">
        <f>_xlfn.LET(_xlpm.paradero,W307,INDEX(PARADEROS_VALIDOS!$A$2:$A$67,MATCH(_xlpm.paradero,PARADEROS_VALIDOS!$C$2:$C$67,0)))</f>
        <v>RUTA 5A</v>
      </c>
      <c r="Y307" s="29" cm="1">
        <f t="array" ref="Y307">_xlfn.LET(_xlpm.lat_emp,S307,_xlpm.lon_emp,T307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5.98</v>
      </c>
      <c r="Z307" s="4" t="str">
        <f t="shared" si="22"/>
        <v>🔴 Lejos (&gt;5 km)</v>
      </c>
      <c r="AA307" s="4"/>
      <c r="AB307" s="4"/>
      <c r="AC307" s="49">
        <v>-11.997563</v>
      </c>
      <c r="AD307" s="49">
        <v>-76.900062000000005</v>
      </c>
      <c r="AE307" s="19" t="str">
        <f>IFERROR(VLOOKUP(C307,tdcargo[],2,FALSE),"DESCONOCIDO")</f>
        <v>OPERARIO</v>
      </c>
    </row>
    <row r="308" spans="1:31" hidden="1" x14ac:dyDescent="0.35">
      <c r="A308" s="8">
        <v>76248530</v>
      </c>
      <c r="B308" s="4" t="s">
        <v>3033</v>
      </c>
      <c r="C308" s="4" t="s">
        <v>1971</v>
      </c>
      <c r="D308" s="5">
        <v>45726</v>
      </c>
      <c r="E308" s="4" t="s">
        <v>31</v>
      </c>
      <c r="F308" s="4" t="s">
        <v>82</v>
      </c>
      <c r="G308" s="4" t="s">
        <v>3034</v>
      </c>
      <c r="H308" s="4" t="s">
        <v>1956</v>
      </c>
      <c r="I308" s="4" t="s">
        <v>1995</v>
      </c>
      <c r="J308" s="4" t="s">
        <v>1968</v>
      </c>
      <c r="K308" s="4" t="s">
        <v>1968</v>
      </c>
      <c r="L308" s="4" t="s">
        <v>1968</v>
      </c>
      <c r="M308" s="4" t="s">
        <v>36</v>
      </c>
      <c r="N308" s="4" t="s">
        <v>3035</v>
      </c>
      <c r="O308" s="4" t="s">
        <v>37</v>
      </c>
      <c r="P308" s="4" t="s">
        <v>195</v>
      </c>
      <c r="Q308" s="10" t="s">
        <v>196</v>
      </c>
      <c r="R308" s="4" t="str">
        <f t="shared" si="19"/>
        <v>Calle Los Telares, Apt. 1 Proyecto 2000, San Antonio, Huarochiri, Lima, Perú</v>
      </c>
      <c r="S308" s="4">
        <v>-11.8289311</v>
      </c>
      <c r="T308" s="4">
        <v>-76.802893299999994</v>
      </c>
      <c r="U308" s="30">
        <f t="shared" si="20"/>
        <v>21.53</v>
      </c>
      <c r="V308" s="4" t="str">
        <f t="shared" si="21"/>
        <v>🔴 Lejos (&gt;20 km)</v>
      </c>
      <c r="W308" s="19" t="str" cm="1">
        <f t="array" ref="W308">_xlfn.LET(_xlpm.lat_emp,S308,_xlpm.lon_emp,T308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308" s="19" t="str">
        <f>_xlfn.LET(_xlpm.paradero,W308,INDEX(PARADEROS_VALIDOS!$A$2:$A$67,MATCH(_xlpm.paradero,PARADEROS_VALIDOS!$C$2:$C$67,0)))</f>
        <v>RUTA 5A</v>
      </c>
      <c r="Y308" s="29" cm="1">
        <f t="array" ref="Y308">_xlfn.LET(_xlpm.lat_emp,S308,_xlpm.lon_emp,T308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16.739999999999998</v>
      </c>
      <c r="Z308" s="4" t="str">
        <f t="shared" si="22"/>
        <v>🔴 Lejos (&gt;5 km)</v>
      </c>
      <c r="AA308" s="4"/>
      <c r="AB308" s="4"/>
      <c r="AC308" s="49">
        <v>-11.997563</v>
      </c>
      <c r="AD308" s="49">
        <v>-76.900062000000005</v>
      </c>
      <c r="AE308" s="19" t="str">
        <f>IFERROR(VLOOKUP(C308,tdcargo[],2,FALSE),"DESCONOCIDO")</f>
        <v>OPERARIO</v>
      </c>
    </row>
    <row r="309" spans="1:31" hidden="1" x14ac:dyDescent="0.35">
      <c r="A309" s="8">
        <v>70699670</v>
      </c>
      <c r="B309" s="4" t="s">
        <v>3036</v>
      </c>
      <c r="C309" s="4" t="s">
        <v>1971</v>
      </c>
      <c r="D309" s="5">
        <v>45887</v>
      </c>
      <c r="E309" s="4" t="s">
        <v>31</v>
      </c>
      <c r="F309" s="4" t="s">
        <v>34</v>
      </c>
      <c r="G309" s="4" t="s">
        <v>3037</v>
      </c>
      <c r="H309" s="4" t="s">
        <v>2058</v>
      </c>
      <c r="I309" s="4" t="s">
        <v>1968</v>
      </c>
      <c r="J309" s="4" t="s">
        <v>1968</v>
      </c>
      <c r="K309" s="4" t="s">
        <v>2058</v>
      </c>
      <c r="L309" s="4" t="s">
        <v>2297</v>
      </c>
      <c r="M309" s="4" t="s">
        <v>36</v>
      </c>
      <c r="N309" s="4" t="s">
        <v>1415</v>
      </c>
      <c r="O309" s="4" t="s">
        <v>37</v>
      </c>
      <c r="P309" s="4" t="s">
        <v>37</v>
      </c>
      <c r="Q309" s="10" t="s">
        <v>76</v>
      </c>
      <c r="R309" s="4" t="str">
        <f t="shared" si="19"/>
        <v>Avenida Union Jicamarca 7, Lote 7, Mz. B1 Las Praderas, Lurigancho, Lima, Lima, Perú</v>
      </c>
      <c r="S309" s="4">
        <v>-11.9673883</v>
      </c>
      <c r="T309" s="4">
        <v>-76.936509400000006</v>
      </c>
      <c r="U309" s="30">
        <f t="shared" si="20"/>
        <v>5.19</v>
      </c>
      <c r="V309" s="4" t="str">
        <f t="shared" si="21"/>
        <v>🟡 Cerca (5-10 km)</v>
      </c>
      <c r="W309" s="19" t="str" cm="1">
        <f t="array" ref="W309">_xlfn.LET(_xlpm.lat_emp,S309,_xlpm.lon_emp,T309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309" s="19" t="str">
        <f>_xlfn.LET(_xlpm.paradero,W309,INDEX(PARADEROS_VALIDOS!$A$2:$A$67,MATCH(_xlpm.paradero,PARADEROS_VALIDOS!$C$2:$C$67,0)))</f>
        <v>RUTA 2</v>
      </c>
      <c r="Y309" s="29" cm="1">
        <f t="array" ref="Y309">_xlfn.LET(_xlpm.lat_emp,S309,_xlpm.lon_emp,T309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4.6500000000000004</v>
      </c>
      <c r="Z309" s="4" t="str">
        <f t="shared" si="22"/>
        <v>🟠 Moderada (3-5 km)</v>
      </c>
      <c r="AA309" s="4"/>
      <c r="AB309" s="4"/>
      <c r="AC309" s="49">
        <v>-11.997563</v>
      </c>
      <c r="AD309" s="49">
        <v>-76.900062000000005</v>
      </c>
      <c r="AE309" s="19" t="str">
        <f>IFERROR(VLOOKUP(C309,tdcargo[],2,FALSE),"DESCONOCIDO")</f>
        <v>OPERARIO</v>
      </c>
    </row>
    <row r="310" spans="1:31" hidden="1" x14ac:dyDescent="0.35">
      <c r="A310" s="8">
        <v>60277077</v>
      </c>
      <c r="B310" s="4" t="s">
        <v>3038</v>
      </c>
      <c r="C310" s="4" t="s">
        <v>1971</v>
      </c>
      <c r="D310" s="5">
        <v>45736</v>
      </c>
      <c r="E310" s="4" t="s">
        <v>31</v>
      </c>
      <c r="F310" s="4" t="s">
        <v>34</v>
      </c>
      <c r="G310" s="4" t="s">
        <v>3039</v>
      </c>
      <c r="H310" s="4" t="s">
        <v>3040</v>
      </c>
      <c r="I310" s="4" t="s">
        <v>1968</v>
      </c>
      <c r="J310" s="4" t="s">
        <v>1968</v>
      </c>
      <c r="K310" s="4" t="s">
        <v>1968</v>
      </c>
      <c r="L310" s="4" t="s">
        <v>1968</v>
      </c>
      <c r="M310" s="4" t="s">
        <v>36</v>
      </c>
      <c r="N310" s="4" t="s">
        <v>102</v>
      </c>
      <c r="O310" s="4" t="s">
        <v>37</v>
      </c>
      <c r="P310" s="4" t="s">
        <v>37</v>
      </c>
      <c r="Q310" s="10" t="s">
        <v>57</v>
      </c>
      <c r="R310" s="4" t="str">
        <f t="shared" si="19"/>
        <v>Avenida 26 De Mayo 1501 Esperanza, Ate, Lima, Lima, Perú</v>
      </c>
      <c r="S310" s="4">
        <v>-12.0267061</v>
      </c>
      <c r="T310" s="4">
        <v>-76.931421599999993</v>
      </c>
      <c r="U310" s="30">
        <f t="shared" si="20"/>
        <v>4.7</v>
      </c>
      <c r="V310" s="4" t="str">
        <f t="shared" si="21"/>
        <v>🟢 Muy Cerca (0-5 km)</v>
      </c>
      <c r="W310" s="19" t="str" cm="1">
        <f t="array" ref="W310">_xlfn.LET(_xlpm.lat_emp,S310,_xlpm.lon_emp,T310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Panadería Marcela (cruce de la carretera central, con Av. Jose Carlos Mariátegui)</v>
      </c>
      <c r="X310" s="19" t="str">
        <f>_xlfn.LET(_xlpm.paradero,W310,INDEX(PARADEROS_VALIDOS!$A$2:$A$67,MATCH(_xlpm.paradero,PARADEROS_VALIDOS!$C$2:$C$67,0)))</f>
        <v>RUTA 4B</v>
      </c>
      <c r="Y310" s="29" cm="1">
        <f t="array" ref="Y310">_xlfn.LET(_xlpm.lat_emp,S310,_xlpm.lon_emp,T310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1.17</v>
      </c>
      <c r="Z310" s="4" t="str">
        <f t="shared" si="22"/>
        <v>🟡 Cerca (1-3 km)</v>
      </c>
      <c r="AA310" s="4"/>
      <c r="AB310" s="4"/>
      <c r="AC310" s="49">
        <v>-11.997563</v>
      </c>
      <c r="AD310" s="49">
        <v>-76.900062000000005</v>
      </c>
      <c r="AE310" s="19" t="str">
        <f>IFERROR(VLOOKUP(C310,tdcargo[],2,FALSE),"DESCONOCIDO")</f>
        <v>OPERARIO</v>
      </c>
    </row>
    <row r="311" spans="1:31" hidden="1" x14ac:dyDescent="0.35">
      <c r="A311" s="8">
        <v>73507123</v>
      </c>
      <c r="B311" s="4" t="s">
        <v>3041</v>
      </c>
      <c r="C311" s="4" t="s">
        <v>1971</v>
      </c>
      <c r="D311" s="5">
        <v>45796</v>
      </c>
      <c r="E311" s="4" t="s">
        <v>31</v>
      </c>
      <c r="F311" s="4" t="s">
        <v>36</v>
      </c>
      <c r="G311" s="4" t="s">
        <v>3042</v>
      </c>
      <c r="H311" s="4" t="s">
        <v>1956</v>
      </c>
      <c r="I311" s="4" t="s">
        <v>1968</v>
      </c>
      <c r="J311" s="4" t="s">
        <v>1968</v>
      </c>
      <c r="K311" s="4" t="s">
        <v>1968</v>
      </c>
      <c r="L311" s="4" t="s">
        <v>1968</v>
      </c>
      <c r="M311" s="4" t="s">
        <v>36</v>
      </c>
      <c r="N311" s="4" t="s">
        <v>3043</v>
      </c>
      <c r="O311" s="4" t="s">
        <v>37</v>
      </c>
      <c r="P311" s="4" t="s">
        <v>37</v>
      </c>
      <c r="Q311" s="10" t="s">
        <v>57</v>
      </c>
      <c r="R311" s="4" t="str">
        <f t="shared" si="19"/>
        <v>Ucv 136 Zona I, Ate, Lima, Lima, Perú</v>
      </c>
      <c r="S311" s="4">
        <v>-12.010109</v>
      </c>
      <c r="T311" s="4">
        <v>-76.827872200000002</v>
      </c>
      <c r="U311" s="30">
        <f t="shared" si="20"/>
        <v>7.97</v>
      </c>
      <c r="V311" s="4" t="str">
        <f t="shared" si="21"/>
        <v>🟡 Cerca (5-10 km)</v>
      </c>
      <c r="W311" s="19" t="str" cm="1">
        <f t="array" ref="W311">_xlfn.LET(_xlpm.lat_emp,S311,_xlpm.lon_emp,T311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Horacio</v>
      </c>
      <c r="X311" s="19" t="str">
        <f>_xlfn.LET(_xlpm.paradero,W311,INDEX(PARADEROS_VALIDOS!$A$2:$A$67,MATCH(_xlpm.paradero,PARADEROS_VALIDOS!$C$2:$C$67,0)))</f>
        <v>RUTA 5B</v>
      </c>
      <c r="Y311" s="29" cm="1">
        <f t="array" ref="Y311">_xlfn.LET(_xlpm.lat_emp,S311,_xlpm.lon_emp,T311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1.55</v>
      </c>
      <c r="Z311" s="4" t="str">
        <f t="shared" si="22"/>
        <v>🟡 Cerca (1-3 km)</v>
      </c>
      <c r="AA311" s="4"/>
      <c r="AB311" s="4"/>
      <c r="AC311" s="49">
        <v>-11.997563</v>
      </c>
      <c r="AD311" s="49">
        <v>-76.900062000000005</v>
      </c>
      <c r="AE311" s="19" t="str">
        <f>IFERROR(VLOOKUP(C311,tdcargo[],2,FALSE),"DESCONOCIDO")</f>
        <v>OPERARIO</v>
      </c>
    </row>
    <row r="312" spans="1:31" hidden="1" x14ac:dyDescent="0.35">
      <c r="A312" s="8">
        <v>70965947</v>
      </c>
      <c r="B312" s="4" t="s">
        <v>3050</v>
      </c>
      <c r="C312" s="4" t="s">
        <v>1971</v>
      </c>
      <c r="D312" s="5">
        <v>46034</v>
      </c>
      <c r="E312" s="4" t="s">
        <v>31</v>
      </c>
      <c r="F312" s="4" t="s">
        <v>36</v>
      </c>
      <c r="G312" s="4" t="s">
        <v>166</v>
      </c>
      <c r="H312" s="4" t="s">
        <v>2203</v>
      </c>
      <c r="I312" s="4" t="s">
        <v>2114</v>
      </c>
      <c r="J312" s="4" t="s">
        <v>1968</v>
      </c>
      <c r="K312" s="4" t="s">
        <v>2203</v>
      </c>
      <c r="L312" s="4" t="s">
        <v>1968</v>
      </c>
      <c r="M312" s="4" t="s">
        <v>36</v>
      </c>
      <c r="N312" s="4" t="s">
        <v>3241</v>
      </c>
      <c r="O312" s="4" t="s">
        <v>37</v>
      </c>
      <c r="P312" s="4" t="s">
        <v>37</v>
      </c>
      <c r="Q312" s="10" t="s">
        <v>76</v>
      </c>
      <c r="R312" s="4" t="str">
        <f t="shared" ref="R312:R375" si="23">_xlfn.LET(_xlpm.parte1,TRIM(IF(F312="Otros / No aplica","",F312&amp;" ")&amp;G312&amp;IF(AND(H312&lt;&gt;"",H312&lt;&gt;"0",H312&lt;&gt;0)," "&amp;H312,"")&amp;IF(I312&lt;&gt;"",", Apt. "&amp;I312,"")&amp;IF(J312&lt;&gt;"",", Int. "&amp;J312,"")&amp;IF(AND(K312&lt;&gt;"",K312&lt;&gt;0),", Lote "&amp;K312,"")&amp;IF(L312&lt;&gt;"",", Mz. "&amp;L312,"")&amp;IF(AND(M312&lt;&gt;"",M312&lt;&gt;"Otros / No aplica"),", "&amp;M312,"")&amp;IF(AND(N312&lt;&gt;"",N312&lt;&gt;"0",N312&lt;&gt;0)," "&amp;N312,"")),_xlpm.parte2,Q312&amp;", "&amp;P312&amp;", "&amp;O312&amp;", Perú",IF(LEFT(_xlpm.parte1,1)=",",TRIM(MID(_xlpm.parte1,2,255))&amp;", "&amp;_xlpm.parte2,IF(_xlpm.parte1="",_xlpm.parte2,_xlpm.parte1&amp;", "&amp;_xlpm.parte2)))</f>
        <v>La Campiña 11, Apt. 10, Lote 11 SIN ZONA, Lurigancho, Lima, Lima, Perú</v>
      </c>
      <c r="S312" s="4">
        <v>-12.009696699999999</v>
      </c>
      <c r="T312" s="4">
        <v>-76.905361299999996</v>
      </c>
      <c r="U312" s="30">
        <f t="shared" si="20"/>
        <v>1.47</v>
      </c>
      <c r="V312" s="4" t="str">
        <f t="shared" si="21"/>
        <v>🟢 Muy Cerca (0-5 km)</v>
      </c>
      <c r="W312" s="19" t="str" cm="1">
        <f t="array" ref="W312">_xlfn.LET(_xlpm.lat_emp,S312,_xlpm.lon_emp,T312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Tottus Huachipa</v>
      </c>
      <c r="X312" s="19" t="str">
        <f>_xlfn.LET(_xlpm.paradero,W312,INDEX(PARADEROS_VALIDOS!$A$2:$A$67,MATCH(_xlpm.paradero,PARADEROS_VALIDOS!$C$2:$C$67,0)))</f>
        <v>RUTA 1</v>
      </c>
      <c r="Y312" s="29" cm="1">
        <f t="array" ref="Y312">_xlfn.LET(_xlpm.lat_emp,S312,_xlpm.lon_emp,T312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1.18</v>
      </c>
      <c r="Z312" s="4" t="str">
        <f t="shared" si="22"/>
        <v>🟡 Cerca (1-3 km)</v>
      </c>
      <c r="AA312" s="4"/>
      <c r="AB312" s="4"/>
      <c r="AC312" s="49">
        <v>-11.997563</v>
      </c>
      <c r="AD312" s="49">
        <v>-76.900062000000005</v>
      </c>
      <c r="AE312" s="19" t="str">
        <f>IFERROR(VLOOKUP(C312,tdcargo[],2,FALSE),"DESCONOCIDO")</f>
        <v>OPERARIO</v>
      </c>
    </row>
    <row r="313" spans="1:31" hidden="1" x14ac:dyDescent="0.35">
      <c r="A313" s="8">
        <v>77021761</v>
      </c>
      <c r="B313" s="4" t="s">
        <v>3051</v>
      </c>
      <c r="C313" s="4" t="s">
        <v>1971</v>
      </c>
      <c r="D313" s="5">
        <v>46034</v>
      </c>
      <c r="E313" s="4" t="s">
        <v>31</v>
      </c>
      <c r="F313" s="4" t="s">
        <v>36</v>
      </c>
      <c r="G313" s="4" t="s">
        <v>3052</v>
      </c>
      <c r="H313" s="4" t="s">
        <v>2171</v>
      </c>
      <c r="I313" s="4" t="s">
        <v>2052</v>
      </c>
      <c r="J313" s="4" t="s">
        <v>1968</v>
      </c>
      <c r="K313" s="4" t="s">
        <v>2171</v>
      </c>
      <c r="L313" s="4" t="s">
        <v>1861</v>
      </c>
      <c r="M313" s="4" t="s">
        <v>36</v>
      </c>
      <c r="N313" s="4" t="s">
        <v>3241</v>
      </c>
      <c r="O313" s="4" t="s">
        <v>37</v>
      </c>
      <c r="P313" s="4" t="s">
        <v>37</v>
      </c>
      <c r="Q313" s="10" t="s">
        <v>57</v>
      </c>
      <c r="R313" s="4" t="str">
        <f t="shared" si="23"/>
        <v>Diaz Malache 3, Apt. 12, Lote 3, Mz. D SIN ZONA, Ate, Lima, Lima, Perú</v>
      </c>
      <c r="S313" s="4">
        <v>-12.023696899999999</v>
      </c>
      <c r="T313" s="4">
        <v>-76.899117899999993</v>
      </c>
      <c r="U313" s="30">
        <f t="shared" si="20"/>
        <v>2.91</v>
      </c>
      <c r="V313" s="4" t="str">
        <f t="shared" si="21"/>
        <v>🟢 Muy Cerca (0-5 km)</v>
      </c>
      <c r="W313" s="19" t="str" cm="1">
        <f t="array" ref="W313">_xlfn.LET(_xlpm.lat_emp,S313,_xlpm.lon_emp,T313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Esperanza</v>
      </c>
      <c r="X313" s="19" t="str">
        <f>_xlfn.LET(_xlpm.paradero,W313,INDEX(PARADEROS_VALIDOS!$A$2:$A$67,MATCH(_xlpm.paradero,PARADEROS_VALIDOS!$C$2:$C$67,0)))</f>
        <v>RUTA 4B</v>
      </c>
      <c r="Y313" s="29" cm="1">
        <f t="array" ref="Y313">_xlfn.LET(_xlpm.lat_emp,S313,_xlpm.lon_emp,T313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0.87</v>
      </c>
      <c r="Z313" s="4" t="str">
        <f t="shared" si="22"/>
        <v>🟢 Muy Cerca (0-1 km)</v>
      </c>
      <c r="AA313" s="4"/>
      <c r="AB313" s="4"/>
      <c r="AC313" s="49">
        <v>-11.997563</v>
      </c>
      <c r="AD313" s="49">
        <v>-76.900062000000005</v>
      </c>
      <c r="AE313" s="19" t="str">
        <f>IFERROR(VLOOKUP(C313,tdcargo[],2,FALSE),"DESCONOCIDO")</f>
        <v>OPERARIO</v>
      </c>
    </row>
    <row r="314" spans="1:31" hidden="1" x14ac:dyDescent="0.35">
      <c r="A314" s="8">
        <v>76319463</v>
      </c>
      <c r="B314" s="4" t="s">
        <v>3053</v>
      </c>
      <c r="C314" s="4" t="s">
        <v>1971</v>
      </c>
      <c r="D314" s="5">
        <v>46055</v>
      </c>
      <c r="E314" s="4" t="s">
        <v>31</v>
      </c>
      <c r="F314" s="4" t="s">
        <v>34</v>
      </c>
      <c r="G314" s="4" t="s">
        <v>3054</v>
      </c>
      <c r="H314" s="4" t="s">
        <v>3055</v>
      </c>
      <c r="I314" s="4" t="s">
        <v>1968</v>
      </c>
      <c r="J314" s="4" t="s">
        <v>1968</v>
      </c>
      <c r="K314" s="4" t="s">
        <v>1968</v>
      </c>
      <c r="L314" s="4" t="s">
        <v>1968</v>
      </c>
      <c r="M314" s="4" t="s">
        <v>186</v>
      </c>
      <c r="N314" s="4" t="s">
        <v>3056</v>
      </c>
      <c r="O314" s="4" t="s">
        <v>37</v>
      </c>
      <c r="P314" s="4" t="s">
        <v>37</v>
      </c>
      <c r="Q314" s="10" t="s">
        <v>38</v>
      </c>
      <c r="R314" s="4" t="str">
        <f t="shared" si="23"/>
        <v>Avenida El Sol 547 San Carlo 547, Urb. Urbanización SAN CARLOS, San Juan De Lurigancho, Lima, Lima, Perú</v>
      </c>
      <c r="S314" s="4">
        <v>-11.985522899999999</v>
      </c>
      <c r="T314" s="4">
        <v>-77.003142499999996</v>
      </c>
      <c r="U314" s="30">
        <f t="shared" si="20"/>
        <v>11.29</v>
      </c>
      <c r="V314" s="4" t="str">
        <f t="shared" si="21"/>
        <v>🟠 Moderada (10-20 km)</v>
      </c>
      <c r="W314" s="19" t="str" cm="1">
        <f t="array" ref="W314">_xlfn.LET(_xlpm.lat_emp,S314,_xlpm.lon_emp,T314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Carlos</v>
      </c>
      <c r="X314" s="19" t="str">
        <f>_xlfn.LET(_xlpm.paradero,W314,INDEX(PARADEROS_VALIDOS!$A$2:$A$67,MATCH(_xlpm.paradero,PARADEROS_VALIDOS!$C$2:$C$67,0)))</f>
        <v>RUTA 6B</v>
      </c>
      <c r="Y314" s="29" cm="1">
        <f t="array" ref="Y314">_xlfn.LET(_xlpm.lat_emp,S314,_xlpm.lon_emp,T314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0.9</v>
      </c>
      <c r="Z314" s="4" t="str">
        <f t="shared" si="22"/>
        <v>🟢 Muy Cerca (0-1 km)</v>
      </c>
      <c r="AA314" s="4"/>
      <c r="AB314" s="4"/>
      <c r="AC314" s="49">
        <v>-11.997563</v>
      </c>
      <c r="AD314" s="49">
        <v>-76.900062000000005</v>
      </c>
      <c r="AE314" s="19" t="str">
        <f>IFERROR(VLOOKUP(C314,tdcargo[],2,FALSE),"DESCONOCIDO")</f>
        <v>OPERARIO</v>
      </c>
    </row>
    <row r="315" spans="1:31" x14ac:dyDescent="0.35">
      <c r="A315" s="8">
        <v>75171097</v>
      </c>
      <c r="B315" s="4" t="s">
        <v>3057</v>
      </c>
      <c r="C315" s="4" t="s">
        <v>1971</v>
      </c>
      <c r="D315" s="5">
        <v>46023</v>
      </c>
      <c r="E315" s="4" t="s">
        <v>31</v>
      </c>
      <c r="F315" s="4" t="s">
        <v>82</v>
      </c>
      <c r="G315" s="4" t="s">
        <v>3058</v>
      </c>
      <c r="H315" s="4" t="s">
        <v>1956</v>
      </c>
      <c r="I315" s="4" t="s">
        <v>1968</v>
      </c>
      <c r="J315" s="4" t="s">
        <v>1968</v>
      </c>
      <c r="K315" s="4" t="s">
        <v>2161</v>
      </c>
      <c r="L315" s="4" t="s">
        <v>3059</v>
      </c>
      <c r="M315" s="4" t="s">
        <v>36</v>
      </c>
      <c r="N315" s="4" t="s">
        <v>3058</v>
      </c>
      <c r="O315" s="4" t="s">
        <v>37</v>
      </c>
      <c r="P315" s="4" t="s">
        <v>37</v>
      </c>
      <c r="Q315" s="10" t="s">
        <v>57</v>
      </c>
      <c r="R315" s="4" t="str">
        <f t="shared" si="23"/>
        <v>Calle Las Violetas, Lote 14, Mz. U Las Violetas, Ate, Lima, Lima, Perú</v>
      </c>
      <c r="S315" s="4">
        <v>-12.047117800000001</v>
      </c>
      <c r="T315" s="4">
        <v>-76.958985100000007</v>
      </c>
      <c r="U315" s="30">
        <f t="shared" si="20"/>
        <v>8.4499999999999993</v>
      </c>
      <c r="V315" s="4" t="str">
        <f t="shared" si="21"/>
        <v>🟡 Cerca (5-10 km)</v>
      </c>
      <c r="W315" s="19" t="str" cm="1">
        <f t="array" ref="W315">_xlfn.LET(_xlpm.lat_emp,S315,_xlpm.lon_emp,T315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Pte. Prialé (solo aplica para la salida)</v>
      </c>
      <c r="X315" s="19" t="str">
        <f>_xlfn.LET(_xlpm.paradero,W315,INDEX(PARADEROS_VALIDOS!$A$2:$A$67,MATCH(_xlpm.paradero,PARADEROS_VALIDOS!$C$2:$C$67,0)))</f>
        <v>RUTA 7</v>
      </c>
      <c r="Y315" s="29" cm="1">
        <f t="array" ref="Y315">_xlfn.LET(_xlpm.lat_emp,S315,_xlpm.lon_emp,T315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0.72</v>
      </c>
      <c r="Z315" s="4" t="str">
        <f t="shared" si="22"/>
        <v>🟢 Muy Cerca (0-1 km)</v>
      </c>
      <c r="AA315" s="4"/>
      <c r="AB315" s="4"/>
      <c r="AC315" s="49">
        <v>-11.997563</v>
      </c>
      <c r="AD315" s="49">
        <v>-76.900062000000005</v>
      </c>
      <c r="AE315" s="19" t="str">
        <f>IFERROR(VLOOKUP(C315,tdcargo[],2,FALSE),"DESCONOCIDO")</f>
        <v>OPERARIO</v>
      </c>
    </row>
    <row r="316" spans="1:31" x14ac:dyDescent="0.35">
      <c r="A316" s="8">
        <v>70737256</v>
      </c>
      <c r="B316" s="4" t="s">
        <v>3060</v>
      </c>
      <c r="C316" s="4" t="s">
        <v>1971</v>
      </c>
      <c r="D316" s="5">
        <v>46062</v>
      </c>
      <c r="E316" s="4" t="s">
        <v>31</v>
      </c>
      <c r="F316" s="4" t="s">
        <v>82</v>
      </c>
      <c r="G316" s="4" t="s">
        <v>3061</v>
      </c>
      <c r="H316" s="4" t="s">
        <v>2757</v>
      </c>
      <c r="I316" s="4" t="s">
        <v>1968</v>
      </c>
      <c r="J316" s="4" t="s">
        <v>1968</v>
      </c>
      <c r="K316" s="4" t="s">
        <v>1981</v>
      </c>
      <c r="L316" s="4" t="s">
        <v>3062</v>
      </c>
      <c r="M316" s="4" t="s">
        <v>36</v>
      </c>
      <c r="N316" s="4" t="s">
        <v>3063</v>
      </c>
      <c r="O316" s="4" t="s">
        <v>37</v>
      </c>
      <c r="P316" s="4" t="s">
        <v>37</v>
      </c>
      <c r="Q316" s="10" t="s">
        <v>57</v>
      </c>
      <c r="R316" s="4" t="str">
        <f t="shared" si="23"/>
        <v>Calle Urcos 129, Lote 6, Mz. J1 LAS CASAS, Ate, Lima, Lima, Perú</v>
      </c>
      <c r="S316" s="4">
        <v>-12.0544285</v>
      </c>
      <c r="T316" s="4">
        <v>-76.957438999999994</v>
      </c>
      <c r="U316" s="30">
        <f t="shared" si="20"/>
        <v>8.8800000000000008</v>
      </c>
      <c r="V316" s="4" t="str">
        <f t="shared" si="21"/>
        <v>🟡 Cerca (5-10 km)</v>
      </c>
      <c r="W316" s="19" t="str" cm="1">
        <f t="array" ref="W316">_xlfn.LET(_xlpm.lat_emp,S316,_xlpm.lon_emp,T316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Pte. Prialé (solo aplica para la salida)</v>
      </c>
      <c r="X316" s="19" t="str">
        <f>_xlfn.LET(_xlpm.paradero,W316,INDEX(PARADEROS_VALIDOS!$A$2:$A$67,MATCH(_xlpm.paradero,PARADEROS_VALIDOS!$C$2:$C$67,0)))</f>
        <v>RUTA 7</v>
      </c>
      <c r="Y316" s="29" cm="1">
        <f t="array" ref="Y316">_xlfn.LET(_xlpm.lat_emp,S316,_xlpm.lon_emp,T316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0.11</v>
      </c>
      <c r="Z316" s="4" t="str">
        <f t="shared" si="22"/>
        <v>🟢 Muy Cerca (0-1 km)</v>
      </c>
      <c r="AA316" s="4"/>
      <c r="AB316" s="4"/>
      <c r="AC316" s="49">
        <v>-11.997563</v>
      </c>
      <c r="AD316" s="49">
        <v>-76.900062000000005</v>
      </c>
      <c r="AE316" s="19" t="str">
        <f>IFERROR(VLOOKUP(C316,tdcargo[],2,FALSE),"DESCONOCIDO")</f>
        <v>OPERARIO</v>
      </c>
    </row>
    <row r="317" spans="1:31" hidden="1" x14ac:dyDescent="0.35">
      <c r="A317" s="8">
        <v>60863454</v>
      </c>
      <c r="B317" s="4" t="s">
        <v>3064</v>
      </c>
      <c r="C317" s="4" t="s">
        <v>1971</v>
      </c>
      <c r="D317" s="5">
        <v>46045</v>
      </c>
      <c r="E317" s="4" t="s">
        <v>31</v>
      </c>
      <c r="F317" s="4" t="s">
        <v>34</v>
      </c>
      <c r="G317" s="4" t="s">
        <v>1094</v>
      </c>
      <c r="H317" s="4" t="s">
        <v>2278</v>
      </c>
      <c r="I317" s="4" t="s">
        <v>1968</v>
      </c>
      <c r="J317" s="4" t="s">
        <v>1968</v>
      </c>
      <c r="K317" s="4" t="s">
        <v>1968</v>
      </c>
      <c r="L317" s="4" t="s">
        <v>1968</v>
      </c>
      <c r="M317" s="4" t="s">
        <v>36</v>
      </c>
      <c r="N317" s="4" t="s">
        <v>3065</v>
      </c>
      <c r="O317" s="4" t="s">
        <v>37</v>
      </c>
      <c r="P317" s="4" t="s">
        <v>37</v>
      </c>
      <c r="Q317" s="10" t="s">
        <v>76</v>
      </c>
      <c r="R317" s="4" t="str">
        <f t="shared" si="23"/>
        <v>Avenida Independencia 480 MOYOPAMPA, Lurigancho, Lima, Lima, Perú</v>
      </c>
      <c r="S317" s="4">
        <v>-11.926401500000001</v>
      </c>
      <c r="T317" s="4">
        <v>-76.686539499999995</v>
      </c>
      <c r="U317" s="30">
        <f t="shared" si="20"/>
        <v>24.54</v>
      </c>
      <c r="V317" s="4" t="str">
        <f t="shared" si="21"/>
        <v>🔴 Lejos (&gt;20 km)</v>
      </c>
      <c r="W317" s="19" t="str" cm="1">
        <f t="array" ref="W317">_xlfn.LET(_xlpm.lat_emp,S317,_xlpm.lon_emp,T317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317" s="19" t="str">
        <f>_xlfn.LET(_xlpm.paradero,W317,INDEX(PARADEROS_VALIDOS!$A$2:$A$67,MATCH(_xlpm.paradero,PARADEROS_VALIDOS!$C$2:$C$67,0)))</f>
        <v>RUTA 5A</v>
      </c>
      <c r="Y317" s="29" cm="1">
        <f t="array" ref="Y317">_xlfn.LET(_xlpm.lat_emp,S317,_xlpm.lon_emp,T317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10.88</v>
      </c>
      <c r="Z317" s="4" t="str">
        <f t="shared" si="22"/>
        <v>🔴 Lejos (&gt;5 km)</v>
      </c>
      <c r="AA317" s="4"/>
      <c r="AB317" s="4"/>
      <c r="AC317" s="49">
        <v>-11.997563</v>
      </c>
      <c r="AD317" s="49">
        <v>-76.900062000000005</v>
      </c>
      <c r="AE317" s="19" t="str">
        <f>IFERROR(VLOOKUP(C317,tdcargo[],2,FALSE),"DESCONOCIDO")</f>
        <v>OPERARIO</v>
      </c>
    </row>
    <row r="318" spans="1:31" hidden="1" x14ac:dyDescent="0.35">
      <c r="A318" s="8">
        <v>74934081</v>
      </c>
      <c r="B318" s="4" t="s">
        <v>3070</v>
      </c>
      <c r="C318" s="4" t="s">
        <v>2006</v>
      </c>
      <c r="D318" s="5">
        <v>45845</v>
      </c>
      <c r="E318" s="4" t="s">
        <v>31</v>
      </c>
      <c r="F318" s="4" t="s">
        <v>82</v>
      </c>
      <c r="G318" s="4" t="s">
        <v>3071</v>
      </c>
      <c r="H318" s="4" t="s">
        <v>3072</v>
      </c>
      <c r="I318" s="4" t="s">
        <v>1968</v>
      </c>
      <c r="J318" s="4" t="s">
        <v>1968</v>
      </c>
      <c r="K318" s="4" t="s">
        <v>1968</v>
      </c>
      <c r="L318" s="4" t="s">
        <v>3073</v>
      </c>
      <c r="M318" s="4" t="s">
        <v>36</v>
      </c>
      <c r="N318" s="4" t="s">
        <v>3074</v>
      </c>
      <c r="O318" s="4" t="s">
        <v>37</v>
      </c>
      <c r="P318" s="4" t="s">
        <v>37</v>
      </c>
      <c r="Q318" s="10" t="s">
        <v>57</v>
      </c>
      <c r="R318" s="4" t="str">
        <f t="shared" si="23"/>
        <v>Calle Rosacruces 180, Mz. M20 San Gregorio, Ate, Lima, Lima, Perú</v>
      </c>
      <c r="S318" s="4">
        <v>-12.026227199999999</v>
      </c>
      <c r="T318" s="4">
        <v>-76.902575900000002</v>
      </c>
      <c r="U318" s="30">
        <f t="shared" si="20"/>
        <v>3.2</v>
      </c>
      <c r="V318" s="4" t="str">
        <f t="shared" si="21"/>
        <v>🟢 Muy Cerca (0-5 km)</v>
      </c>
      <c r="W318" s="19" t="str" cm="1">
        <f t="array" ref="W318">_xlfn.LET(_xlpm.lat_emp,S318,_xlpm.lon_emp,T318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Esperanza</v>
      </c>
      <c r="X318" s="19" t="str">
        <f>_xlfn.LET(_xlpm.paradero,W318,INDEX(PARADEROS_VALIDOS!$A$2:$A$67,MATCH(_xlpm.paradero,PARADEROS_VALIDOS!$C$2:$C$67,0)))</f>
        <v>RUTA 4B</v>
      </c>
      <c r="Y318" s="29" cm="1">
        <f t="array" ref="Y318">_xlfn.LET(_xlpm.lat_emp,S318,_xlpm.lon_emp,T318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0.68</v>
      </c>
      <c r="Z318" s="4" t="str">
        <f t="shared" si="22"/>
        <v>🟢 Muy Cerca (0-1 km)</v>
      </c>
      <c r="AA318" s="4"/>
      <c r="AB318" s="4"/>
      <c r="AC318" s="49">
        <v>-11.997563</v>
      </c>
      <c r="AD318" s="49">
        <v>-76.900062000000005</v>
      </c>
      <c r="AE318" s="19" t="str">
        <f>IFERROR(VLOOKUP(C318,tdcargo[],2,FALSE),"DESCONOCIDO")</f>
        <v>OPERARIO</v>
      </c>
    </row>
    <row r="319" spans="1:31" hidden="1" x14ac:dyDescent="0.35">
      <c r="A319" s="8">
        <v>73673637</v>
      </c>
      <c r="B319" s="4" t="s">
        <v>3075</v>
      </c>
      <c r="C319" s="4" t="s">
        <v>1971</v>
      </c>
      <c r="D319" s="5">
        <v>46072</v>
      </c>
      <c r="E319" s="4" t="s">
        <v>31</v>
      </c>
      <c r="F319" s="4" t="s">
        <v>36</v>
      </c>
      <c r="G319" s="4" t="s">
        <v>2763</v>
      </c>
      <c r="H319" s="4" t="s">
        <v>1956</v>
      </c>
      <c r="I319" s="4" t="s">
        <v>1968</v>
      </c>
      <c r="J319" s="4" t="s">
        <v>1968</v>
      </c>
      <c r="K319" s="4" t="s">
        <v>2052</v>
      </c>
      <c r="L319" s="4" t="s">
        <v>3076</v>
      </c>
      <c r="M319" s="4" t="s">
        <v>36</v>
      </c>
      <c r="N319" s="4" t="s">
        <v>2593</v>
      </c>
      <c r="O319" s="4" t="s">
        <v>37</v>
      </c>
      <c r="P319" s="4" t="s">
        <v>37</v>
      </c>
      <c r="Q319" s="10" t="s">
        <v>76</v>
      </c>
      <c r="R319" s="4" t="str">
        <f t="shared" si="23"/>
        <v>No, Lote 12, Mz. Q4 LA CAMPIÑA, Lurigancho, Lima, Lima, Perú</v>
      </c>
      <c r="S319" s="4">
        <v>-12.009696699999999</v>
      </c>
      <c r="T319" s="4">
        <v>-76.905361299999996</v>
      </c>
      <c r="U319" s="30">
        <f t="shared" si="20"/>
        <v>1.47</v>
      </c>
      <c r="V319" s="4" t="str">
        <f t="shared" si="21"/>
        <v>🟢 Muy Cerca (0-5 km)</v>
      </c>
      <c r="W319" s="19" t="str" cm="1">
        <f t="array" ref="W319">_xlfn.LET(_xlpm.lat_emp,S319,_xlpm.lon_emp,T319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Tottus Huachipa</v>
      </c>
      <c r="X319" s="19" t="str">
        <f>_xlfn.LET(_xlpm.paradero,W319,INDEX(PARADEROS_VALIDOS!$A$2:$A$67,MATCH(_xlpm.paradero,PARADEROS_VALIDOS!$C$2:$C$67,0)))</f>
        <v>RUTA 1</v>
      </c>
      <c r="Y319" s="29" cm="1">
        <f t="array" ref="Y319">_xlfn.LET(_xlpm.lat_emp,S319,_xlpm.lon_emp,T319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1.18</v>
      </c>
      <c r="Z319" s="4" t="str">
        <f t="shared" si="22"/>
        <v>🟡 Cerca (1-3 km)</v>
      </c>
      <c r="AA319" s="4"/>
      <c r="AB319" s="4"/>
      <c r="AC319" s="49">
        <v>-11.997563</v>
      </c>
      <c r="AD319" s="49">
        <v>-76.900062000000005</v>
      </c>
      <c r="AE319" s="19" t="str">
        <f>IFERROR(VLOOKUP(C319,tdcargo[],2,FALSE),"DESCONOCIDO")</f>
        <v>OPERARIO</v>
      </c>
    </row>
    <row r="320" spans="1:31" hidden="1" x14ac:dyDescent="0.35">
      <c r="A320" s="8">
        <v>40894329</v>
      </c>
      <c r="B320" s="4" t="s">
        <v>3077</v>
      </c>
      <c r="C320" s="4" t="s">
        <v>1971</v>
      </c>
      <c r="D320" s="5">
        <v>45989</v>
      </c>
      <c r="E320" s="4" t="s">
        <v>31</v>
      </c>
      <c r="F320" s="4" t="s">
        <v>82</v>
      </c>
      <c r="G320" s="4" t="s">
        <v>991</v>
      </c>
      <c r="H320" s="4" t="s">
        <v>2264</v>
      </c>
      <c r="I320" s="4" t="s">
        <v>1968</v>
      </c>
      <c r="J320" s="4" t="s">
        <v>1968</v>
      </c>
      <c r="K320" s="4" t="s">
        <v>3078</v>
      </c>
      <c r="L320" s="4" t="s">
        <v>1184</v>
      </c>
      <c r="M320" s="4" t="s">
        <v>36</v>
      </c>
      <c r="N320" s="4" t="s">
        <v>2991</v>
      </c>
      <c r="O320" s="4" t="s">
        <v>37</v>
      </c>
      <c r="P320" s="4" t="s">
        <v>37</v>
      </c>
      <c r="Q320" s="10" t="s">
        <v>76</v>
      </c>
      <c r="R320" s="4" t="str">
        <f t="shared" si="23"/>
        <v>Calle Las Flores 8, Lote 30, Mz. O JICAMARCA, Lurigancho, Lima, Lima, Perú</v>
      </c>
      <c r="S320" s="4">
        <v>-11.9775904</v>
      </c>
      <c r="T320" s="4">
        <v>-76.9416607</v>
      </c>
      <c r="U320" s="30">
        <f t="shared" si="20"/>
        <v>5.04</v>
      </c>
      <c r="V320" s="4" t="str">
        <f t="shared" si="21"/>
        <v>🟡 Cerca (5-10 km)</v>
      </c>
      <c r="W320" s="19" t="str" cm="1">
        <f t="array" ref="W320">_xlfn.LET(_xlpm.lat_emp,S320,_xlpm.lon_emp,T320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320" s="19" t="str">
        <f>_xlfn.LET(_xlpm.paradero,W320,INDEX(PARADEROS_VALIDOS!$A$2:$A$67,MATCH(_xlpm.paradero,PARADEROS_VALIDOS!$C$2:$C$67,0)))</f>
        <v>RUTA 2</v>
      </c>
      <c r="Y320" s="29" cm="1">
        <f t="array" ref="Y320">_xlfn.LET(_xlpm.lat_emp,S320,_xlpm.lon_emp,T320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4.55</v>
      </c>
      <c r="Z320" s="4" t="str">
        <f t="shared" si="22"/>
        <v>🟠 Moderada (3-5 km)</v>
      </c>
      <c r="AA320" s="4"/>
      <c r="AB320" s="4"/>
      <c r="AC320" s="49">
        <v>-11.997563</v>
      </c>
      <c r="AD320" s="49">
        <v>-76.900062000000005</v>
      </c>
      <c r="AE320" s="19" t="str">
        <f>IFERROR(VLOOKUP(C320,tdcargo[],2,FALSE),"DESCONOCIDO")</f>
        <v>OPERARIO</v>
      </c>
    </row>
    <row r="321" spans="1:31" hidden="1" x14ac:dyDescent="0.35">
      <c r="A321" s="8">
        <v>61273100</v>
      </c>
      <c r="B321" s="4" t="s">
        <v>3079</v>
      </c>
      <c r="C321" s="4" t="s">
        <v>1971</v>
      </c>
      <c r="D321" s="5">
        <v>46045</v>
      </c>
      <c r="E321" s="4" t="s">
        <v>31</v>
      </c>
      <c r="F321" s="4" t="s">
        <v>82</v>
      </c>
      <c r="G321" s="4" t="s">
        <v>3080</v>
      </c>
      <c r="H321" s="4" t="s">
        <v>2168</v>
      </c>
      <c r="I321" s="4" t="s">
        <v>1968</v>
      </c>
      <c r="J321" s="4" t="s">
        <v>1995</v>
      </c>
      <c r="K321" s="4" t="s">
        <v>2168</v>
      </c>
      <c r="L321" s="4" t="s">
        <v>1968</v>
      </c>
      <c r="M321" s="4" t="s">
        <v>36</v>
      </c>
      <c r="N321" s="4" t="s">
        <v>1038</v>
      </c>
      <c r="O321" s="4" t="s">
        <v>37</v>
      </c>
      <c r="P321" s="4" t="s">
        <v>37</v>
      </c>
      <c r="Q321" s="10" t="s">
        <v>37</v>
      </c>
      <c r="R321" s="4" t="str">
        <f t="shared" si="23"/>
        <v>Calle Julio Cesar Tello 13, Int. 1, Lote 13 CHOSICA, Lima, Lima, Lima, Perú</v>
      </c>
      <c r="S321" s="4">
        <v>-12.0243509</v>
      </c>
      <c r="T321" s="4">
        <v>-77.0070324</v>
      </c>
      <c r="U321" s="30">
        <f t="shared" si="20"/>
        <v>12.01</v>
      </c>
      <c r="V321" s="4" t="str">
        <f t="shared" si="21"/>
        <v>🟠 Moderada (10-20 km)</v>
      </c>
      <c r="W321" s="19" t="str" cm="1">
        <f t="array" ref="W321">_xlfn.LET(_xlpm.lat_emp,S321,_xlpm.lon_emp,T321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Celima</v>
      </c>
      <c r="X321" s="19" t="str">
        <f>_xlfn.LET(_xlpm.paradero,W321,INDEX(PARADEROS_VALIDOS!$A$2:$A$67,MATCH(_xlpm.paradero,PARADEROS_VALIDOS!$C$2:$C$67,0)))</f>
        <v>RUTA 6C</v>
      </c>
      <c r="Y321" s="29" cm="1">
        <f t="array" ref="Y321">_xlfn.LET(_xlpm.lat_emp,S321,_xlpm.lon_emp,T321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1.36</v>
      </c>
      <c r="Z321" s="4" t="str">
        <f t="shared" si="22"/>
        <v>🟡 Cerca (1-3 km)</v>
      </c>
      <c r="AA321" s="4"/>
      <c r="AB321" s="4"/>
      <c r="AC321" s="49">
        <v>-11.997563</v>
      </c>
      <c r="AD321" s="49">
        <v>-76.900062000000005</v>
      </c>
      <c r="AE321" s="19" t="str">
        <f>IFERROR(VLOOKUP(C321,tdcargo[],2,FALSE),"DESCONOCIDO")</f>
        <v>OPERARIO</v>
      </c>
    </row>
    <row r="322" spans="1:31" hidden="1" x14ac:dyDescent="0.35">
      <c r="A322" s="8">
        <v>74212224</v>
      </c>
      <c r="B322" s="4" t="s">
        <v>3081</v>
      </c>
      <c r="C322" s="4" t="s">
        <v>1971</v>
      </c>
      <c r="D322" s="5">
        <v>46037</v>
      </c>
      <c r="E322" s="4" t="s">
        <v>31</v>
      </c>
      <c r="F322" s="4" t="s">
        <v>82</v>
      </c>
      <c r="G322" s="4" t="s">
        <v>3082</v>
      </c>
      <c r="H322" s="4" t="s">
        <v>1956</v>
      </c>
      <c r="I322" s="4" t="s">
        <v>1968</v>
      </c>
      <c r="J322" s="4" t="s">
        <v>1968</v>
      </c>
      <c r="K322" s="4" t="s">
        <v>2322</v>
      </c>
      <c r="L322" s="4" t="s">
        <v>1968</v>
      </c>
      <c r="M322" s="4" t="s">
        <v>88</v>
      </c>
      <c r="N322" s="4" t="s">
        <v>1988</v>
      </c>
      <c r="O322" s="4" t="s">
        <v>37</v>
      </c>
      <c r="P322" s="4" t="s">
        <v>37</v>
      </c>
      <c r="Q322" s="10" t="s">
        <v>76</v>
      </c>
      <c r="R322" s="4" t="str">
        <f t="shared" si="23"/>
        <v>Calle Victor Fajardo, Lote M, A.H. Asentamiento Humano VILLA LETICIA, Lurigancho, Lima, Lima, Perú</v>
      </c>
      <c r="S322" s="4">
        <v>-11.9928296</v>
      </c>
      <c r="T322" s="4">
        <v>-76.902914600000003</v>
      </c>
      <c r="U322" s="30">
        <f t="shared" ref="U322:U385" si="24">IF(OR(S322="",T322=""),"Sin coordenadas",ROUND(6371*ACOS(COS(RADIANS(90-S322))*COS(RADIANS(90-(-11.997563)))+SIN(RADIANS(90-S322))*SIN(RADIANS(90-(-11.997563)))*COS(RADIANS(T322-(-76.900062)))),2))</f>
        <v>0.61</v>
      </c>
      <c r="V322" s="4" t="str">
        <f t="shared" ref="V322:V385" si="25">IF(U322="Sin coordenadas","N/A",IF(U322&lt;=5,"🟢 Muy Cerca (0-5 km)",IF(U322&lt;=10,"🟡 Cerca (5-10 km)",IF(U322&lt;=20,"🟠 Moderada (10-20 km)","🔴 Lejos (&gt;20 km)"))))</f>
        <v>🟢 Muy Cerca (0-5 km)</v>
      </c>
      <c r="W322" s="19" t="str" cm="1">
        <f t="array" ref="W322">_xlfn.LET(_xlpm.lat_emp,S322,_xlpm.lon_emp,T322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322" s="19" t="str">
        <f>_xlfn.LET(_xlpm.paradero,W322,INDEX(PARADEROS_VALIDOS!$A$2:$A$67,MATCH(_xlpm.paradero,PARADEROS_VALIDOS!$C$2:$C$67,0)))</f>
        <v>RUTA 2</v>
      </c>
      <c r="Y322" s="29" cm="1">
        <f t="array" ref="Y322">_xlfn.LET(_xlpm.lat_emp,S322,_xlpm.lon_emp,T322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0.08</v>
      </c>
      <c r="Z322" s="4" t="str">
        <f t="shared" ref="Z322:Z385" si="26">IF(Y322&lt;=1,"🟢 Muy Cerca (0-1 km)",IF(Y322&lt;=3,"🟡 Cerca (1-3 km)",IF(Y322&lt;=5,"🟠 Moderada (3-5 km)","🔴 Lejos (&gt;5 km)")))</f>
        <v>🟢 Muy Cerca (0-1 km)</v>
      </c>
      <c r="AA322" s="4"/>
      <c r="AB322" s="4"/>
      <c r="AC322" s="49">
        <v>-11.997563</v>
      </c>
      <c r="AD322" s="49">
        <v>-76.900062000000005</v>
      </c>
      <c r="AE322" s="19" t="str">
        <f>IFERROR(VLOOKUP(C322,tdcargo[],2,FALSE),"DESCONOCIDO")</f>
        <v>OPERARIO</v>
      </c>
    </row>
    <row r="323" spans="1:31" hidden="1" x14ac:dyDescent="0.35">
      <c r="A323" s="8">
        <v>80379276</v>
      </c>
      <c r="B323" s="4" t="s">
        <v>3083</v>
      </c>
      <c r="C323" s="4" t="s">
        <v>1971</v>
      </c>
      <c r="D323" s="5">
        <v>45082</v>
      </c>
      <c r="E323" s="4" t="s">
        <v>31</v>
      </c>
      <c r="F323" s="4" t="s">
        <v>82</v>
      </c>
      <c r="G323" s="4" t="s">
        <v>3084</v>
      </c>
      <c r="H323" s="4" t="s">
        <v>1956</v>
      </c>
      <c r="I323" s="4" t="s">
        <v>1968</v>
      </c>
      <c r="J323" s="4" t="s">
        <v>1968</v>
      </c>
      <c r="K323" s="4" t="s">
        <v>1968</v>
      </c>
      <c r="L323" s="4" t="s">
        <v>1968</v>
      </c>
      <c r="M323" s="4" t="s">
        <v>66</v>
      </c>
      <c r="N323" s="4" t="s">
        <v>705</v>
      </c>
      <c r="O323" s="4" t="s">
        <v>37</v>
      </c>
      <c r="P323" s="4" t="s">
        <v>37</v>
      </c>
      <c r="Q323" s="10" t="s">
        <v>57</v>
      </c>
      <c r="R323" s="4" t="str">
        <f t="shared" si="23"/>
        <v>Calle Ucv 1, U.V. Unidad Vecinal Huaycan, Ate, Lima, Lima, Perú</v>
      </c>
      <c r="S323" s="4">
        <v>-12.010783999999999</v>
      </c>
      <c r="T323" s="4">
        <v>-76.828421300000002</v>
      </c>
      <c r="U323" s="30">
        <f t="shared" si="24"/>
        <v>7.93</v>
      </c>
      <c r="V323" s="4" t="str">
        <f t="shared" si="25"/>
        <v>🟡 Cerca (5-10 km)</v>
      </c>
      <c r="W323" s="19" t="str" cm="1">
        <f t="array" ref="W323">_xlfn.LET(_xlpm.lat_emp,S323,_xlpm.lon_emp,T323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Horacio</v>
      </c>
      <c r="X323" s="19" t="str">
        <f>_xlfn.LET(_xlpm.paradero,W323,INDEX(PARADEROS_VALIDOS!$A$2:$A$67,MATCH(_xlpm.paradero,PARADEROS_VALIDOS!$C$2:$C$67,0)))</f>
        <v>RUTA 5B</v>
      </c>
      <c r="Y323" s="29" cm="1">
        <f t="array" ref="Y323">_xlfn.LET(_xlpm.lat_emp,S323,_xlpm.lon_emp,T323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1.5</v>
      </c>
      <c r="Z323" s="4" t="str">
        <f t="shared" si="26"/>
        <v>🟡 Cerca (1-3 km)</v>
      </c>
      <c r="AA323" s="4"/>
      <c r="AB323" s="4"/>
      <c r="AC323" s="49">
        <v>-11.997563</v>
      </c>
      <c r="AD323" s="49">
        <v>-76.900062000000005</v>
      </c>
      <c r="AE323" s="19" t="str">
        <f>IFERROR(VLOOKUP(C323,tdcargo[],2,FALSE),"DESCONOCIDO")</f>
        <v>OPERARIO</v>
      </c>
    </row>
    <row r="324" spans="1:31" hidden="1" x14ac:dyDescent="0.35">
      <c r="A324" s="8">
        <v>73586700</v>
      </c>
      <c r="B324" s="4" t="s">
        <v>3087</v>
      </c>
      <c r="C324" s="4" t="s">
        <v>1971</v>
      </c>
      <c r="D324" s="5">
        <v>46069</v>
      </c>
      <c r="E324" s="4" t="s">
        <v>31</v>
      </c>
      <c r="F324" s="4" t="s">
        <v>82</v>
      </c>
      <c r="G324" s="4" t="s">
        <v>3088</v>
      </c>
      <c r="H324" s="4" t="s">
        <v>1956</v>
      </c>
      <c r="I324" s="4" t="s">
        <v>1968</v>
      </c>
      <c r="J324" s="4" t="s">
        <v>1968</v>
      </c>
      <c r="K324" s="4" t="s">
        <v>2058</v>
      </c>
      <c r="L324" s="4" t="s">
        <v>2845</v>
      </c>
      <c r="M324" s="4" t="s">
        <v>36</v>
      </c>
      <c r="N324" s="4" t="s">
        <v>3089</v>
      </c>
      <c r="O324" s="4" t="s">
        <v>37</v>
      </c>
      <c r="P324" s="4" t="s">
        <v>37</v>
      </c>
      <c r="Q324" s="10" t="s">
        <v>76</v>
      </c>
      <c r="R324" s="4" t="str">
        <f t="shared" si="23"/>
        <v>Calle Asoc. Huerta Granja, Lote 7, Mz. M1 EL AYLLU DE CAJAMARQ, Lurigancho, Lima, Lima, Perú</v>
      </c>
      <c r="S324" s="4">
        <v>-12.0033818</v>
      </c>
      <c r="T324" s="4">
        <v>-76.918000300000003</v>
      </c>
      <c r="U324" s="30">
        <f t="shared" si="24"/>
        <v>2.06</v>
      </c>
      <c r="V324" s="4" t="str">
        <f t="shared" si="25"/>
        <v>🟢 Muy Cerca (0-5 km)</v>
      </c>
      <c r="W324" s="19" t="str" cm="1">
        <f t="array" ref="W324">_xlfn.LET(_xlpm.lat_emp,S324,_xlpm.lon_emp,T324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Estadio Huachipa</v>
      </c>
      <c r="X324" s="19" t="str">
        <f>_xlfn.LET(_xlpm.paradero,W324,INDEX(PARADEROS_VALIDOS!$A$2:$A$67,MATCH(_xlpm.paradero,PARADEROS_VALIDOS!$C$2:$C$67,0)))</f>
        <v>RUTA 5C</v>
      </c>
      <c r="Y324" s="29" cm="1">
        <f t="array" ref="Y324">_xlfn.LET(_xlpm.lat_emp,S324,_xlpm.lon_emp,T324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1.2</v>
      </c>
      <c r="Z324" s="4" t="str">
        <f t="shared" si="26"/>
        <v>🟡 Cerca (1-3 km)</v>
      </c>
      <c r="AA324" s="4"/>
      <c r="AB324" s="4"/>
      <c r="AC324" s="49">
        <v>-11.997563</v>
      </c>
      <c r="AD324" s="49">
        <v>-76.900062000000005</v>
      </c>
      <c r="AE324" s="19" t="str">
        <f>IFERROR(VLOOKUP(C324,tdcargo[],2,FALSE),"DESCONOCIDO")</f>
        <v>OPERARIO</v>
      </c>
    </row>
    <row r="325" spans="1:31" hidden="1" x14ac:dyDescent="0.35">
      <c r="A325" s="8">
        <v>74938784</v>
      </c>
      <c r="B325" s="4" t="s">
        <v>3090</v>
      </c>
      <c r="C325" s="4" t="s">
        <v>1971</v>
      </c>
      <c r="D325" s="5">
        <v>46069</v>
      </c>
      <c r="E325" s="4" t="s">
        <v>31</v>
      </c>
      <c r="F325" s="4" t="s">
        <v>34</v>
      </c>
      <c r="G325" s="4" t="s">
        <v>631</v>
      </c>
      <c r="H325" s="4" t="s">
        <v>1995</v>
      </c>
      <c r="I325" s="4" t="s">
        <v>1968</v>
      </c>
      <c r="J325" s="4" t="s">
        <v>1995</v>
      </c>
      <c r="K325" s="4" t="s">
        <v>1968</v>
      </c>
      <c r="L325" s="4" t="s">
        <v>1974</v>
      </c>
      <c r="M325" s="4" t="s">
        <v>36</v>
      </c>
      <c r="N325" s="4" t="s">
        <v>3091</v>
      </c>
      <c r="O325" s="4" t="s">
        <v>37</v>
      </c>
      <c r="P325" s="4" t="s">
        <v>37</v>
      </c>
      <c r="Q325" s="10" t="s">
        <v>76</v>
      </c>
      <c r="R325" s="4" t="str">
        <f t="shared" si="23"/>
        <v>Avenida Las Torres 1, Int. 1, Mz. B HUACHIPA LAS MORAS, Lurigancho, Lima, Lima, Perú</v>
      </c>
      <c r="S325" s="4">
        <v>-12.0066883</v>
      </c>
      <c r="T325" s="4">
        <v>-76.911398000000005</v>
      </c>
      <c r="U325" s="30">
        <f t="shared" si="24"/>
        <v>1.6</v>
      </c>
      <c r="V325" s="4" t="str">
        <f t="shared" si="25"/>
        <v>🟢 Muy Cerca (0-5 km)</v>
      </c>
      <c r="W325" s="19" t="str" cm="1">
        <f t="array" ref="W325">_xlfn.LET(_xlpm.lat_emp,S325,_xlpm.lon_emp,T325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Estadio Huachipa</v>
      </c>
      <c r="X325" s="19" t="str">
        <f>_xlfn.LET(_xlpm.paradero,W325,INDEX(PARADEROS_VALIDOS!$A$2:$A$67,MATCH(_xlpm.paradero,PARADEROS_VALIDOS!$C$2:$C$67,0)))</f>
        <v>RUTA 5C</v>
      </c>
      <c r="Y325" s="29" cm="1">
        <f t="array" ref="Y325">_xlfn.LET(_xlpm.lat_emp,S325,_xlpm.lon_emp,T325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0.98</v>
      </c>
      <c r="Z325" s="4" t="str">
        <f t="shared" si="26"/>
        <v>🟢 Muy Cerca (0-1 km)</v>
      </c>
      <c r="AA325" s="4"/>
      <c r="AB325" s="4"/>
      <c r="AC325" s="49">
        <v>-11.997563</v>
      </c>
      <c r="AD325" s="49">
        <v>-76.900062000000005</v>
      </c>
      <c r="AE325" s="19" t="str">
        <f>IFERROR(VLOOKUP(C325,tdcargo[],2,FALSE),"DESCONOCIDO")</f>
        <v>OPERARIO</v>
      </c>
    </row>
    <row r="326" spans="1:31" hidden="1" x14ac:dyDescent="0.35">
      <c r="A326" s="8">
        <v>74693844</v>
      </c>
      <c r="B326" s="4" t="s">
        <v>3092</v>
      </c>
      <c r="C326" s="4" t="s">
        <v>1971</v>
      </c>
      <c r="D326" s="5">
        <v>46069</v>
      </c>
      <c r="E326" s="4" t="s">
        <v>31</v>
      </c>
      <c r="F326" s="4" t="s">
        <v>82</v>
      </c>
      <c r="G326" s="4" t="s">
        <v>3093</v>
      </c>
      <c r="H326" s="4" t="s">
        <v>3094</v>
      </c>
      <c r="I326" s="4" t="s">
        <v>1968</v>
      </c>
      <c r="J326" s="4" t="s">
        <v>1968</v>
      </c>
      <c r="K326" s="4" t="s">
        <v>2161</v>
      </c>
      <c r="L326" s="4" t="s">
        <v>1968</v>
      </c>
      <c r="M326" s="4" t="s">
        <v>36</v>
      </c>
      <c r="N326" s="4" t="s">
        <v>3095</v>
      </c>
      <c r="O326" s="4" t="s">
        <v>37</v>
      </c>
      <c r="P326" s="4" t="s">
        <v>195</v>
      </c>
      <c r="Q326" s="10" t="s">
        <v>196</v>
      </c>
      <c r="R326" s="4" t="str">
        <f t="shared" si="23"/>
        <v>Calle Huarochiri/San Anton 1551, Lote 14 BASILIO AUQ ANEXO 8, San Antonio, Huarochiri, Lima, Perú</v>
      </c>
      <c r="S326" s="4">
        <v>-11.7427834</v>
      </c>
      <c r="T326" s="4">
        <v>-76.649859000000006</v>
      </c>
      <c r="U326" s="30">
        <f t="shared" si="24"/>
        <v>39.29</v>
      </c>
      <c r="V326" s="4" t="str">
        <f t="shared" si="25"/>
        <v>🔴 Lejos (&gt;20 km)</v>
      </c>
      <c r="W326" s="19" t="str" cm="1">
        <f t="array" ref="W326">_xlfn.LET(_xlpm.lat_emp,S326,_xlpm.lon_emp,T326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326" s="19" t="str">
        <f>_xlfn.LET(_xlpm.paradero,W326,INDEX(PARADEROS_VALIDOS!$A$2:$A$67,MATCH(_xlpm.paradero,PARADEROS_VALIDOS!$C$2:$C$67,0)))</f>
        <v>RUTA 5A</v>
      </c>
      <c r="Y326" s="29" cm="1">
        <f t="array" ref="Y326">_xlfn.LET(_xlpm.lat_emp,S326,_xlpm.lon_emp,T326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29.21</v>
      </c>
      <c r="Z326" s="4" t="str">
        <f t="shared" si="26"/>
        <v>🔴 Lejos (&gt;5 km)</v>
      </c>
      <c r="AA326" s="4"/>
      <c r="AB326" s="4"/>
      <c r="AC326" s="49">
        <v>-11.997563</v>
      </c>
      <c r="AD326" s="49">
        <v>-76.900062000000005</v>
      </c>
      <c r="AE326" s="19" t="str">
        <f>IFERROR(VLOOKUP(C326,tdcargo[],2,FALSE),"DESCONOCIDO")</f>
        <v>OPERARIO</v>
      </c>
    </row>
    <row r="327" spans="1:31" hidden="1" x14ac:dyDescent="0.35">
      <c r="A327" s="8">
        <v>75169802</v>
      </c>
      <c r="B327" s="4" t="s">
        <v>3096</v>
      </c>
      <c r="C327" s="4" t="s">
        <v>1971</v>
      </c>
      <c r="D327" s="5">
        <v>46069</v>
      </c>
      <c r="E327" s="4" t="s">
        <v>31</v>
      </c>
      <c r="F327" s="4" t="s">
        <v>36</v>
      </c>
      <c r="G327" s="4" t="s">
        <v>1832</v>
      </c>
      <c r="H327" s="4" t="s">
        <v>1956</v>
      </c>
      <c r="I327" s="4" t="s">
        <v>1968</v>
      </c>
      <c r="J327" s="4" t="s">
        <v>1968</v>
      </c>
      <c r="K327" s="4" t="s">
        <v>2339</v>
      </c>
      <c r="L327" s="4" t="s">
        <v>2309</v>
      </c>
      <c r="M327" s="4" t="s">
        <v>36</v>
      </c>
      <c r="N327" s="4" t="s">
        <v>3097</v>
      </c>
      <c r="O327" s="4" t="s">
        <v>37</v>
      </c>
      <c r="P327" s="4" t="s">
        <v>37</v>
      </c>
      <c r="Q327" s="10" t="s">
        <v>76</v>
      </c>
      <c r="R327" s="4" t="str">
        <f t="shared" si="23"/>
        <v>Haras El Huayco, Lote 17, Mz. H PAMPA 3, Lurigancho, Lima, Lima, Perú</v>
      </c>
      <c r="S327" s="4">
        <v>-11.9977234</v>
      </c>
      <c r="T327" s="4">
        <v>-76.912954200000001</v>
      </c>
      <c r="U327" s="30">
        <f t="shared" si="24"/>
        <v>1.4</v>
      </c>
      <c r="V327" s="4" t="str">
        <f t="shared" si="25"/>
        <v>🟢 Muy Cerca (0-5 km)</v>
      </c>
      <c r="W327" s="19" t="str" cm="1">
        <f t="array" ref="W327">_xlfn.LET(_xlpm.lat_emp,S327,_xlpm.lon_emp,T327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327" s="19" t="str">
        <f>_xlfn.LET(_xlpm.paradero,W327,INDEX(PARADEROS_VALIDOS!$A$2:$A$67,MATCH(_xlpm.paradero,PARADEROS_VALIDOS!$C$2:$C$67,0)))</f>
        <v>RUTA 2</v>
      </c>
      <c r="Y327" s="29" cm="1">
        <f t="array" ref="Y327">_xlfn.LET(_xlpm.lat_emp,S327,_xlpm.lon_emp,T327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1.17</v>
      </c>
      <c r="Z327" s="4" t="str">
        <f t="shared" si="26"/>
        <v>🟡 Cerca (1-3 km)</v>
      </c>
      <c r="AA327" s="4"/>
      <c r="AB327" s="4"/>
      <c r="AC327" s="49">
        <v>-11.997563</v>
      </c>
      <c r="AD327" s="49">
        <v>-76.900062000000005</v>
      </c>
      <c r="AE327" s="19" t="str">
        <f>IFERROR(VLOOKUP(C327,tdcargo[],2,FALSE),"DESCONOCIDO")</f>
        <v>OPERARIO</v>
      </c>
    </row>
    <row r="328" spans="1:31" hidden="1" x14ac:dyDescent="0.35">
      <c r="A328" s="8">
        <v>61716245</v>
      </c>
      <c r="B328" s="4" t="s">
        <v>3098</v>
      </c>
      <c r="C328" s="4" t="s">
        <v>1971</v>
      </c>
      <c r="D328" s="5">
        <v>45918</v>
      </c>
      <c r="E328" s="4" t="s">
        <v>31</v>
      </c>
      <c r="F328" s="4" t="s">
        <v>82</v>
      </c>
      <c r="G328" s="4" t="s">
        <v>3099</v>
      </c>
      <c r="H328" s="4" t="s">
        <v>1956</v>
      </c>
      <c r="I328" s="4" t="s">
        <v>1968</v>
      </c>
      <c r="J328" s="4" t="s">
        <v>1968</v>
      </c>
      <c r="K328" s="4" t="s">
        <v>2347</v>
      </c>
      <c r="L328" s="4" t="s">
        <v>1987</v>
      </c>
      <c r="M328" s="4" t="s">
        <v>36</v>
      </c>
      <c r="N328" s="4" t="s">
        <v>2736</v>
      </c>
      <c r="O328" s="4" t="s">
        <v>37</v>
      </c>
      <c r="P328" s="4" t="s">
        <v>37</v>
      </c>
      <c r="Q328" s="10" t="s">
        <v>57</v>
      </c>
      <c r="R328" s="4" t="str">
        <f t="shared" si="23"/>
        <v>Calle Las Rosas, Lote 4, Mz. J Virgen Del Carmen, Ate, Lima, Lima, Perú</v>
      </c>
      <c r="S328" s="4">
        <v>-12.035664300000001</v>
      </c>
      <c r="T328" s="4">
        <v>-76.927711799999997</v>
      </c>
      <c r="U328" s="30">
        <f t="shared" si="24"/>
        <v>5.2</v>
      </c>
      <c r="V328" s="4" t="str">
        <f t="shared" si="25"/>
        <v>🟡 Cerca (5-10 km)</v>
      </c>
      <c r="W328" s="19" t="str" cm="1">
        <f t="array" ref="W328">_xlfn.LET(_xlpm.lat_emp,S328,_xlpm.lon_emp,T328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Real Plaza Puruchuco (Grifo Primax)</v>
      </c>
      <c r="X328" s="19" t="str">
        <f>_xlfn.LET(_xlpm.paradero,W328,INDEX(PARADEROS_VALIDOS!$A$2:$A$67,MATCH(_xlpm.paradero,PARADEROS_VALIDOS!$C$2:$C$67,0)))</f>
        <v>RUTA 4A</v>
      </c>
      <c r="Y328" s="29" cm="1">
        <f t="array" ref="Y328">_xlfn.LET(_xlpm.lat_emp,S328,_xlpm.lon_emp,T328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0.79</v>
      </c>
      <c r="Z328" s="4" t="str">
        <f t="shared" si="26"/>
        <v>🟢 Muy Cerca (0-1 km)</v>
      </c>
      <c r="AA328" s="4"/>
      <c r="AB328" s="4"/>
      <c r="AC328" s="49">
        <v>-11.997563</v>
      </c>
      <c r="AD328" s="49">
        <v>-76.900062000000005</v>
      </c>
      <c r="AE328" s="19" t="str">
        <f>IFERROR(VLOOKUP(C328,tdcargo[],2,FALSE),"DESCONOCIDO")</f>
        <v>OPERARIO</v>
      </c>
    </row>
    <row r="329" spans="1:31" hidden="1" x14ac:dyDescent="0.35">
      <c r="A329" s="8">
        <v>75344415</v>
      </c>
      <c r="B329" s="4" t="s">
        <v>3100</v>
      </c>
      <c r="C329" s="4" t="s">
        <v>1971</v>
      </c>
      <c r="D329" s="5">
        <v>45169</v>
      </c>
      <c r="E329" s="4" t="s">
        <v>31</v>
      </c>
      <c r="F329" s="4" t="s">
        <v>148</v>
      </c>
      <c r="G329" s="4" t="s">
        <v>3101</v>
      </c>
      <c r="H329" s="4" t="s">
        <v>2294</v>
      </c>
      <c r="I329" s="4" t="s">
        <v>1968</v>
      </c>
      <c r="J329" s="4" t="s">
        <v>1968</v>
      </c>
      <c r="K329" s="4" t="s">
        <v>1968</v>
      </c>
      <c r="L329" s="4" t="s">
        <v>1968</v>
      </c>
      <c r="M329" s="4" t="s">
        <v>36</v>
      </c>
      <c r="N329" s="4" t="s">
        <v>46</v>
      </c>
      <c r="O329" s="4" t="s">
        <v>37</v>
      </c>
      <c r="P329" s="4" t="s">
        <v>37</v>
      </c>
      <c r="Q329" s="10" t="s">
        <v>76</v>
      </c>
      <c r="R329" s="4" t="str">
        <f t="shared" si="23"/>
        <v>Pasaje Alcides Carrion 103 Nd, Lurigancho, Lima, Lima, Perú</v>
      </c>
      <c r="S329" s="4">
        <v>-11.915817000000001</v>
      </c>
      <c r="T329" s="4">
        <v>-77.033933899999994</v>
      </c>
      <c r="U329" s="30">
        <f t="shared" si="24"/>
        <v>17.170000000000002</v>
      </c>
      <c r="V329" s="4" t="str">
        <f t="shared" si="25"/>
        <v>🟠 Moderada (10-20 km)</v>
      </c>
      <c r="W329" s="19" t="str" cm="1">
        <f t="array" ref="W329">_xlfn.LET(_xlpm.lat_emp,S329,_xlpm.lon_emp,T329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Av. Metropolitana con Cultura</v>
      </c>
      <c r="X329" s="19" t="str">
        <f>_xlfn.LET(_xlpm.paradero,W329,INDEX(PARADEROS_VALIDOS!$A$2:$A$67,MATCH(_xlpm.paradero,PARADEROS_VALIDOS!$C$2:$C$67,0)))</f>
        <v>RUTA 4A</v>
      </c>
      <c r="Y329" s="29" cm="1">
        <f t="array" ref="Y329">_xlfn.LET(_xlpm.lat_emp,S329,_xlpm.lon_emp,T329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5.3</v>
      </c>
      <c r="Z329" s="4" t="str">
        <f t="shared" si="26"/>
        <v>🔴 Lejos (&gt;5 km)</v>
      </c>
      <c r="AA329" s="4"/>
      <c r="AB329" s="4"/>
      <c r="AC329" s="49">
        <v>-11.997563</v>
      </c>
      <c r="AD329" s="49">
        <v>-76.900062000000005</v>
      </c>
      <c r="AE329" s="19" t="str">
        <f>IFERROR(VLOOKUP(C329,tdcargo[],2,FALSE),"DESCONOCIDO")</f>
        <v>OPERARIO</v>
      </c>
    </row>
    <row r="330" spans="1:31" hidden="1" x14ac:dyDescent="0.35">
      <c r="A330" s="8">
        <v>44189086</v>
      </c>
      <c r="B330" s="4" t="s">
        <v>3102</v>
      </c>
      <c r="C330" s="4" t="s">
        <v>1971</v>
      </c>
      <c r="D330" s="5">
        <v>45908</v>
      </c>
      <c r="E330" s="4" t="s">
        <v>31</v>
      </c>
      <c r="F330" s="4" t="s">
        <v>36</v>
      </c>
      <c r="G330" s="4" t="s">
        <v>3103</v>
      </c>
      <c r="H330" s="4" t="s">
        <v>1956</v>
      </c>
      <c r="I330" s="4" t="s">
        <v>1968</v>
      </c>
      <c r="J330" s="4" t="s">
        <v>1968</v>
      </c>
      <c r="K330" s="4" t="s">
        <v>1968</v>
      </c>
      <c r="L330" s="4" t="s">
        <v>1968</v>
      </c>
      <c r="M330" s="4" t="s">
        <v>36</v>
      </c>
      <c r="N330" s="4" t="s">
        <v>1483</v>
      </c>
      <c r="O330" s="4" t="s">
        <v>37</v>
      </c>
      <c r="P330" s="4" t="s">
        <v>37</v>
      </c>
      <c r="Q330" s="10" t="s">
        <v>76</v>
      </c>
      <c r="R330" s="4" t="str">
        <f t="shared" si="23"/>
        <v>Asociacion Corazon De Jesus Lote 1 Corazon De Jesus, Lurigancho, Lima, Lima, Perú</v>
      </c>
      <c r="S330" s="4">
        <v>-11.937557399999999</v>
      </c>
      <c r="T330" s="4">
        <v>-76.979967599999995</v>
      </c>
      <c r="U330" s="30">
        <f t="shared" si="24"/>
        <v>10.96</v>
      </c>
      <c r="V330" s="4" t="str">
        <f t="shared" si="25"/>
        <v>🟠 Moderada (10-20 km)</v>
      </c>
      <c r="W330" s="19" t="str" cm="1">
        <f t="array" ref="W330">_xlfn.LET(_xlpm.lat_emp,S330,_xlpm.lon_emp,T330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Acho</v>
      </c>
      <c r="X330" s="19" t="str">
        <f>_xlfn.LET(_xlpm.paradero,W330,INDEX(PARADEROS_VALIDOS!$A$2:$A$67,MATCH(_xlpm.paradero,PARADEROS_VALIDOS!$C$2:$C$67,0)))</f>
        <v>RUTA 8</v>
      </c>
      <c r="Y330" s="29" cm="1">
        <f t="array" ref="Y330">_xlfn.LET(_xlpm.lat_emp,S330,_xlpm.lon_emp,T330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4.67</v>
      </c>
      <c r="Z330" s="4" t="str">
        <f t="shared" si="26"/>
        <v>🟠 Moderada (3-5 km)</v>
      </c>
      <c r="AA330" s="4"/>
      <c r="AB330" s="4"/>
      <c r="AC330" s="49">
        <v>-11.997563</v>
      </c>
      <c r="AD330" s="49">
        <v>-76.900062000000005</v>
      </c>
      <c r="AE330" s="19" t="str">
        <f>IFERROR(VLOOKUP(C330,tdcargo[],2,FALSE),"DESCONOCIDO")</f>
        <v>OPERARIO</v>
      </c>
    </row>
    <row r="331" spans="1:31" hidden="1" x14ac:dyDescent="0.35">
      <c r="A331" s="8">
        <v>60941337</v>
      </c>
      <c r="B331" s="4" t="s">
        <v>3104</v>
      </c>
      <c r="C331" s="4" t="s">
        <v>1971</v>
      </c>
      <c r="D331" s="5">
        <v>45931</v>
      </c>
      <c r="E331" s="4" t="s">
        <v>31</v>
      </c>
      <c r="F331" s="4" t="s">
        <v>82</v>
      </c>
      <c r="G331" s="4" t="s">
        <v>3105</v>
      </c>
      <c r="H331" s="4" t="s">
        <v>1956</v>
      </c>
      <c r="I331" s="4" t="s">
        <v>1968</v>
      </c>
      <c r="J331" s="4" t="s">
        <v>1968</v>
      </c>
      <c r="K331" s="4" t="s">
        <v>2339</v>
      </c>
      <c r="L331" s="4" t="s">
        <v>1968</v>
      </c>
      <c r="M331" s="4" t="s">
        <v>36</v>
      </c>
      <c r="N331" s="4" t="s">
        <v>976</v>
      </c>
      <c r="O331" s="4" t="s">
        <v>37</v>
      </c>
      <c r="P331" s="4" t="s">
        <v>37</v>
      </c>
      <c r="Q331" s="10" t="s">
        <v>57</v>
      </c>
      <c r="R331" s="4" t="str">
        <f t="shared" si="23"/>
        <v>Calle Praderas De Pariachi, Lote 17 Las Gardenias, Ate, Lima, Lima, Perú</v>
      </c>
      <c r="S331" s="4">
        <v>-12.0022638</v>
      </c>
      <c r="T331" s="4">
        <v>-76.840711799999994</v>
      </c>
      <c r="U331" s="30">
        <f t="shared" si="24"/>
        <v>6.48</v>
      </c>
      <c r="V331" s="4" t="str">
        <f t="shared" si="25"/>
        <v>🟡 Cerca (5-10 km)</v>
      </c>
      <c r="W331" s="19" t="str" cm="1">
        <f t="array" ref="W331">_xlfn.LET(_xlpm.lat_emp,S331,_xlpm.lon_emp,T331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Huaycán</v>
      </c>
      <c r="X331" s="19" t="str">
        <f>_xlfn.LET(_xlpm.paradero,W331,INDEX(PARADEROS_VALIDOS!$A$2:$A$67,MATCH(_xlpm.paradero,PARADEROS_VALIDOS!$C$2:$C$67,0)))</f>
        <v>RUTA 5B</v>
      </c>
      <c r="Y331" s="29" cm="1">
        <f t="array" ref="Y331">_xlfn.LET(_xlpm.lat_emp,S331,_xlpm.lon_emp,T331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0.32</v>
      </c>
      <c r="Z331" s="4" t="str">
        <f t="shared" si="26"/>
        <v>🟢 Muy Cerca (0-1 km)</v>
      </c>
      <c r="AA331" s="4"/>
      <c r="AB331" s="4"/>
      <c r="AC331" s="49">
        <v>-11.997563</v>
      </c>
      <c r="AD331" s="49">
        <v>-76.900062000000005</v>
      </c>
      <c r="AE331" s="19" t="str">
        <f>IFERROR(VLOOKUP(C331,tdcargo[],2,FALSE),"DESCONOCIDO")</f>
        <v>OPERARIO</v>
      </c>
    </row>
    <row r="332" spans="1:31" hidden="1" x14ac:dyDescent="0.35">
      <c r="A332" s="8">
        <v>61215885</v>
      </c>
      <c r="B332" s="4" t="s">
        <v>3108</v>
      </c>
      <c r="C332" s="4" t="s">
        <v>1971</v>
      </c>
      <c r="D332" s="5">
        <v>45390</v>
      </c>
      <c r="E332" s="4" t="s">
        <v>31</v>
      </c>
      <c r="F332" s="4" t="s">
        <v>36</v>
      </c>
      <c r="G332" s="4" t="s">
        <v>3109</v>
      </c>
      <c r="H332" s="4" t="s">
        <v>1956</v>
      </c>
      <c r="I332" s="4" t="s">
        <v>1968</v>
      </c>
      <c r="J332" s="4" t="s">
        <v>1968</v>
      </c>
      <c r="K332" s="4" t="s">
        <v>1968</v>
      </c>
      <c r="L332" s="4" t="s">
        <v>1968</v>
      </c>
      <c r="M332" s="4" t="s">
        <v>36</v>
      </c>
      <c r="N332" s="4" t="s">
        <v>1310</v>
      </c>
      <c r="O332" s="4" t="s">
        <v>37</v>
      </c>
      <c r="P332" s="4" t="s">
        <v>37</v>
      </c>
      <c r="Q332" s="10" t="s">
        <v>57</v>
      </c>
      <c r="R332" s="4" t="str">
        <f t="shared" si="23"/>
        <v>Horacio Zeballos Gamez Central, Ate, Lima, Lima, Perú</v>
      </c>
      <c r="S332" s="4">
        <v>-12.008354000000001</v>
      </c>
      <c r="T332" s="4">
        <v>-76.8420196</v>
      </c>
      <c r="U332" s="30">
        <f t="shared" si="24"/>
        <v>6.43</v>
      </c>
      <c r="V332" s="4" t="str">
        <f t="shared" si="25"/>
        <v>🟡 Cerca (5-10 km)</v>
      </c>
      <c r="W332" s="19" t="str" cm="1">
        <f t="array" ref="W332">_xlfn.LET(_xlpm.lat_emp,S332,_xlpm.lon_emp,T332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Horacio</v>
      </c>
      <c r="X332" s="19" t="str">
        <f>_xlfn.LET(_xlpm.paradero,W332,INDEX(PARADEROS_VALIDOS!$A$2:$A$67,MATCH(_xlpm.paradero,PARADEROS_VALIDOS!$C$2:$C$67,0)))</f>
        <v>RUTA 5B</v>
      </c>
      <c r="Y332" s="29" cm="1">
        <f t="array" ref="Y332">_xlfn.LET(_xlpm.lat_emp,S332,_xlpm.lon_emp,T332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</v>
      </c>
      <c r="Z332" s="4" t="str">
        <f t="shared" si="26"/>
        <v>🟢 Muy Cerca (0-1 km)</v>
      </c>
      <c r="AA332" s="4"/>
      <c r="AB332" s="4"/>
      <c r="AC332" s="49">
        <v>-11.997563</v>
      </c>
      <c r="AD332" s="49">
        <v>-76.900062000000005</v>
      </c>
      <c r="AE332" s="19" t="str">
        <f>IFERROR(VLOOKUP(C332,tdcargo[],2,FALSE),"DESCONOCIDO")</f>
        <v>OPERARIO</v>
      </c>
    </row>
    <row r="333" spans="1:31" hidden="1" x14ac:dyDescent="0.35">
      <c r="A333" s="8">
        <v>72796659</v>
      </c>
      <c r="B333" s="4" t="s">
        <v>3110</v>
      </c>
      <c r="C333" s="4" t="s">
        <v>1971</v>
      </c>
      <c r="D333" s="5">
        <v>45845</v>
      </c>
      <c r="E333" s="4" t="s">
        <v>31</v>
      </c>
      <c r="F333" s="4" t="s">
        <v>34</v>
      </c>
      <c r="G333" s="4" t="s">
        <v>3111</v>
      </c>
      <c r="H333" s="4" t="s">
        <v>2118</v>
      </c>
      <c r="I333" s="4" t="s">
        <v>1968</v>
      </c>
      <c r="J333" s="4" t="s">
        <v>1968</v>
      </c>
      <c r="K333" s="4" t="s">
        <v>1973</v>
      </c>
      <c r="L333" s="4" t="s">
        <v>1278</v>
      </c>
      <c r="M333" s="4" t="s">
        <v>36</v>
      </c>
      <c r="N333" s="4" t="s">
        <v>3112</v>
      </c>
      <c r="O333" s="4" t="s">
        <v>37</v>
      </c>
      <c r="P333" s="4" t="s">
        <v>195</v>
      </c>
      <c r="Q333" s="10" t="s">
        <v>196</v>
      </c>
      <c r="R333" s="4" t="str">
        <f t="shared" si="23"/>
        <v>Avenida Prolongacion Progreso 5, Lote 15, Mz. A Paradero Colegio, San Antonio, Huarochiri, Lima, Perú</v>
      </c>
      <c r="S333" s="4">
        <v>-11.984904800000001</v>
      </c>
      <c r="T333" s="4">
        <v>-76.942511300000007</v>
      </c>
      <c r="U333" s="30">
        <f t="shared" si="24"/>
        <v>4.83</v>
      </c>
      <c r="V333" s="4" t="str">
        <f t="shared" si="25"/>
        <v>🟢 Muy Cerca (0-5 km)</v>
      </c>
      <c r="W333" s="19" t="str" cm="1">
        <f t="array" ref="W333">_xlfn.LET(_xlpm.lat_emp,S333,_xlpm.lon_emp,T333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Estadio Huachipa</v>
      </c>
      <c r="X333" s="19" t="str">
        <f>_xlfn.LET(_xlpm.paradero,W333,INDEX(PARADEROS_VALIDOS!$A$2:$A$67,MATCH(_xlpm.paradero,PARADEROS_VALIDOS!$C$2:$C$67,0)))</f>
        <v>RUTA 5C</v>
      </c>
      <c r="Y333" s="29" cm="1">
        <f t="array" ref="Y333">_xlfn.LET(_xlpm.lat_emp,S333,_xlpm.lon_emp,T333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4.32</v>
      </c>
      <c r="Z333" s="4" t="str">
        <f t="shared" si="26"/>
        <v>🟠 Moderada (3-5 km)</v>
      </c>
      <c r="AA333" s="4"/>
      <c r="AB333" s="4"/>
      <c r="AC333" s="49">
        <v>-11.997563</v>
      </c>
      <c r="AD333" s="49">
        <v>-76.900062000000005</v>
      </c>
      <c r="AE333" s="19" t="str">
        <f>IFERROR(VLOOKUP(C333,tdcargo[],2,FALSE),"DESCONOCIDO")</f>
        <v>OPERARIO</v>
      </c>
    </row>
    <row r="334" spans="1:31" hidden="1" x14ac:dyDescent="0.35">
      <c r="A334" s="8">
        <v>60972235</v>
      </c>
      <c r="B334" s="4" t="s">
        <v>3113</v>
      </c>
      <c r="C334" s="4" t="s">
        <v>1971</v>
      </c>
      <c r="D334" s="5">
        <v>45719</v>
      </c>
      <c r="E334" s="4" t="s">
        <v>31</v>
      </c>
      <c r="F334" s="4" t="s">
        <v>36</v>
      </c>
      <c r="G334" s="4" t="s">
        <v>3114</v>
      </c>
      <c r="H334" s="4" t="s">
        <v>1956</v>
      </c>
      <c r="I334" s="4" t="s">
        <v>1995</v>
      </c>
      <c r="J334" s="4" t="s">
        <v>1968</v>
      </c>
      <c r="K334" s="4" t="s">
        <v>1968</v>
      </c>
      <c r="L334" s="4" t="s">
        <v>1968</v>
      </c>
      <c r="M334" s="4" t="s">
        <v>36</v>
      </c>
      <c r="N334" s="4" t="s">
        <v>580</v>
      </c>
      <c r="O334" s="4" t="s">
        <v>37</v>
      </c>
      <c r="P334" s="4" t="s">
        <v>37</v>
      </c>
      <c r="Q334" s="10" t="s">
        <v>57</v>
      </c>
      <c r="R334" s="4" t="str">
        <f t="shared" si="23"/>
        <v>Sol De Viã‘As, Apt. 1 Santa Clara, Ate, Lima, Lima, Perú</v>
      </c>
      <c r="S334" s="4">
        <v>-12.020946500000001</v>
      </c>
      <c r="T334" s="4">
        <v>-76.884875899999997</v>
      </c>
      <c r="U334" s="30">
        <f t="shared" si="24"/>
        <v>3.08</v>
      </c>
      <c r="V334" s="4" t="str">
        <f t="shared" si="25"/>
        <v>🟢 Muy Cerca (0-5 km)</v>
      </c>
      <c r="W334" s="19" t="str" cm="1">
        <f t="array" ref="W334">_xlfn.LET(_xlpm.lat_emp,S334,_xlpm.lon_emp,T334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Sta. Clara</v>
      </c>
      <c r="X334" s="19" t="str">
        <f>_xlfn.LET(_xlpm.paradero,W334,INDEX(PARADEROS_VALIDOS!$A$2:$A$67,MATCH(_xlpm.paradero,PARADEROS_VALIDOS!$C$2:$C$67,0)))</f>
        <v>RUTA 5C</v>
      </c>
      <c r="Y334" s="29" cm="1">
        <f t="array" ref="Y334">_xlfn.LET(_xlpm.lat_emp,S334,_xlpm.lon_emp,T334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0.68</v>
      </c>
      <c r="Z334" s="4" t="str">
        <f t="shared" si="26"/>
        <v>🟢 Muy Cerca (0-1 km)</v>
      </c>
      <c r="AA334" s="4"/>
      <c r="AB334" s="4"/>
      <c r="AC334" s="49">
        <v>-11.997563</v>
      </c>
      <c r="AD334" s="49">
        <v>-76.900062000000005</v>
      </c>
      <c r="AE334" s="19" t="str">
        <f>IFERROR(VLOOKUP(C334,tdcargo[],2,FALSE),"DESCONOCIDO")</f>
        <v>OPERARIO</v>
      </c>
    </row>
    <row r="335" spans="1:31" hidden="1" x14ac:dyDescent="0.35">
      <c r="A335" s="8">
        <v>75556697</v>
      </c>
      <c r="B335" s="4" t="s">
        <v>3115</v>
      </c>
      <c r="C335" s="4" t="s">
        <v>1971</v>
      </c>
      <c r="D335" s="5">
        <v>45159</v>
      </c>
      <c r="E335" s="4" t="s">
        <v>31</v>
      </c>
      <c r="F335" s="4" t="s">
        <v>34</v>
      </c>
      <c r="G335" s="4" t="s">
        <v>196</v>
      </c>
      <c r="H335" s="4" t="s">
        <v>1956</v>
      </c>
      <c r="I335" s="4" t="s">
        <v>1968</v>
      </c>
      <c r="J335" s="4" t="s">
        <v>1968</v>
      </c>
      <c r="K335" s="4" t="s">
        <v>1968</v>
      </c>
      <c r="L335" s="4" t="s">
        <v>1968</v>
      </c>
      <c r="M335" s="4" t="s">
        <v>36</v>
      </c>
      <c r="N335" s="4" t="s">
        <v>3116</v>
      </c>
      <c r="O335" s="4" t="s">
        <v>37</v>
      </c>
      <c r="P335" s="4" t="s">
        <v>37</v>
      </c>
      <c r="Q335" s="10" t="s">
        <v>76</v>
      </c>
      <c r="R335" s="4" t="str">
        <f t="shared" si="23"/>
        <v>Avenida San Antonio Asociacion Sr De Huanca, Lurigancho, Lima, Lima, Perú</v>
      </c>
      <c r="S335" s="4">
        <v>-11.877046</v>
      </c>
      <c r="T335" s="4">
        <v>-77.128852899999998</v>
      </c>
      <c r="U335" s="30">
        <f t="shared" si="24"/>
        <v>28.27</v>
      </c>
      <c r="V335" s="4" t="str">
        <f t="shared" si="25"/>
        <v>🔴 Lejos (&gt;20 km)</v>
      </c>
      <c r="W335" s="19" t="str" cm="1">
        <f t="array" ref="W335">_xlfn.LET(_xlpm.lat_emp,S335,_xlpm.lon_emp,T335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Av. Metropolitana con Cultura</v>
      </c>
      <c r="X335" s="19" t="str">
        <f>_xlfn.LET(_xlpm.paradero,W335,INDEX(PARADEROS_VALIDOS!$A$2:$A$67,MATCH(_xlpm.paradero,PARADEROS_VALIDOS!$C$2:$C$67,0)))</f>
        <v>RUTA 4A</v>
      </c>
      <c r="Y335" s="29" cm="1">
        <f t="array" ref="Y335">_xlfn.LET(_xlpm.lat_emp,S335,_xlpm.lon_emp,T335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10.95</v>
      </c>
      <c r="Z335" s="4" t="str">
        <f t="shared" si="26"/>
        <v>🔴 Lejos (&gt;5 km)</v>
      </c>
      <c r="AA335" s="4"/>
      <c r="AB335" s="4"/>
      <c r="AC335" s="49">
        <v>-11.997563</v>
      </c>
      <c r="AD335" s="49">
        <v>-76.900062000000005</v>
      </c>
      <c r="AE335" s="19" t="str">
        <f>IFERROR(VLOOKUP(C335,tdcargo[],2,FALSE),"DESCONOCIDO")</f>
        <v>OPERARIO</v>
      </c>
    </row>
    <row r="336" spans="1:31" hidden="1" x14ac:dyDescent="0.35">
      <c r="A336" s="8">
        <v>76856492</v>
      </c>
      <c r="B336" s="4" t="s">
        <v>3117</v>
      </c>
      <c r="C336" s="4" t="s">
        <v>1971</v>
      </c>
      <c r="D336" s="5">
        <v>45372</v>
      </c>
      <c r="E336" s="4" t="s">
        <v>31</v>
      </c>
      <c r="F336" s="4" t="s">
        <v>34</v>
      </c>
      <c r="G336" s="4" t="s">
        <v>3118</v>
      </c>
      <c r="H336" s="4" t="s">
        <v>2168</v>
      </c>
      <c r="I336" s="4" t="s">
        <v>1968</v>
      </c>
      <c r="J336" s="4" t="s">
        <v>2168</v>
      </c>
      <c r="K336" s="4" t="s">
        <v>1968</v>
      </c>
      <c r="L336" s="4" t="s">
        <v>1968</v>
      </c>
      <c r="M336" s="4" t="s">
        <v>36</v>
      </c>
      <c r="N336" s="4" t="s">
        <v>3118</v>
      </c>
      <c r="O336" s="4" t="s">
        <v>37</v>
      </c>
      <c r="P336" s="4" t="s">
        <v>195</v>
      </c>
      <c r="Q336" s="10" t="s">
        <v>196</v>
      </c>
      <c r="R336" s="4" t="str">
        <f t="shared" si="23"/>
        <v>Avenida 11 De Junio 13, Int. 13 11 De Junio, San Antonio, Huarochiri, Lima, Perú</v>
      </c>
      <c r="S336" s="4">
        <v>-11.9735464</v>
      </c>
      <c r="T336" s="4">
        <v>-76.938580700000003</v>
      </c>
      <c r="U336" s="30">
        <f t="shared" si="24"/>
        <v>4.97</v>
      </c>
      <c r="V336" s="4" t="str">
        <f t="shared" si="25"/>
        <v>🟢 Muy Cerca (0-5 km)</v>
      </c>
      <c r="W336" s="19" t="str" cm="1">
        <f t="array" ref="W336">_xlfn.LET(_xlpm.lat_emp,S336,_xlpm.lon_emp,T336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336" s="19" t="str">
        <f>_xlfn.LET(_xlpm.paradero,W336,INDEX(PARADEROS_VALIDOS!$A$2:$A$67,MATCH(_xlpm.paradero,PARADEROS_VALIDOS!$C$2:$C$67,0)))</f>
        <v>RUTA 2</v>
      </c>
      <c r="Y336" s="29" cm="1">
        <f t="array" ref="Y336">_xlfn.LET(_xlpm.lat_emp,S336,_xlpm.lon_emp,T336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4.45</v>
      </c>
      <c r="Z336" s="4" t="str">
        <f t="shared" si="26"/>
        <v>🟠 Moderada (3-5 km)</v>
      </c>
      <c r="AA336" s="4"/>
      <c r="AB336" s="4"/>
      <c r="AC336" s="49">
        <v>-11.997563</v>
      </c>
      <c r="AD336" s="49">
        <v>-76.900062000000005</v>
      </c>
      <c r="AE336" s="19" t="str">
        <f>IFERROR(VLOOKUP(C336,tdcargo[],2,FALSE),"DESCONOCIDO")</f>
        <v>OPERARIO</v>
      </c>
    </row>
    <row r="337" spans="1:31" hidden="1" x14ac:dyDescent="0.35">
      <c r="A337" s="8">
        <v>47627850</v>
      </c>
      <c r="B337" s="4" t="s">
        <v>3119</v>
      </c>
      <c r="C337" s="4" t="s">
        <v>1971</v>
      </c>
      <c r="D337" s="5">
        <v>44938</v>
      </c>
      <c r="E337" s="4" t="s">
        <v>31</v>
      </c>
      <c r="F337" s="4" t="s">
        <v>36</v>
      </c>
      <c r="G337" s="4" t="s">
        <v>3120</v>
      </c>
      <c r="H337" s="4" t="s">
        <v>1956</v>
      </c>
      <c r="I337" s="4" t="s">
        <v>1968</v>
      </c>
      <c r="J337" s="4" t="s">
        <v>1968</v>
      </c>
      <c r="K337" s="4" t="s">
        <v>1968</v>
      </c>
      <c r="L337" s="4" t="s">
        <v>1968</v>
      </c>
      <c r="M337" s="4" t="s">
        <v>55</v>
      </c>
      <c r="N337" s="4" t="s">
        <v>3121</v>
      </c>
      <c r="O337" s="4" t="s">
        <v>37</v>
      </c>
      <c r="P337" s="4" t="s">
        <v>37</v>
      </c>
      <c r="Q337" s="10" t="s">
        <v>38</v>
      </c>
      <c r="R337" s="4" t="str">
        <f t="shared" si="23"/>
        <v>Cooperativa, Coo. Cooperativa Sagrada Familia, San Juan De Lurigancho, Lima, Lima, Perú</v>
      </c>
      <c r="S337" s="4">
        <v>-11.9775302</v>
      </c>
      <c r="T337" s="4">
        <v>-76.9869877</v>
      </c>
      <c r="U337" s="30">
        <f t="shared" si="24"/>
        <v>9.7100000000000009</v>
      </c>
      <c r="V337" s="4" t="str">
        <f t="shared" si="25"/>
        <v>🟡 Cerca (5-10 km)</v>
      </c>
      <c r="W337" s="19" t="str" cm="1">
        <f t="array" ref="W337">_xlfn.LET(_xlpm.lat_emp,S337,_xlpm.lon_emp,T337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337" s="19" t="str">
        <f>_xlfn.LET(_xlpm.paradero,W337,INDEX(PARADEROS_VALIDOS!$A$2:$A$67,MATCH(_xlpm.paradero,PARADEROS_VALIDOS!$C$2:$C$67,0)))</f>
        <v>RUTA 6A</v>
      </c>
      <c r="Y337" s="29" cm="1">
        <f t="array" ref="Y337">_xlfn.LET(_xlpm.lat_emp,S337,_xlpm.lon_emp,T337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1.47</v>
      </c>
      <c r="Z337" s="4" t="str">
        <f t="shared" si="26"/>
        <v>🟡 Cerca (1-3 km)</v>
      </c>
      <c r="AA337" s="4"/>
      <c r="AB337" s="4"/>
      <c r="AC337" s="49">
        <v>-11.997563</v>
      </c>
      <c r="AD337" s="49">
        <v>-76.900062000000005</v>
      </c>
      <c r="AE337" s="19" t="str">
        <f>IFERROR(VLOOKUP(C337,tdcargo[],2,FALSE),"DESCONOCIDO")</f>
        <v>OPERARIO</v>
      </c>
    </row>
    <row r="338" spans="1:31" hidden="1" x14ac:dyDescent="0.35">
      <c r="A338" s="8">
        <v>74491010</v>
      </c>
      <c r="B338" s="4" t="s">
        <v>3122</v>
      </c>
      <c r="C338" s="4" t="s">
        <v>1971</v>
      </c>
      <c r="D338" s="5">
        <v>45600</v>
      </c>
      <c r="E338" s="4" t="s">
        <v>31</v>
      </c>
      <c r="F338" s="4" t="s">
        <v>34</v>
      </c>
      <c r="G338" s="4" t="s">
        <v>3123</v>
      </c>
      <c r="H338" s="4" t="s">
        <v>1956</v>
      </c>
      <c r="I338" s="4" t="s">
        <v>1968</v>
      </c>
      <c r="J338" s="4" t="s">
        <v>1968</v>
      </c>
      <c r="K338" s="4" t="s">
        <v>1968</v>
      </c>
      <c r="L338" s="4" t="s">
        <v>1968</v>
      </c>
      <c r="M338" s="4" t="s">
        <v>36</v>
      </c>
      <c r="N338" s="4" t="s">
        <v>381</v>
      </c>
      <c r="O338" s="4" t="s">
        <v>37</v>
      </c>
      <c r="P338" s="4" t="s">
        <v>37</v>
      </c>
      <c r="Q338" s="10" t="s">
        <v>76</v>
      </c>
      <c r="R338" s="4" t="str">
        <f t="shared" si="23"/>
        <v>Avenida Ex Trabajadores El Portillo, Lurigancho, Lima, Lima, Perú</v>
      </c>
      <c r="S338" s="4">
        <v>-12.002784699999999</v>
      </c>
      <c r="T338" s="4">
        <v>-76.867155800000006</v>
      </c>
      <c r="U338" s="30">
        <f t="shared" si="24"/>
        <v>3.63</v>
      </c>
      <c r="V338" s="4" t="str">
        <f t="shared" si="25"/>
        <v>🟢 Muy Cerca (0-5 km)</v>
      </c>
      <c r="W338" s="19" t="str" cm="1">
        <f t="array" ref="W338">_xlfn.LET(_xlpm.lat_emp,S338,_xlpm.lon_emp,T338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Gloria Grande</v>
      </c>
      <c r="X338" s="19" t="str">
        <f>_xlfn.LET(_xlpm.paradero,W338,INDEX(PARADEROS_VALIDOS!$A$2:$A$67,MATCH(_xlpm.paradero,PARADEROS_VALIDOS!$C$2:$C$67,0)))</f>
        <v>RUTA 5B</v>
      </c>
      <c r="Y338" s="29" cm="1">
        <f t="array" ref="Y338">_xlfn.LET(_xlpm.lat_emp,S338,_xlpm.lon_emp,T338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1.77</v>
      </c>
      <c r="Z338" s="4" t="str">
        <f t="shared" si="26"/>
        <v>🟡 Cerca (1-3 km)</v>
      </c>
      <c r="AA338" s="4"/>
      <c r="AB338" s="4"/>
      <c r="AC338" s="49">
        <v>-11.997563</v>
      </c>
      <c r="AD338" s="49">
        <v>-76.900062000000005</v>
      </c>
      <c r="AE338" s="19" t="str">
        <f>IFERROR(VLOOKUP(C338,tdcargo[],2,FALSE),"DESCONOCIDO")</f>
        <v>OPERARIO</v>
      </c>
    </row>
    <row r="339" spans="1:31" hidden="1" x14ac:dyDescent="0.35">
      <c r="A339" s="8">
        <v>4061154</v>
      </c>
      <c r="B339" s="4" t="s">
        <v>3124</v>
      </c>
      <c r="C339" s="4" t="s">
        <v>1971</v>
      </c>
      <c r="D339" s="5">
        <v>45915</v>
      </c>
      <c r="E339" s="4" t="s">
        <v>31</v>
      </c>
      <c r="F339" s="4" t="s">
        <v>34</v>
      </c>
      <c r="G339" s="4" t="s">
        <v>3125</v>
      </c>
      <c r="H339" s="4" t="s">
        <v>1956</v>
      </c>
      <c r="I339" s="4" t="s">
        <v>1968</v>
      </c>
      <c r="J339" s="4" t="s">
        <v>3126</v>
      </c>
      <c r="K339" s="4" t="s">
        <v>1968</v>
      </c>
      <c r="L339" s="4" t="s">
        <v>1968</v>
      </c>
      <c r="M339" s="4" t="s">
        <v>36</v>
      </c>
      <c r="N339" s="4" t="s">
        <v>3127</v>
      </c>
      <c r="O339" s="4" t="s">
        <v>37</v>
      </c>
      <c r="P339" s="4" t="s">
        <v>37</v>
      </c>
      <c r="Q339" s="10" t="s">
        <v>57</v>
      </c>
      <c r="R339" s="4" t="str">
        <f t="shared" si="23"/>
        <v>Avenida San Martin Fundo La Estrella, Int. 606 Torres De Santa Clar, Ate, Lima, Lima, Perú</v>
      </c>
      <c r="S339" s="4">
        <v>-12.0202679</v>
      </c>
      <c r="T339" s="4">
        <v>-76.889206099999996</v>
      </c>
      <c r="U339" s="30">
        <f t="shared" si="24"/>
        <v>2.79</v>
      </c>
      <c r="V339" s="4" t="str">
        <f t="shared" si="25"/>
        <v>🟢 Muy Cerca (0-5 km)</v>
      </c>
      <c r="W339" s="19" t="str" cm="1">
        <f t="array" ref="W339">_xlfn.LET(_xlpm.lat_emp,S339,_xlpm.lon_emp,T339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Sta. Clara</v>
      </c>
      <c r="X339" s="19" t="str">
        <f>_xlfn.LET(_xlpm.paradero,W339,INDEX(PARADEROS_VALIDOS!$A$2:$A$67,MATCH(_xlpm.paradero,PARADEROS_VALIDOS!$C$2:$C$67,0)))</f>
        <v>RUTA 5C</v>
      </c>
      <c r="Y339" s="29" cm="1">
        <f t="array" ref="Y339">_xlfn.LET(_xlpm.lat_emp,S339,_xlpm.lon_emp,T339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0.74</v>
      </c>
      <c r="Z339" s="4" t="str">
        <f t="shared" si="26"/>
        <v>🟢 Muy Cerca (0-1 km)</v>
      </c>
      <c r="AA339" s="4"/>
      <c r="AB339" s="4"/>
      <c r="AC339" s="49">
        <v>-11.997563</v>
      </c>
      <c r="AD339" s="49">
        <v>-76.900062000000005</v>
      </c>
      <c r="AE339" s="19" t="str">
        <f>IFERROR(VLOOKUP(C339,tdcargo[],2,FALSE),"DESCONOCIDO")</f>
        <v>OPERARIO</v>
      </c>
    </row>
    <row r="340" spans="1:31" hidden="1" x14ac:dyDescent="0.35">
      <c r="A340" s="8">
        <v>72761295</v>
      </c>
      <c r="B340" s="4" t="s">
        <v>3128</v>
      </c>
      <c r="C340" s="4" t="s">
        <v>1971</v>
      </c>
      <c r="D340" s="5">
        <v>45691</v>
      </c>
      <c r="E340" s="4" t="s">
        <v>31</v>
      </c>
      <c r="F340" s="4" t="s">
        <v>82</v>
      </c>
      <c r="G340" s="4" t="s">
        <v>991</v>
      </c>
      <c r="H340" s="4" t="s">
        <v>1995</v>
      </c>
      <c r="I340" s="4" t="s">
        <v>1968</v>
      </c>
      <c r="J340" s="4" t="s">
        <v>1968</v>
      </c>
      <c r="K340" s="4" t="s">
        <v>1968</v>
      </c>
      <c r="L340" s="4" t="s">
        <v>1968</v>
      </c>
      <c r="M340" s="4" t="s">
        <v>36</v>
      </c>
      <c r="N340" s="4" t="s">
        <v>1194</v>
      </c>
      <c r="O340" s="4" t="s">
        <v>37</v>
      </c>
      <c r="P340" s="4" t="s">
        <v>37</v>
      </c>
      <c r="Q340" s="10" t="s">
        <v>118</v>
      </c>
      <c r="R340" s="4" t="str">
        <f t="shared" si="23"/>
        <v>Calle Las Flores 1 Miguel Grau, Chaclacayo, Lima, Lima, Perú</v>
      </c>
      <c r="S340" s="4">
        <v>-11.9856309</v>
      </c>
      <c r="T340" s="4">
        <v>-76.815317899999997</v>
      </c>
      <c r="U340" s="30">
        <f t="shared" si="24"/>
        <v>9.31</v>
      </c>
      <c r="V340" s="4" t="str">
        <f t="shared" si="25"/>
        <v>🟡 Cerca (5-10 km)</v>
      </c>
      <c r="W340" s="19" t="str" cm="1">
        <f t="array" ref="W340">_xlfn.LET(_xlpm.lat_emp,S340,_xlpm.lon_emp,T340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Ñaña</v>
      </c>
      <c r="X340" s="19" t="str">
        <f>_xlfn.LET(_xlpm.paradero,W340,INDEX(PARADEROS_VALIDOS!$A$2:$A$67,MATCH(_xlpm.paradero,PARADEROS_VALIDOS!$C$2:$C$67,0)))</f>
        <v>RUTA 5A</v>
      </c>
      <c r="Y340" s="29" cm="1">
        <f t="array" ref="Y340">_xlfn.LET(_xlpm.lat_emp,S340,_xlpm.lon_emp,T340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0.52</v>
      </c>
      <c r="Z340" s="4" t="str">
        <f t="shared" si="26"/>
        <v>🟢 Muy Cerca (0-1 km)</v>
      </c>
      <c r="AA340" s="4"/>
      <c r="AB340" s="4"/>
      <c r="AC340" s="49">
        <v>-11.997563</v>
      </c>
      <c r="AD340" s="49">
        <v>-76.900062000000005</v>
      </c>
      <c r="AE340" s="19" t="str">
        <f>IFERROR(VLOOKUP(C340,tdcargo[],2,FALSE),"DESCONOCIDO")</f>
        <v>OPERARIO</v>
      </c>
    </row>
    <row r="341" spans="1:31" hidden="1" x14ac:dyDescent="0.35">
      <c r="A341" s="8">
        <v>74852222</v>
      </c>
      <c r="B341" s="4" t="s">
        <v>3129</v>
      </c>
      <c r="C341" s="4" t="s">
        <v>1971</v>
      </c>
      <c r="D341" s="5">
        <v>45763</v>
      </c>
      <c r="E341" s="4" t="s">
        <v>31</v>
      </c>
      <c r="F341" s="4" t="s">
        <v>36</v>
      </c>
      <c r="G341" s="4" t="s">
        <v>991</v>
      </c>
      <c r="H341" s="4" t="s">
        <v>1956</v>
      </c>
      <c r="I341" s="4" t="s">
        <v>1968</v>
      </c>
      <c r="J341" s="4" t="s">
        <v>1968</v>
      </c>
      <c r="K341" s="4" t="s">
        <v>1981</v>
      </c>
      <c r="L341" s="4" t="s">
        <v>1461</v>
      </c>
      <c r="M341" s="4" t="s">
        <v>36</v>
      </c>
      <c r="N341" s="4" t="s">
        <v>3130</v>
      </c>
      <c r="O341" s="4" t="s">
        <v>37</v>
      </c>
      <c r="P341" s="4" t="s">
        <v>37</v>
      </c>
      <c r="Q341" s="10" t="s">
        <v>57</v>
      </c>
      <c r="R341" s="4" t="str">
        <f t="shared" si="23"/>
        <v>Las Flores, Lote 6, Mz. C Lurigancho Cosica, Ate, Lima, Lima, Perú</v>
      </c>
      <c r="S341" s="4">
        <v>-12.016670599999999</v>
      </c>
      <c r="T341" s="4">
        <v>-76.899552700000001</v>
      </c>
      <c r="U341" s="30">
        <f t="shared" si="24"/>
        <v>2.13</v>
      </c>
      <c r="V341" s="4" t="str">
        <f t="shared" si="25"/>
        <v>🟢 Muy Cerca (0-5 km)</v>
      </c>
      <c r="W341" s="19" t="str" cm="1">
        <f t="array" ref="W341">_xlfn.LET(_xlpm.lat_emp,S341,_xlpm.lon_emp,T341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Esperanza</v>
      </c>
      <c r="X341" s="19" t="str">
        <f>_xlfn.LET(_xlpm.paradero,W341,INDEX(PARADEROS_VALIDOS!$A$2:$A$67,MATCH(_xlpm.paradero,PARADEROS_VALIDOS!$C$2:$C$67,0)))</f>
        <v>RUTA 4B</v>
      </c>
      <c r="Y341" s="29" cm="1">
        <f t="array" ref="Y341">_xlfn.LET(_xlpm.lat_emp,S341,_xlpm.lon_emp,T341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0.98</v>
      </c>
      <c r="Z341" s="4" t="str">
        <f t="shared" si="26"/>
        <v>🟢 Muy Cerca (0-1 km)</v>
      </c>
      <c r="AA341" s="4"/>
      <c r="AB341" s="4"/>
      <c r="AC341" s="49">
        <v>-11.997563</v>
      </c>
      <c r="AD341" s="49">
        <v>-76.900062000000005</v>
      </c>
      <c r="AE341" s="19" t="str">
        <f>IFERROR(VLOOKUP(C341,tdcargo[],2,FALSE),"DESCONOCIDO")</f>
        <v>OPERARIO</v>
      </c>
    </row>
    <row r="342" spans="1:31" hidden="1" x14ac:dyDescent="0.35">
      <c r="A342" s="8">
        <v>76426240</v>
      </c>
      <c r="B342" s="4" t="s">
        <v>3131</v>
      </c>
      <c r="C342" s="4" t="s">
        <v>1971</v>
      </c>
      <c r="D342" s="5">
        <v>45616</v>
      </c>
      <c r="E342" s="4" t="s">
        <v>31</v>
      </c>
      <c r="F342" s="4" t="s">
        <v>82</v>
      </c>
      <c r="G342" s="4" t="s">
        <v>2939</v>
      </c>
      <c r="H342" s="4" t="s">
        <v>1995</v>
      </c>
      <c r="I342" s="4" t="s">
        <v>1968</v>
      </c>
      <c r="J342" s="4" t="s">
        <v>1968</v>
      </c>
      <c r="K342" s="4" t="s">
        <v>1968</v>
      </c>
      <c r="L342" s="4" t="s">
        <v>1968</v>
      </c>
      <c r="M342" s="4" t="s">
        <v>36</v>
      </c>
      <c r="N342" s="4" t="s">
        <v>2939</v>
      </c>
      <c r="O342" s="4" t="s">
        <v>37</v>
      </c>
      <c r="P342" s="4" t="s">
        <v>37</v>
      </c>
      <c r="Q342" s="10" t="s">
        <v>57</v>
      </c>
      <c r="R342" s="4" t="str">
        <f t="shared" si="23"/>
        <v>Calle Pariachi 1 Pariachi, Ate, Lima, Lima, Perú</v>
      </c>
      <c r="S342" s="4">
        <v>-12.0056691</v>
      </c>
      <c r="T342" s="4">
        <v>-76.844038299999994</v>
      </c>
      <c r="U342" s="30">
        <f t="shared" si="24"/>
        <v>6.16</v>
      </c>
      <c r="V342" s="4" t="str">
        <f t="shared" si="25"/>
        <v>🟡 Cerca (5-10 km)</v>
      </c>
      <c r="W342" s="19" t="str" cm="1">
        <f t="array" ref="W342">_xlfn.LET(_xlpm.lat_emp,S342,_xlpm.lon_emp,T342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Horacio</v>
      </c>
      <c r="X342" s="19" t="str">
        <f>_xlfn.LET(_xlpm.paradero,W342,INDEX(PARADEROS_VALIDOS!$A$2:$A$67,MATCH(_xlpm.paradero,PARADEROS_VALIDOS!$C$2:$C$67,0)))</f>
        <v>RUTA 5B</v>
      </c>
      <c r="Y342" s="29" cm="1">
        <f t="array" ref="Y342">_xlfn.LET(_xlpm.lat_emp,S342,_xlpm.lon_emp,T342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0.37</v>
      </c>
      <c r="Z342" s="4" t="str">
        <f t="shared" si="26"/>
        <v>🟢 Muy Cerca (0-1 km)</v>
      </c>
      <c r="AA342" s="4"/>
      <c r="AB342" s="4"/>
      <c r="AC342" s="49">
        <v>-11.997563</v>
      </c>
      <c r="AD342" s="49">
        <v>-76.900062000000005</v>
      </c>
      <c r="AE342" s="19" t="str">
        <f>IFERROR(VLOOKUP(C342,tdcargo[],2,FALSE),"DESCONOCIDO")</f>
        <v>OPERARIO</v>
      </c>
    </row>
    <row r="343" spans="1:31" hidden="1" x14ac:dyDescent="0.35">
      <c r="A343" s="8">
        <v>72069353</v>
      </c>
      <c r="B343" s="4" t="s">
        <v>3132</v>
      </c>
      <c r="C343" s="4" t="s">
        <v>1971</v>
      </c>
      <c r="D343" s="5">
        <v>45817</v>
      </c>
      <c r="E343" s="4" t="s">
        <v>31</v>
      </c>
      <c r="F343" s="4" t="s">
        <v>34</v>
      </c>
      <c r="G343" s="4" t="s">
        <v>196</v>
      </c>
      <c r="H343" s="4" t="s">
        <v>1995</v>
      </c>
      <c r="I343" s="4" t="s">
        <v>1968</v>
      </c>
      <c r="J343" s="4" t="s">
        <v>1968</v>
      </c>
      <c r="K343" s="4" t="s">
        <v>2171</v>
      </c>
      <c r="L343" s="4" t="s">
        <v>1987</v>
      </c>
      <c r="M343" s="4" t="s">
        <v>36</v>
      </c>
      <c r="N343" s="4" t="s">
        <v>620</v>
      </c>
      <c r="O343" s="4" t="s">
        <v>37</v>
      </c>
      <c r="P343" s="4" t="s">
        <v>37</v>
      </c>
      <c r="Q343" s="10" t="s">
        <v>76</v>
      </c>
      <c r="R343" s="4" t="str">
        <f t="shared" si="23"/>
        <v>Avenida San Antonio 1, Lote 3, Mz. J Jicamarca, Lurigancho, Lima, Lima, Perú</v>
      </c>
      <c r="S343" s="4">
        <v>-11.994088100000001</v>
      </c>
      <c r="T343" s="4">
        <v>-77.0470775</v>
      </c>
      <c r="U343" s="30">
        <f t="shared" si="24"/>
        <v>16</v>
      </c>
      <c r="V343" s="4" t="str">
        <f t="shared" si="25"/>
        <v>🟠 Moderada (10-20 km)</v>
      </c>
      <c r="W343" s="19" t="str" cm="1">
        <f t="array" ref="W343">_xlfn.LET(_xlpm.lat_emp,S343,_xlpm.lon_emp,T343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Metro Eyzaguirre</v>
      </c>
      <c r="X343" s="19" t="str">
        <f>_xlfn.LET(_xlpm.paradero,W343,INDEX(PARADEROS_VALIDOS!$A$2:$A$67,MATCH(_xlpm.paradero,PARADEROS_VALIDOS!$C$2:$C$67,0)))</f>
        <v>RUTA 8</v>
      </c>
      <c r="Y343" s="29" cm="1">
        <f t="array" ref="Y343">_xlfn.LET(_xlpm.lat_emp,S343,_xlpm.lon_emp,T343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1.9</v>
      </c>
      <c r="Z343" s="4" t="str">
        <f t="shared" si="26"/>
        <v>🟡 Cerca (1-3 km)</v>
      </c>
      <c r="AA343" s="4"/>
      <c r="AB343" s="4"/>
      <c r="AC343" s="49">
        <v>-11.997563</v>
      </c>
      <c r="AD343" s="49">
        <v>-76.900062000000005</v>
      </c>
      <c r="AE343" s="19" t="str">
        <f>IFERROR(VLOOKUP(C343,tdcargo[],2,FALSE),"DESCONOCIDO")</f>
        <v>OPERARIO</v>
      </c>
    </row>
    <row r="344" spans="1:31" hidden="1" x14ac:dyDescent="0.35">
      <c r="A344" s="8">
        <v>77013612</v>
      </c>
      <c r="B344" s="4" t="s">
        <v>3133</v>
      </c>
      <c r="C344" s="4" t="s">
        <v>1971</v>
      </c>
      <c r="D344" s="5">
        <v>45810</v>
      </c>
      <c r="E344" s="4" t="s">
        <v>31</v>
      </c>
      <c r="F344" s="4" t="s">
        <v>34</v>
      </c>
      <c r="G344" s="4" t="s">
        <v>1282</v>
      </c>
      <c r="H344" s="4" t="s">
        <v>1956</v>
      </c>
      <c r="I344" s="4" t="s">
        <v>1968</v>
      </c>
      <c r="J344" s="4" t="s">
        <v>1968</v>
      </c>
      <c r="K344" s="4" t="s">
        <v>1968</v>
      </c>
      <c r="L344" s="4" t="s">
        <v>2082</v>
      </c>
      <c r="M344" s="4" t="s">
        <v>36</v>
      </c>
      <c r="N344" s="4" t="s">
        <v>2555</v>
      </c>
      <c r="O344" s="4" t="s">
        <v>37</v>
      </c>
      <c r="P344" s="4" t="s">
        <v>37</v>
      </c>
      <c r="Q344" s="10" t="s">
        <v>76</v>
      </c>
      <c r="R344" s="4" t="str">
        <f t="shared" si="23"/>
        <v>Avenida Nuevo Horizonte, Mz. G Carapongo, Lurigancho, Lima, Lima, Perú</v>
      </c>
      <c r="S344" s="4">
        <v>-12.00717</v>
      </c>
      <c r="T344" s="4">
        <v>-76.885959099999994</v>
      </c>
      <c r="U344" s="30">
        <f t="shared" si="24"/>
        <v>1.87</v>
      </c>
      <c r="V344" s="4" t="str">
        <f t="shared" si="25"/>
        <v>🟢 Muy Cerca (0-5 km)</v>
      </c>
      <c r="W344" s="19" t="str" cm="1">
        <f t="array" ref="W344">_xlfn.LET(_xlpm.lat_emp,S344,_xlpm.lon_emp,T344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la Cruz</v>
      </c>
      <c r="X344" s="19" t="str">
        <f>_xlfn.LET(_xlpm.paradero,W344,INDEX(PARADEROS_VALIDOS!$A$2:$A$67,MATCH(_xlpm.paradero,PARADEROS_VALIDOS!$C$2:$C$67,0)))</f>
        <v>RUTA 4B</v>
      </c>
      <c r="Y344" s="29" cm="1">
        <f t="array" ref="Y344">_xlfn.LET(_xlpm.lat_emp,S344,_xlpm.lon_emp,T344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0.85</v>
      </c>
      <c r="Z344" s="4" t="str">
        <f t="shared" si="26"/>
        <v>🟢 Muy Cerca (0-1 km)</v>
      </c>
      <c r="AA344" s="4"/>
      <c r="AB344" s="4"/>
      <c r="AC344" s="49">
        <v>-11.997563</v>
      </c>
      <c r="AD344" s="49">
        <v>-76.900062000000005</v>
      </c>
      <c r="AE344" s="19" t="str">
        <f>IFERROR(VLOOKUP(C344,tdcargo[],2,FALSE),"DESCONOCIDO")</f>
        <v>OPERARIO</v>
      </c>
    </row>
    <row r="345" spans="1:31" hidden="1" x14ac:dyDescent="0.35">
      <c r="A345" s="8">
        <v>70128795</v>
      </c>
      <c r="B345" s="4" t="s">
        <v>3134</v>
      </c>
      <c r="C345" s="4" t="s">
        <v>1971</v>
      </c>
      <c r="D345" s="5">
        <v>44693</v>
      </c>
      <c r="E345" s="4" t="s">
        <v>31</v>
      </c>
      <c r="F345" s="4" t="s">
        <v>34</v>
      </c>
      <c r="G345" s="4" t="s">
        <v>3135</v>
      </c>
      <c r="H345" s="4" t="s">
        <v>1956</v>
      </c>
      <c r="I345" s="4" t="s">
        <v>1968</v>
      </c>
      <c r="J345" s="4" t="s">
        <v>1968</v>
      </c>
      <c r="K345" s="4" t="s">
        <v>1968</v>
      </c>
      <c r="L345" s="4" t="s">
        <v>1968</v>
      </c>
      <c r="M345" s="4" t="s">
        <v>186</v>
      </c>
      <c r="N345" s="4" t="s">
        <v>3136</v>
      </c>
      <c r="O345" s="4" t="s">
        <v>37</v>
      </c>
      <c r="P345" s="4" t="s">
        <v>37</v>
      </c>
      <c r="Q345" s="10" t="s">
        <v>57</v>
      </c>
      <c r="R345" s="4" t="str">
        <f t="shared" si="23"/>
        <v>Avenida Arenera, Urb. Urbanización Zona C, Ate, Lima, Lima, Perú</v>
      </c>
      <c r="S345" s="4">
        <v>-12.0086748</v>
      </c>
      <c r="T345" s="4">
        <v>-76.820915400000004</v>
      </c>
      <c r="U345" s="30">
        <f t="shared" si="24"/>
        <v>8.6999999999999993</v>
      </c>
      <c r="V345" s="4" t="str">
        <f t="shared" si="25"/>
        <v>🟡 Cerca (5-10 km)</v>
      </c>
      <c r="W345" s="19" t="str" cm="1">
        <f t="array" ref="W345">_xlfn.LET(_xlpm.lat_emp,S345,_xlpm.lon_emp,T345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345" s="19" t="str">
        <f>_xlfn.LET(_xlpm.paradero,W345,INDEX(PARADEROS_VALIDOS!$A$2:$A$67,MATCH(_xlpm.paradero,PARADEROS_VALIDOS!$C$2:$C$67,0)))</f>
        <v>RUTA 3</v>
      </c>
      <c r="Y345" s="29" cm="1">
        <f t="array" ref="Y345">_xlfn.LET(_xlpm.lat_emp,S345,_xlpm.lon_emp,T345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1.92</v>
      </c>
      <c r="Z345" s="4" t="str">
        <f t="shared" si="26"/>
        <v>🟡 Cerca (1-3 km)</v>
      </c>
      <c r="AA345" s="4"/>
      <c r="AB345" s="4"/>
      <c r="AC345" s="49">
        <v>-11.997563</v>
      </c>
      <c r="AD345" s="49">
        <v>-76.900062000000005</v>
      </c>
      <c r="AE345" s="19" t="str">
        <f>IFERROR(VLOOKUP(C345,tdcargo[],2,FALSE),"DESCONOCIDO")</f>
        <v>OPERARIO</v>
      </c>
    </row>
    <row r="346" spans="1:31" hidden="1" x14ac:dyDescent="0.35">
      <c r="A346" s="8">
        <v>48738496</v>
      </c>
      <c r="B346" s="4" t="s">
        <v>3141</v>
      </c>
      <c r="C346" s="4" t="s">
        <v>1971</v>
      </c>
      <c r="D346" s="5">
        <v>46034</v>
      </c>
      <c r="E346" s="4" t="s">
        <v>31</v>
      </c>
      <c r="F346" s="4" t="s">
        <v>82</v>
      </c>
      <c r="G346" s="4" t="s">
        <v>2052</v>
      </c>
      <c r="H346" s="4" t="s">
        <v>2049</v>
      </c>
      <c r="I346" s="4" t="s">
        <v>1996</v>
      </c>
      <c r="J346" s="4" t="s">
        <v>1968</v>
      </c>
      <c r="K346" s="4" t="s">
        <v>2049</v>
      </c>
      <c r="L346" s="4" t="s">
        <v>1974</v>
      </c>
      <c r="M346" s="4" t="s">
        <v>36</v>
      </c>
      <c r="N346" s="4" t="s">
        <v>3241</v>
      </c>
      <c r="O346" s="4" t="s">
        <v>37</v>
      </c>
      <c r="P346" s="4" t="s">
        <v>37</v>
      </c>
      <c r="Q346" s="10" t="s">
        <v>57</v>
      </c>
      <c r="R346" s="4" t="str">
        <f t="shared" si="23"/>
        <v>Calle 12 31, Apt. 2, Lote 31, Mz. B SIN ZONA, Ate, Lima, Lima, Perú</v>
      </c>
      <c r="S346" s="4">
        <v>-12.019448199999999</v>
      </c>
      <c r="T346" s="4">
        <v>-76.874824899999993</v>
      </c>
      <c r="U346" s="30">
        <f t="shared" si="24"/>
        <v>3.67</v>
      </c>
      <c r="V346" s="4" t="str">
        <f t="shared" si="25"/>
        <v>🟢 Muy Cerca (0-5 km)</v>
      </c>
      <c r="W346" s="19" t="str" cm="1">
        <f t="array" ref="W346">_xlfn.LET(_xlpm.lat_emp,S346,_xlpm.lon_emp,T346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la Cruz</v>
      </c>
      <c r="X346" s="19" t="str">
        <f>_xlfn.LET(_xlpm.paradero,W346,INDEX(PARADEROS_VALIDOS!$A$2:$A$67,MATCH(_xlpm.paradero,PARADEROS_VALIDOS!$C$2:$C$67,0)))</f>
        <v>RUTA 4B</v>
      </c>
      <c r="Y346" s="29" cm="1">
        <f t="array" ref="Y346">_xlfn.LET(_xlpm.lat_emp,S346,_xlpm.lon_emp,T346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1.23</v>
      </c>
      <c r="Z346" s="4" t="str">
        <f t="shared" si="26"/>
        <v>🟡 Cerca (1-3 km)</v>
      </c>
      <c r="AA346" s="4"/>
      <c r="AB346" s="4"/>
      <c r="AC346" s="49">
        <v>-11.997563</v>
      </c>
      <c r="AD346" s="49">
        <v>-76.900062000000005</v>
      </c>
      <c r="AE346" s="19" t="str">
        <f>IFERROR(VLOOKUP(C346,tdcargo[],2,FALSE),"DESCONOCIDO")</f>
        <v>OPERARIO</v>
      </c>
    </row>
    <row r="347" spans="1:31" hidden="1" x14ac:dyDescent="0.35">
      <c r="A347" s="8">
        <v>76617426</v>
      </c>
      <c r="B347" s="4" t="s">
        <v>3142</v>
      </c>
      <c r="C347" s="4" t="s">
        <v>1971</v>
      </c>
      <c r="D347" s="5">
        <v>46055</v>
      </c>
      <c r="E347" s="4" t="s">
        <v>31</v>
      </c>
      <c r="F347" s="4" t="s">
        <v>36</v>
      </c>
      <c r="G347" s="4" t="s">
        <v>3143</v>
      </c>
      <c r="H347" s="4" t="s">
        <v>2203</v>
      </c>
      <c r="I347" s="4" t="s">
        <v>1968</v>
      </c>
      <c r="J347" s="4" t="s">
        <v>1968</v>
      </c>
      <c r="K347" s="4" t="s">
        <v>2203</v>
      </c>
      <c r="L347" s="4" t="s">
        <v>1861</v>
      </c>
      <c r="M347" s="4" t="s">
        <v>88</v>
      </c>
      <c r="N347" s="4" t="s">
        <v>3144</v>
      </c>
      <c r="O347" s="4" t="s">
        <v>37</v>
      </c>
      <c r="P347" s="4" t="s">
        <v>37</v>
      </c>
      <c r="Q347" s="10" t="s">
        <v>38</v>
      </c>
      <c r="R347" s="4" t="str">
        <f t="shared" si="23"/>
        <v>Aa.Hh. 11, Lote 11, Mz. D, A.H. Asentamiento Humano LA QUINTA, San Juan De Lurigancho, Lima, Lima, Perú</v>
      </c>
      <c r="S347" s="4">
        <v>-11.968261</v>
      </c>
      <c r="T347" s="4">
        <v>-76.995335600000004</v>
      </c>
      <c r="U347" s="30">
        <f t="shared" si="24"/>
        <v>10.86</v>
      </c>
      <c r="V347" s="4" t="str">
        <f t="shared" si="25"/>
        <v>🟠 Moderada (10-20 km)</v>
      </c>
      <c r="W347" s="19" t="str" cm="1">
        <f t="array" ref="W347">_xlfn.LET(_xlpm.lat_emp,S347,_xlpm.lon_emp,T347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347" s="19" t="str">
        <f>_xlfn.LET(_xlpm.paradero,W347,INDEX(PARADEROS_VALIDOS!$A$2:$A$67,MATCH(_xlpm.paradero,PARADEROS_VALIDOS!$C$2:$C$67,0)))</f>
        <v>RUTA 6A</v>
      </c>
      <c r="Y347" s="29" cm="1">
        <f t="array" ref="Y347">_xlfn.LET(_xlpm.lat_emp,S347,_xlpm.lon_emp,T347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0.91</v>
      </c>
      <c r="Z347" s="4" t="str">
        <f t="shared" si="26"/>
        <v>🟢 Muy Cerca (0-1 km)</v>
      </c>
      <c r="AA347" s="4"/>
      <c r="AB347" s="4"/>
      <c r="AC347" s="49">
        <v>-11.997563</v>
      </c>
      <c r="AD347" s="49">
        <v>-76.900062000000005</v>
      </c>
      <c r="AE347" s="19" t="str">
        <f>IFERROR(VLOOKUP(C347,tdcargo[],2,FALSE),"DESCONOCIDO")</f>
        <v>OPERARIO</v>
      </c>
    </row>
    <row r="348" spans="1:31" hidden="1" x14ac:dyDescent="0.35">
      <c r="A348" s="8">
        <v>73978372</v>
      </c>
      <c r="B348" s="4" t="s">
        <v>3145</v>
      </c>
      <c r="C348" s="4" t="s">
        <v>1971</v>
      </c>
      <c r="D348" s="5">
        <v>46062</v>
      </c>
      <c r="E348" s="4" t="s">
        <v>31</v>
      </c>
      <c r="F348" s="4" t="s">
        <v>36</v>
      </c>
      <c r="G348" s="4" t="s">
        <v>3146</v>
      </c>
      <c r="H348" s="4" t="s">
        <v>1956</v>
      </c>
      <c r="I348" s="4" t="s">
        <v>1968</v>
      </c>
      <c r="J348" s="4" t="s">
        <v>1968</v>
      </c>
      <c r="K348" s="4" t="s">
        <v>1968</v>
      </c>
      <c r="L348" s="4" t="s">
        <v>1968</v>
      </c>
      <c r="M348" s="4" t="s">
        <v>36</v>
      </c>
      <c r="N348" s="4" t="s">
        <v>3147</v>
      </c>
      <c r="O348" s="4" t="s">
        <v>37</v>
      </c>
      <c r="P348" s="4" t="s">
        <v>37</v>
      </c>
      <c r="Q348" s="10" t="s">
        <v>37</v>
      </c>
      <c r="R348" s="4" t="str">
        <f t="shared" si="23"/>
        <v>Ucv 129 Lt 56 Zona H ZONA H HUAYCAN, Lima, Lima, Lima, Perú</v>
      </c>
      <c r="S348" s="4">
        <v>-12.010009</v>
      </c>
      <c r="T348" s="4">
        <v>-76.827871599999995</v>
      </c>
      <c r="U348" s="30">
        <f t="shared" si="24"/>
        <v>7.97</v>
      </c>
      <c r="V348" s="4" t="str">
        <f t="shared" si="25"/>
        <v>🟡 Cerca (5-10 km)</v>
      </c>
      <c r="W348" s="19" t="str" cm="1">
        <f t="array" ref="W348">_xlfn.LET(_xlpm.lat_emp,S348,_xlpm.lon_emp,T348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Horacio</v>
      </c>
      <c r="X348" s="19" t="str">
        <f>_xlfn.LET(_xlpm.paradero,W348,INDEX(PARADEROS_VALIDOS!$A$2:$A$67,MATCH(_xlpm.paradero,PARADEROS_VALIDOS!$C$2:$C$67,0)))</f>
        <v>RUTA 5B</v>
      </c>
      <c r="Y348" s="29" cm="1">
        <f t="array" ref="Y348">_xlfn.LET(_xlpm.lat_emp,S348,_xlpm.lon_emp,T348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1.55</v>
      </c>
      <c r="Z348" s="4" t="str">
        <f t="shared" si="26"/>
        <v>🟡 Cerca (1-3 km)</v>
      </c>
      <c r="AA348" s="4"/>
      <c r="AB348" s="4"/>
      <c r="AC348" s="49">
        <v>-11.997563</v>
      </c>
      <c r="AD348" s="49">
        <v>-76.900062000000005</v>
      </c>
      <c r="AE348" s="19" t="str">
        <f>IFERROR(VLOOKUP(C348,tdcargo[],2,FALSE),"DESCONOCIDO")</f>
        <v>OPERARIO</v>
      </c>
    </row>
    <row r="349" spans="1:31" hidden="1" x14ac:dyDescent="0.35">
      <c r="A349" s="8">
        <v>90323458</v>
      </c>
      <c r="B349" s="4" t="s">
        <v>3148</v>
      </c>
      <c r="C349" s="4" t="s">
        <v>1971</v>
      </c>
      <c r="D349" s="5">
        <v>46062</v>
      </c>
      <c r="E349" s="4" t="s">
        <v>31</v>
      </c>
      <c r="F349" s="4" t="s">
        <v>82</v>
      </c>
      <c r="G349" s="4" t="s">
        <v>3149</v>
      </c>
      <c r="H349" s="4" t="s">
        <v>1995</v>
      </c>
      <c r="I349" s="4" t="s">
        <v>1968</v>
      </c>
      <c r="J349" s="4" t="s">
        <v>1968</v>
      </c>
      <c r="K349" s="4" t="s">
        <v>1996</v>
      </c>
      <c r="L349" s="4" t="s">
        <v>2087</v>
      </c>
      <c r="M349" s="4" t="s">
        <v>36</v>
      </c>
      <c r="N349" s="4" t="s">
        <v>3150</v>
      </c>
      <c r="O349" s="4" t="s">
        <v>37</v>
      </c>
      <c r="P349" s="4" t="s">
        <v>37</v>
      </c>
      <c r="Q349" s="10" t="s">
        <v>57</v>
      </c>
      <c r="R349" s="4" t="str">
        <f t="shared" si="23"/>
        <v>Calle 1 Asent.H 1, Lote 2, Mz. A1 PEDREGAL SANTA CLARA, Ate, Lima, Lima, Perú</v>
      </c>
      <c r="S349" s="4">
        <v>-12.019159800000001</v>
      </c>
      <c r="T349" s="4">
        <v>-76.891021499999994</v>
      </c>
      <c r="U349" s="30">
        <f t="shared" si="24"/>
        <v>2.59</v>
      </c>
      <c r="V349" s="4" t="str">
        <f t="shared" si="25"/>
        <v>🟢 Muy Cerca (0-5 km)</v>
      </c>
      <c r="W349" s="19" t="str" cm="1">
        <f t="array" ref="W349">_xlfn.LET(_xlpm.lat_emp,S349,_xlpm.lon_emp,T349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Sta. Clara</v>
      </c>
      <c r="X349" s="19" t="str">
        <f>_xlfn.LET(_xlpm.paradero,W349,INDEX(PARADEROS_VALIDOS!$A$2:$A$67,MATCH(_xlpm.paradero,PARADEROS_VALIDOS!$C$2:$C$67,0)))</f>
        <v>RUTA 5C</v>
      </c>
      <c r="Y349" s="29" cm="1">
        <f t="array" ref="Y349">_xlfn.LET(_xlpm.lat_emp,S349,_xlpm.lon_emp,T349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0.79</v>
      </c>
      <c r="Z349" s="4" t="str">
        <f t="shared" si="26"/>
        <v>🟢 Muy Cerca (0-1 km)</v>
      </c>
      <c r="AA349" s="4"/>
      <c r="AB349" s="4"/>
      <c r="AC349" s="49">
        <v>-11.997563</v>
      </c>
      <c r="AD349" s="49">
        <v>-76.900062000000005</v>
      </c>
      <c r="AE349" s="19" t="str">
        <f>IFERROR(VLOOKUP(C349,tdcargo[],2,FALSE),"DESCONOCIDO")</f>
        <v>OPERARIO</v>
      </c>
    </row>
    <row r="350" spans="1:31" x14ac:dyDescent="0.35">
      <c r="A350" s="8">
        <v>72542567</v>
      </c>
      <c r="B350" s="4" t="s">
        <v>3151</v>
      </c>
      <c r="C350" s="4" t="s">
        <v>1971</v>
      </c>
      <c r="D350" s="5">
        <v>46062</v>
      </c>
      <c r="E350" s="4" t="s">
        <v>31</v>
      </c>
      <c r="F350" s="4" t="s">
        <v>82</v>
      </c>
      <c r="G350" s="4" t="s">
        <v>3152</v>
      </c>
      <c r="H350" s="4" t="s">
        <v>2114</v>
      </c>
      <c r="I350" s="4" t="s">
        <v>1968</v>
      </c>
      <c r="J350" s="4" t="s">
        <v>1968</v>
      </c>
      <c r="K350" s="4" t="s">
        <v>1995</v>
      </c>
      <c r="L350" s="4" t="s">
        <v>1461</v>
      </c>
      <c r="M350" s="4" t="s">
        <v>36</v>
      </c>
      <c r="N350" s="4" t="s">
        <v>3153</v>
      </c>
      <c r="O350" s="4" t="s">
        <v>37</v>
      </c>
      <c r="P350" s="4" t="s">
        <v>37</v>
      </c>
      <c r="Q350" s="10" t="s">
        <v>76</v>
      </c>
      <c r="R350" s="4" t="str">
        <f t="shared" si="23"/>
        <v>Calle El Remanzo 10, Lote 1, Mz. C EL REMANZO, Lurigancho, Lima, Lima, Perú</v>
      </c>
      <c r="S350" s="4">
        <v>-12.0934683</v>
      </c>
      <c r="T350" s="4">
        <v>-76.947742199999993</v>
      </c>
      <c r="U350" s="30">
        <f t="shared" si="24"/>
        <v>11.86</v>
      </c>
      <c r="V350" s="4" t="str">
        <f t="shared" si="25"/>
        <v>🟠 Moderada (10-20 km)</v>
      </c>
      <c r="W350" s="19" t="str" cm="1">
        <f t="array" ref="W350">_xlfn.LET(_xlpm.lat_emp,S350,_xlpm.lon_emp,T350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Javier Prado</v>
      </c>
      <c r="X350" s="19" t="str">
        <f>_xlfn.LET(_xlpm.paradero,W350,INDEX(PARADEROS_VALIDOS!$A$2:$A$67,MATCH(_xlpm.paradero,PARADEROS_VALIDOS!$C$2:$C$67,0)))</f>
        <v>RUTA 7</v>
      </c>
      <c r="Y350" s="29" cm="1">
        <f t="array" ref="Y350">_xlfn.LET(_xlpm.lat_emp,S350,_xlpm.lon_emp,T350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3.7</v>
      </c>
      <c r="Z350" s="4" t="str">
        <f t="shared" si="26"/>
        <v>🟠 Moderada (3-5 km)</v>
      </c>
      <c r="AA350" s="4"/>
      <c r="AB350" s="4"/>
      <c r="AC350" s="49">
        <v>-11.997563</v>
      </c>
      <c r="AD350" s="49">
        <v>-76.900062000000005</v>
      </c>
      <c r="AE350" s="19" t="str">
        <f>IFERROR(VLOOKUP(C350,tdcargo[],2,FALSE),"DESCONOCIDO")</f>
        <v>OPERARIO</v>
      </c>
    </row>
    <row r="351" spans="1:31" hidden="1" x14ac:dyDescent="0.35">
      <c r="A351" s="8">
        <v>61665562</v>
      </c>
      <c r="B351" s="4" t="s">
        <v>3154</v>
      </c>
      <c r="C351" s="4" t="s">
        <v>1971</v>
      </c>
      <c r="D351" s="5">
        <v>45449</v>
      </c>
      <c r="E351" s="4" t="s">
        <v>31</v>
      </c>
      <c r="F351" s="4" t="s">
        <v>34</v>
      </c>
      <c r="G351" s="4" t="s">
        <v>3155</v>
      </c>
      <c r="H351" s="4" t="s">
        <v>2393</v>
      </c>
      <c r="I351" s="4" t="s">
        <v>1968</v>
      </c>
      <c r="J351" s="4" t="s">
        <v>1968</v>
      </c>
      <c r="K351" s="4" t="s">
        <v>1968</v>
      </c>
      <c r="L351" s="4" t="s">
        <v>1968</v>
      </c>
      <c r="M351" s="4" t="s">
        <v>36</v>
      </c>
      <c r="N351" s="4" t="s">
        <v>3156</v>
      </c>
      <c r="O351" s="4" t="s">
        <v>37</v>
      </c>
      <c r="P351" s="4" t="s">
        <v>37</v>
      </c>
      <c r="Q351" s="10" t="s">
        <v>57</v>
      </c>
      <c r="R351" s="4" t="str">
        <f t="shared" si="23"/>
        <v>Avenida 15 De Julio Huaycan 53 Ucv139 Zona I, Ate, Lima, Lima, Perú</v>
      </c>
      <c r="S351" s="4">
        <v>-12.016420999999999</v>
      </c>
      <c r="T351" s="4">
        <v>-76.825003800000005</v>
      </c>
      <c r="U351" s="30">
        <f t="shared" si="24"/>
        <v>8.43</v>
      </c>
      <c r="V351" s="4" t="str">
        <f t="shared" si="25"/>
        <v>🟡 Cerca (5-10 km)</v>
      </c>
      <c r="W351" s="19" t="str" cm="1">
        <f t="array" ref="W351">_xlfn.LET(_xlpm.lat_emp,S351,_xlpm.lon_emp,T351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351" s="19" t="str">
        <f>_xlfn.LET(_xlpm.paradero,W351,INDEX(PARADEROS_VALIDOS!$A$2:$A$67,MATCH(_xlpm.paradero,PARADEROS_VALIDOS!$C$2:$C$67,0)))</f>
        <v>RUTA 3</v>
      </c>
      <c r="Y351" s="29" cm="1">
        <f t="array" ref="Y351">_xlfn.LET(_xlpm.lat_emp,S351,_xlpm.lon_emp,T351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1.08</v>
      </c>
      <c r="Z351" s="4" t="str">
        <f t="shared" si="26"/>
        <v>🟡 Cerca (1-3 km)</v>
      </c>
      <c r="AA351" s="4"/>
      <c r="AB351" s="4"/>
      <c r="AC351" s="49">
        <v>-11.997563</v>
      </c>
      <c r="AD351" s="49">
        <v>-76.900062000000005</v>
      </c>
      <c r="AE351" s="19" t="str">
        <f>IFERROR(VLOOKUP(C351,tdcargo[],2,FALSE),"DESCONOCIDO")</f>
        <v>OPERARIO</v>
      </c>
    </row>
    <row r="352" spans="1:31" hidden="1" x14ac:dyDescent="0.35">
      <c r="A352" s="8">
        <v>60073694</v>
      </c>
      <c r="B352" s="4" t="s">
        <v>3157</v>
      </c>
      <c r="C352" s="4" t="s">
        <v>1971</v>
      </c>
      <c r="D352" s="5">
        <v>45918</v>
      </c>
      <c r="E352" s="4" t="s">
        <v>31</v>
      </c>
      <c r="F352" s="4" t="s">
        <v>82</v>
      </c>
      <c r="G352" s="4" t="s">
        <v>748</v>
      </c>
      <c r="H352" s="4" t="s">
        <v>3158</v>
      </c>
      <c r="I352" s="4" t="s">
        <v>1968</v>
      </c>
      <c r="J352" s="4" t="s">
        <v>1968</v>
      </c>
      <c r="K352" s="4" t="s">
        <v>1968</v>
      </c>
      <c r="L352" s="4" t="s">
        <v>3159</v>
      </c>
      <c r="M352" s="4" t="s">
        <v>36</v>
      </c>
      <c r="N352" s="4" t="s">
        <v>3160</v>
      </c>
      <c r="O352" s="4" t="s">
        <v>37</v>
      </c>
      <c r="P352" s="4" t="s">
        <v>37</v>
      </c>
      <c r="Q352" s="10" t="s">
        <v>76</v>
      </c>
      <c r="R352" s="4" t="str">
        <f t="shared" si="23"/>
        <v>Calle Nieveria 9393, Mz. MF La Rinconada, Lurigancho, Lima, Lima, Perú</v>
      </c>
      <c r="S352" s="4">
        <v>-12.00135</v>
      </c>
      <c r="T352" s="4">
        <v>-76.92501</v>
      </c>
      <c r="U352" s="30">
        <f t="shared" si="24"/>
        <v>2.75</v>
      </c>
      <c r="V352" s="4" t="str">
        <f t="shared" si="25"/>
        <v>🟢 Muy Cerca (0-5 km)</v>
      </c>
      <c r="W352" s="19" t="str" cm="1">
        <f t="array" ref="W352">_xlfn.LET(_xlpm.lat_emp,S352,_xlpm.lon_emp,T352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Estadio Huachipa</v>
      </c>
      <c r="X352" s="19" t="str">
        <f>_xlfn.LET(_xlpm.paradero,W352,INDEX(PARADEROS_VALIDOS!$A$2:$A$67,MATCH(_xlpm.paradero,PARADEROS_VALIDOS!$C$2:$C$67,0)))</f>
        <v>RUTA 5C</v>
      </c>
      <c r="Y352" s="29" cm="1">
        <f t="array" ref="Y352">_xlfn.LET(_xlpm.lat_emp,S352,_xlpm.lon_emp,T352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1.7</v>
      </c>
      <c r="Z352" s="4" t="str">
        <f t="shared" si="26"/>
        <v>🟡 Cerca (1-3 km)</v>
      </c>
      <c r="AA352" s="4"/>
      <c r="AB352" s="4"/>
      <c r="AC352" s="49">
        <v>-11.997563</v>
      </c>
      <c r="AD352" s="49">
        <v>-76.900062000000005</v>
      </c>
      <c r="AE352" s="19" t="str">
        <f>IFERROR(VLOOKUP(C352,tdcargo[],2,FALSE),"DESCONOCIDO")</f>
        <v>OPERARIO</v>
      </c>
    </row>
    <row r="353" spans="1:31" hidden="1" x14ac:dyDescent="0.35">
      <c r="A353" s="8">
        <v>70629717</v>
      </c>
      <c r="B353" s="4" t="s">
        <v>3161</v>
      </c>
      <c r="C353" s="4" t="s">
        <v>1971</v>
      </c>
      <c r="D353" s="5">
        <v>46083</v>
      </c>
      <c r="E353" s="4" t="s">
        <v>31</v>
      </c>
      <c r="F353" s="4" t="s">
        <v>793</v>
      </c>
      <c r="G353" s="4" t="s">
        <v>568</v>
      </c>
      <c r="H353" s="4" t="s">
        <v>1956</v>
      </c>
      <c r="I353" s="4" t="s">
        <v>1968</v>
      </c>
      <c r="J353" s="4" t="s">
        <v>1968</v>
      </c>
      <c r="K353" s="4" t="s">
        <v>2288</v>
      </c>
      <c r="L353" s="4" t="s">
        <v>3162</v>
      </c>
      <c r="M353" s="4" t="s">
        <v>36</v>
      </c>
      <c r="N353" s="4" t="s">
        <v>2657</v>
      </c>
      <c r="O353" s="4" t="s">
        <v>37</v>
      </c>
      <c r="P353" s="4" t="s">
        <v>37</v>
      </c>
      <c r="Q353" s="10" t="s">
        <v>118</v>
      </c>
      <c r="R353" s="4" t="str">
        <f t="shared" si="23"/>
        <v>Carretera Carretera Central, Lote 18, Mz. T1 HUASCATA, Chaclacayo, Lima, Lima, Perú</v>
      </c>
      <c r="S353" s="4">
        <v>-11.994911</v>
      </c>
      <c r="T353" s="4">
        <v>-76.820873000000006</v>
      </c>
      <c r="U353" s="30">
        <f t="shared" si="24"/>
        <v>8.6199999999999992</v>
      </c>
      <c r="V353" s="4" t="str">
        <f t="shared" si="25"/>
        <v>🟡 Cerca (5-10 km)</v>
      </c>
      <c r="W353" s="19" t="str" cm="1">
        <f t="array" ref="W353">_xlfn.LET(_xlpm.lat_emp,S353,_xlpm.lon_emp,T353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Ñaña</v>
      </c>
      <c r="X353" s="19" t="str">
        <f>_xlfn.LET(_xlpm.paradero,W353,INDEX(PARADEROS_VALIDOS!$A$2:$A$67,MATCH(_xlpm.paradero,PARADEROS_VALIDOS!$C$2:$C$67,0)))</f>
        <v>RUTA 5A</v>
      </c>
      <c r="Y353" s="29" cm="1">
        <f t="array" ref="Y353">_xlfn.LET(_xlpm.lat_emp,S353,_xlpm.lon_emp,T353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0.69</v>
      </c>
      <c r="Z353" s="4" t="str">
        <f t="shared" si="26"/>
        <v>🟢 Muy Cerca (0-1 km)</v>
      </c>
      <c r="AA353" s="4"/>
      <c r="AB353" s="4"/>
      <c r="AC353" s="49">
        <v>-11.997563</v>
      </c>
      <c r="AD353" s="49">
        <v>-76.900062000000005</v>
      </c>
      <c r="AE353" s="19" t="str">
        <f>IFERROR(VLOOKUP(C353,tdcargo[],2,FALSE),"DESCONOCIDO")</f>
        <v>OPERARIO</v>
      </c>
    </row>
    <row r="354" spans="1:31" hidden="1" x14ac:dyDescent="0.35">
      <c r="A354" s="8">
        <v>76120406</v>
      </c>
      <c r="B354" s="4" t="s">
        <v>3166</v>
      </c>
      <c r="C354" s="4" t="s">
        <v>1971</v>
      </c>
      <c r="D354" s="5">
        <v>46055</v>
      </c>
      <c r="E354" s="4" t="s">
        <v>31</v>
      </c>
      <c r="F354" s="4" t="s">
        <v>82</v>
      </c>
      <c r="G354" s="4" t="s">
        <v>2170</v>
      </c>
      <c r="H354" s="4" t="s">
        <v>1956</v>
      </c>
      <c r="I354" s="4" t="s">
        <v>1968</v>
      </c>
      <c r="J354" s="4" t="s">
        <v>1968</v>
      </c>
      <c r="K354" s="4" t="s">
        <v>2347</v>
      </c>
      <c r="L354" s="4" t="s">
        <v>3167</v>
      </c>
      <c r="M354" s="4" t="s">
        <v>186</v>
      </c>
      <c r="N354" s="4" t="s">
        <v>2792</v>
      </c>
      <c r="O354" s="4" t="s">
        <v>37</v>
      </c>
      <c r="P354" s="4" t="s">
        <v>37</v>
      </c>
      <c r="Q354" s="10" t="s">
        <v>38</v>
      </c>
      <c r="R354" s="4" t="str">
        <f t="shared" si="23"/>
        <v>Calle Sol De Jicamarca, Lote 4, Mz. M0, Urb. Urbanización EL SOL DE JICAMARCA, San Juan De Lurigancho, Lima, Lima, Perú</v>
      </c>
      <c r="S354" s="4">
        <v>-11.918732800000001</v>
      </c>
      <c r="T354" s="4">
        <v>-76.962915300000006</v>
      </c>
      <c r="U354" s="30">
        <f t="shared" si="24"/>
        <v>11.12</v>
      </c>
      <c r="V354" s="4" t="str">
        <f t="shared" si="25"/>
        <v>🟠 Moderada (10-20 km)</v>
      </c>
      <c r="W354" s="19" t="str" cm="1">
        <f t="array" ref="W354">_xlfn.LET(_xlpm.lat_emp,S354,_xlpm.lon_emp,T354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Acho</v>
      </c>
      <c r="X354" s="19" t="str">
        <f>_xlfn.LET(_xlpm.paradero,W354,INDEX(PARADEROS_VALIDOS!$A$2:$A$67,MATCH(_xlpm.paradero,PARADEROS_VALIDOS!$C$2:$C$67,0)))</f>
        <v>RUTA 8</v>
      </c>
      <c r="Y354" s="29" cm="1">
        <f t="array" ref="Y354">_xlfn.LET(_xlpm.lat_emp,S354,_xlpm.lon_emp,T354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7.45</v>
      </c>
      <c r="Z354" s="4" t="str">
        <f t="shared" si="26"/>
        <v>🔴 Lejos (&gt;5 km)</v>
      </c>
      <c r="AA354" s="4"/>
      <c r="AB354" s="4"/>
      <c r="AC354" s="49">
        <v>-11.997563</v>
      </c>
      <c r="AD354" s="49">
        <v>-76.900062000000005</v>
      </c>
      <c r="AE354" s="19" t="str">
        <f>IFERROR(VLOOKUP(C354,tdcargo[],2,FALSE),"DESCONOCIDO")</f>
        <v>OPERARIO</v>
      </c>
    </row>
    <row r="355" spans="1:31" hidden="1" x14ac:dyDescent="0.35">
      <c r="A355" s="8">
        <v>61074668</v>
      </c>
      <c r="B355" s="4" t="s">
        <v>3168</v>
      </c>
      <c r="C355" s="4" t="s">
        <v>1971</v>
      </c>
      <c r="D355" s="5">
        <v>46072</v>
      </c>
      <c r="E355" s="4" t="s">
        <v>31</v>
      </c>
      <c r="F355" s="4" t="s">
        <v>148</v>
      </c>
      <c r="G355" s="4" t="s">
        <v>3169</v>
      </c>
      <c r="H355" s="4" t="s">
        <v>2275</v>
      </c>
      <c r="I355" s="4" t="s">
        <v>1968</v>
      </c>
      <c r="J355" s="4" t="s">
        <v>2168</v>
      </c>
      <c r="K355" s="4" t="s">
        <v>2275</v>
      </c>
      <c r="L355" s="4" t="s">
        <v>1974</v>
      </c>
      <c r="M355" s="4" t="s">
        <v>36</v>
      </c>
      <c r="N355" s="4" t="s">
        <v>3170</v>
      </c>
      <c r="O355" s="4" t="s">
        <v>37</v>
      </c>
      <c r="P355" s="4" t="s">
        <v>37</v>
      </c>
      <c r="Q355" s="10" t="s">
        <v>76</v>
      </c>
      <c r="R355" s="4" t="str">
        <f t="shared" si="23"/>
        <v>Pasaje Av La Paz 32, Int. 13, Lote 32, Mz. B LA CAPITANA HUACHIPA, Lurigancho, Lima, Lima, Perú</v>
      </c>
      <c r="S355" s="4">
        <v>-12.0197799</v>
      </c>
      <c r="T355" s="4">
        <v>-76.920549399999999</v>
      </c>
      <c r="U355" s="30">
        <f t="shared" si="24"/>
        <v>3.33</v>
      </c>
      <c r="V355" s="4" t="str">
        <f t="shared" si="25"/>
        <v>🟢 Muy Cerca (0-5 km)</v>
      </c>
      <c r="W355" s="19" t="str" cm="1">
        <f t="array" ref="W355">_xlfn.LET(_xlpm.lat_emp,S355,_xlpm.lon_emp,T355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Panadería Marcela (cruce de la carretera central, con Av. Jose Carlos Mariátegui)</v>
      </c>
      <c r="X355" s="19" t="str">
        <f>_xlfn.LET(_xlpm.paradero,W355,INDEX(PARADEROS_VALIDOS!$A$2:$A$67,MATCH(_xlpm.paradero,PARADEROS_VALIDOS!$C$2:$C$67,0)))</f>
        <v>RUTA 4B</v>
      </c>
      <c r="Y355" s="29" cm="1">
        <f t="array" ref="Y355">_xlfn.LET(_xlpm.lat_emp,S355,_xlpm.lon_emp,T355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0.76</v>
      </c>
      <c r="Z355" s="4" t="str">
        <f t="shared" si="26"/>
        <v>🟢 Muy Cerca (0-1 km)</v>
      </c>
      <c r="AA355" s="4"/>
      <c r="AB355" s="4"/>
      <c r="AC355" s="49">
        <v>-11.997563</v>
      </c>
      <c r="AD355" s="49">
        <v>-76.900062000000005</v>
      </c>
      <c r="AE355" s="19" t="str">
        <f>IFERROR(VLOOKUP(C355,tdcargo[],2,FALSE),"DESCONOCIDO")</f>
        <v>OPERARIO</v>
      </c>
    </row>
    <row r="356" spans="1:31" hidden="1" x14ac:dyDescent="0.35">
      <c r="A356" s="8">
        <v>60446480</v>
      </c>
      <c r="B356" s="4" t="s">
        <v>3171</v>
      </c>
      <c r="C356" s="4" t="s">
        <v>1971</v>
      </c>
      <c r="D356" s="5">
        <v>45748</v>
      </c>
      <c r="E356" s="4" t="s">
        <v>31</v>
      </c>
      <c r="F356" s="4" t="s">
        <v>36</v>
      </c>
      <c r="G356" s="4" t="s">
        <v>3172</v>
      </c>
      <c r="H356" s="4" t="s">
        <v>3173</v>
      </c>
      <c r="I356" s="4" t="s">
        <v>1968</v>
      </c>
      <c r="J356" s="4" t="s">
        <v>1968</v>
      </c>
      <c r="K356" s="4" t="s">
        <v>1968</v>
      </c>
      <c r="L356" s="4" t="s">
        <v>1968</v>
      </c>
      <c r="M356" s="4" t="s">
        <v>36</v>
      </c>
      <c r="N356" s="4" t="s">
        <v>526</v>
      </c>
      <c r="O356" s="4" t="s">
        <v>37</v>
      </c>
      <c r="P356" s="4" t="s">
        <v>37</v>
      </c>
      <c r="Q356" s="10" t="s">
        <v>38</v>
      </c>
      <c r="R356" s="4" t="str">
        <f t="shared" si="23"/>
        <v>Los Abogados 4224 Jaime Zubieta, San Juan De Lurigancho, Lima, Lima, Perú</v>
      </c>
      <c r="S356" s="4">
        <v>-11.9633322</v>
      </c>
      <c r="T356" s="4">
        <v>-76.988935799999993</v>
      </c>
      <c r="U356" s="30">
        <f t="shared" si="24"/>
        <v>10.39</v>
      </c>
      <c r="V356" s="4" t="str">
        <f t="shared" si="25"/>
        <v>🟠 Moderada (10-20 km)</v>
      </c>
      <c r="W356" s="19" t="str" cm="1">
        <f t="array" ref="W356">_xlfn.LET(_xlpm.lat_emp,S356,_xlpm.lon_emp,T356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356" s="19" t="str">
        <f>_xlfn.LET(_xlpm.paradero,W356,INDEX(PARADEROS_VALIDOS!$A$2:$A$67,MATCH(_xlpm.paradero,PARADEROS_VALIDOS!$C$2:$C$67,0)))</f>
        <v>RUTA 6A</v>
      </c>
      <c r="Y356" s="29" cm="1">
        <f t="array" ref="Y356">_xlfn.LET(_xlpm.lat_emp,S356,_xlpm.lon_emp,T356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1.78</v>
      </c>
      <c r="Z356" s="4" t="str">
        <f t="shared" si="26"/>
        <v>🟡 Cerca (1-3 km)</v>
      </c>
      <c r="AA356" s="4"/>
      <c r="AB356" s="4"/>
      <c r="AC356" s="49">
        <v>-11.997563</v>
      </c>
      <c r="AD356" s="49">
        <v>-76.900062000000005</v>
      </c>
      <c r="AE356" s="19" t="str">
        <f>IFERROR(VLOOKUP(C356,tdcargo[],2,FALSE),"DESCONOCIDO")</f>
        <v>OPERARIO</v>
      </c>
    </row>
    <row r="357" spans="1:31" hidden="1" x14ac:dyDescent="0.35">
      <c r="A357" s="8">
        <v>76016738</v>
      </c>
      <c r="B357" s="4" t="s">
        <v>3174</v>
      </c>
      <c r="C357" s="4" t="s">
        <v>1971</v>
      </c>
      <c r="D357" s="5">
        <v>46041</v>
      </c>
      <c r="E357" s="4" t="s">
        <v>31</v>
      </c>
      <c r="F357" s="4" t="s">
        <v>34</v>
      </c>
      <c r="G357" s="4" t="s">
        <v>908</v>
      </c>
      <c r="H357" s="4" t="s">
        <v>2052</v>
      </c>
      <c r="I357" s="4" t="s">
        <v>1968</v>
      </c>
      <c r="J357" s="4" t="s">
        <v>1968</v>
      </c>
      <c r="K357" s="4" t="s">
        <v>1278</v>
      </c>
      <c r="L357" s="4" t="s">
        <v>1968</v>
      </c>
      <c r="M357" s="4" t="s">
        <v>186</v>
      </c>
      <c r="N357" s="4" t="s">
        <v>3175</v>
      </c>
      <c r="O357" s="4" t="s">
        <v>37</v>
      </c>
      <c r="P357" s="4" t="s">
        <v>37</v>
      </c>
      <c r="Q357" s="10" t="s">
        <v>57</v>
      </c>
      <c r="R357" s="4" t="str">
        <f t="shared" si="23"/>
        <v>Avenida Jose Carlos Mariateg 12, Lote A, Urb. Urbanización SAN GREGORIO, Ate, Lima, Lima, Perú</v>
      </c>
      <c r="S357" s="4">
        <v>-12.0248565</v>
      </c>
      <c r="T357" s="4">
        <v>-76.902765099999996</v>
      </c>
      <c r="U357" s="30">
        <f t="shared" si="24"/>
        <v>3.05</v>
      </c>
      <c r="V357" s="4" t="str">
        <f t="shared" si="25"/>
        <v>🟢 Muy Cerca (0-5 km)</v>
      </c>
      <c r="W357" s="19" t="str" cm="1">
        <f t="array" ref="W357">_xlfn.LET(_xlpm.lat_emp,S357,_xlpm.lon_emp,T357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Esperanza</v>
      </c>
      <c r="X357" s="19" t="str">
        <f>_xlfn.LET(_xlpm.paradero,W357,INDEX(PARADEROS_VALIDOS!$A$2:$A$67,MATCH(_xlpm.paradero,PARADEROS_VALIDOS!$C$2:$C$67,0)))</f>
        <v>RUTA 4B</v>
      </c>
      <c r="Y357" s="29" cm="1">
        <f t="array" ref="Y357">_xlfn.LET(_xlpm.lat_emp,S357,_xlpm.lon_emp,T357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0.56999999999999995</v>
      </c>
      <c r="Z357" s="4" t="str">
        <f t="shared" si="26"/>
        <v>🟢 Muy Cerca (0-1 km)</v>
      </c>
      <c r="AA357" s="4"/>
      <c r="AB357" s="4"/>
      <c r="AC357" s="49">
        <v>-11.997563</v>
      </c>
      <c r="AD357" s="49">
        <v>-76.900062000000005</v>
      </c>
      <c r="AE357" s="19" t="str">
        <f>IFERROR(VLOOKUP(C357,tdcargo[],2,FALSE),"DESCONOCIDO")</f>
        <v>OPERARIO</v>
      </c>
    </row>
    <row r="358" spans="1:31" hidden="1" x14ac:dyDescent="0.35">
      <c r="A358" s="8">
        <v>71516940</v>
      </c>
      <c r="B358" s="4" t="s">
        <v>3176</v>
      </c>
      <c r="C358" s="4" t="s">
        <v>1971</v>
      </c>
      <c r="D358" s="5">
        <v>45915</v>
      </c>
      <c r="E358" s="4" t="s">
        <v>31</v>
      </c>
      <c r="F358" s="4" t="s">
        <v>82</v>
      </c>
      <c r="G358" s="4" t="s">
        <v>3177</v>
      </c>
      <c r="H358" s="4" t="s">
        <v>2086</v>
      </c>
      <c r="I358" s="4" t="s">
        <v>1968</v>
      </c>
      <c r="J358" s="4" t="s">
        <v>1968</v>
      </c>
      <c r="K358" s="4" t="s">
        <v>2086</v>
      </c>
      <c r="L358" s="4" t="s">
        <v>1861</v>
      </c>
      <c r="M358" s="4" t="s">
        <v>36</v>
      </c>
      <c r="N358" s="4" t="s">
        <v>3178</v>
      </c>
      <c r="O358" s="4" t="s">
        <v>37</v>
      </c>
      <c r="P358" s="4" t="s">
        <v>37</v>
      </c>
      <c r="Q358" s="10" t="s">
        <v>76</v>
      </c>
      <c r="R358" s="4" t="str">
        <f t="shared" si="23"/>
        <v>Calle Francia 9, Lote 9, Mz. D Asco. La Encantada D, Lurigancho, Lima, Lima, Perú</v>
      </c>
      <c r="S358" s="4">
        <v>-12.009236700000001</v>
      </c>
      <c r="T358" s="4">
        <v>-76.953804500000004</v>
      </c>
      <c r="U358" s="30">
        <f t="shared" si="24"/>
        <v>5.99</v>
      </c>
      <c r="V358" s="4" t="str">
        <f t="shared" si="25"/>
        <v>🟡 Cerca (5-10 km)</v>
      </c>
      <c r="W358" s="19" t="str" cm="1">
        <f t="array" ref="W358">_xlfn.LET(_xlpm.lat_emp,S358,_xlpm.lon_emp,T358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Bayóvar</v>
      </c>
      <c r="X358" s="19" t="str">
        <f>_xlfn.LET(_xlpm.paradero,W358,INDEX(PARADEROS_VALIDOS!$A$2:$A$67,MATCH(_xlpm.paradero,PARADEROS_VALIDOS!$C$2:$C$67,0)))</f>
        <v>RUTA 6A</v>
      </c>
      <c r="Y358" s="29" cm="1">
        <f t="array" ref="Y358">_xlfn.LET(_xlpm.lat_emp,S358,_xlpm.lon_emp,T358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2.42</v>
      </c>
      <c r="Z358" s="4" t="str">
        <f t="shared" si="26"/>
        <v>🟡 Cerca (1-3 km)</v>
      </c>
      <c r="AA358" s="4"/>
      <c r="AB358" s="4"/>
      <c r="AC358" s="49">
        <v>-11.997563</v>
      </c>
      <c r="AD358" s="49">
        <v>-76.900062000000005</v>
      </c>
      <c r="AE358" s="19" t="str">
        <f>IFERROR(VLOOKUP(C358,tdcargo[],2,FALSE),"DESCONOCIDO")</f>
        <v>OPERARIO</v>
      </c>
    </row>
    <row r="359" spans="1:31" hidden="1" x14ac:dyDescent="0.35">
      <c r="A359" s="8">
        <v>44686554</v>
      </c>
      <c r="B359" s="4" t="s">
        <v>3179</v>
      </c>
      <c r="C359" s="4" t="s">
        <v>2001</v>
      </c>
      <c r="D359" s="5">
        <v>42222</v>
      </c>
      <c r="E359" s="4" t="s">
        <v>31</v>
      </c>
      <c r="F359" s="4" t="s">
        <v>36</v>
      </c>
      <c r="G359" s="4" t="s">
        <v>46</v>
      </c>
      <c r="H359" s="4" t="s">
        <v>1956</v>
      </c>
      <c r="I359" s="4" t="s">
        <v>1968</v>
      </c>
      <c r="J359" s="4" t="s">
        <v>1968</v>
      </c>
      <c r="K359" s="4" t="s">
        <v>1968</v>
      </c>
      <c r="L359" s="4" t="s">
        <v>1968</v>
      </c>
      <c r="M359" s="4" t="s">
        <v>88</v>
      </c>
      <c r="N359" s="4" t="s">
        <v>3180</v>
      </c>
      <c r="O359" s="4" t="s">
        <v>37</v>
      </c>
      <c r="P359" s="4" t="s">
        <v>37</v>
      </c>
      <c r="Q359" s="10" t="s">
        <v>38</v>
      </c>
      <c r="R359" s="4" t="str">
        <f t="shared" si="23"/>
        <v>Nd, A.H. Asentamiento Humano Pedregal Bosque Concordia - San Antonio, San Juan De Lurigancho, Lima, Lima, Perú</v>
      </c>
      <c r="S359" s="4">
        <v>-11.9346415</v>
      </c>
      <c r="T359" s="4">
        <v>-76.941409699999994</v>
      </c>
      <c r="U359" s="30">
        <f t="shared" si="24"/>
        <v>8.32</v>
      </c>
      <c r="V359" s="4" t="str">
        <f t="shared" si="25"/>
        <v>🟡 Cerca (5-10 km)</v>
      </c>
      <c r="W359" s="19" t="str" cm="1">
        <f t="array" ref="W359">_xlfn.LET(_xlpm.lat_emp,S359,_xlpm.lon_emp,T359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359" s="19" t="str">
        <f>_xlfn.LET(_xlpm.paradero,W359,INDEX(PARADEROS_VALIDOS!$A$2:$A$67,MATCH(_xlpm.paradero,PARADEROS_VALIDOS!$C$2:$C$67,0)))</f>
        <v>RUTA 2</v>
      </c>
      <c r="Y359" s="29" cm="1">
        <f t="array" ref="Y359">_xlfn.LET(_xlpm.lat_emp,S359,_xlpm.lon_emp,T359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7.76</v>
      </c>
      <c r="Z359" s="4" t="str">
        <f t="shared" si="26"/>
        <v>🔴 Lejos (&gt;5 km)</v>
      </c>
      <c r="AA359" s="4"/>
      <c r="AB359" s="4"/>
      <c r="AC359" s="49">
        <v>-11.997563</v>
      </c>
      <c r="AD359" s="49">
        <v>-76.900062000000005</v>
      </c>
      <c r="AE359" s="19" t="str">
        <f>IFERROR(VLOOKUP(C359,tdcargo[],2,FALSE),"DESCONOCIDO")</f>
        <v>OPERARIO</v>
      </c>
    </row>
    <row r="360" spans="1:31" hidden="1" x14ac:dyDescent="0.35">
      <c r="A360" s="8">
        <v>9931375</v>
      </c>
      <c r="B360" s="4" t="s">
        <v>3181</v>
      </c>
      <c r="C360" s="4" t="s">
        <v>3182</v>
      </c>
      <c r="D360" s="5">
        <v>44536</v>
      </c>
      <c r="E360" s="4" t="s">
        <v>31</v>
      </c>
      <c r="F360" s="4" t="s">
        <v>36</v>
      </c>
      <c r="G360" s="4" t="s">
        <v>46</v>
      </c>
      <c r="H360" s="4" t="s">
        <v>1956</v>
      </c>
      <c r="I360" s="4" t="s">
        <v>1968</v>
      </c>
      <c r="J360" s="4" t="s">
        <v>1968</v>
      </c>
      <c r="K360" s="4" t="s">
        <v>1968</v>
      </c>
      <c r="L360" s="4" t="s">
        <v>1968</v>
      </c>
      <c r="M360" s="4" t="s">
        <v>66</v>
      </c>
      <c r="N360" s="4" t="s">
        <v>3183</v>
      </c>
      <c r="O360" s="4" t="s">
        <v>37</v>
      </c>
      <c r="P360" s="4" t="s">
        <v>37</v>
      </c>
      <c r="Q360" s="10" t="s">
        <v>47</v>
      </c>
      <c r="R360" s="4" t="str">
        <f t="shared" si="23"/>
        <v>Nd, U.V. Unidad Vecinal Chillon 5Ta Etapa, Puente Piedra, Lima, Lima, Perú</v>
      </c>
      <c r="S360" s="4">
        <v>-11.9242542</v>
      </c>
      <c r="T360" s="4">
        <v>-77.078794099999996</v>
      </c>
      <c r="U360" s="30">
        <f t="shared" si="24"/>
        <v>21.08</v>
      </c>
      <c r="V360" s="4" t="str">
        <f t="shared" si="25"/>
        <v>🔴 Lejos (&gt;20 km)</v>
      </c>
      <c r="W360" s="19" t="str" cm="1">
        <f t="array" ref="W360">_xlfn.LET(_xlpm.lat_emp,S360,_xlpm.lon_emp,T360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Av. Metropolitana con Cultura</v>
      </c>
      <c r="X360" s="19" t="str">
        <f>_xlfn.LET(_xlpm.paradero,W360,INDEX(PARADEROS_VALIDOS!$A$2:$A$67,MATCH(_xlpm.paradero,PARADEROS_VALIDOS!$C$2:$C$67,0)))</f>
        <v>RUTA 4A</v>
      </c>
      <c r="Y360" s="29" cm="1">
        <f t="array" ref="Y360">_xlfn.LET(_xlpm.lat_emp,S360,_xlpm.lon_emp,T360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3.54</v>
      </c>
      <c r="Z360" s="4" t="str">
        <f t="shared" si="26"/>
        <v>🟠 Moderada (3-5 km)</v>
      </c>
      <c r="AA360" s="4"/>
      <c r="AB360" s="4"/>
      <c r="AC360" s="49">
        <v>-11.997563</v>
      </c>
      <c r="AD360" s="49">
        <v>-76.900062000000005</v>
      </c>
      <c r="AE360" s="19" t="str">
        <f>IFERROR(VLOOKUP(C360,tdcargo[],2,FALSE),"DESCONOCIDO")</f>
        <v>OPERARIO</v>
      </c>
    </row>
    <row r="361" spans="1:31" hidden="1" x14ac:dyDescent="0.35">
      <c r="A361" s="8">
        <v>60450358</v>
      </c>
      <c r="B361" s="4" t="s">
        <v>3184</v>
      </c>
      <c r="C361" s="4" t="s">
        <v>1971</v>
      </c>
      <c r="D361" s="5">
        <v>46069</v>
      </c>
      <c r="E361" s="4" t="s">
        <v>31</v>
      </c>
      <c r="F361" s="4" t="s">
        <v>82</v>
      </c>
      <c r="G361" s="4" t="s">
        <v>3071</v>
      </c>
      <c r="H361" s="4" t="s">
        <v>2347</v>
      </c>
      <c r="I361" s="4" t="s">
        <v>1968</v>
      </c>
      <c r="J361" s="4" t="s">
        <v>1968</v>
      </c>
      <c r="K361" s="4" t="s">
        <v>1981</v>
      </c>
      <c r="L361" s="4" t="s">
        <v>1974</v>
      </c>
      <c r="M361" s="4" t="s">
        <v>36</v>
      </c>
      <c r="N361" s="4" t="s">
        <v>3175</v>
      </c>
      <c r="O361" s="4" t="s">
        <v>37</v>
      </c>
      <c r="P361" s="4" t="s">
        <v>37</v>
      </c>
      <c r="Q361" s="10" t="s">
        <v>57</v>
      </c>
      <c r="R361" s="4" t="str">
        <f t="shared" si="23"/>
        <v>Calle Rosacruces 4, Lote 6, Mz. B SAN GREGORIO, Ate, Lima, Lima, Perú</v>
      </c>
      <c r="S361" s="4">
        <v>-12.026227199999999</v>
      </c>
      <c r="T361" s="4">
        <v>-76.902575900000002</v>
      </c>
      <c r="U361" s="30">
        <f t="shared" si="24"/>
        <v>3.2</v>
      </c>
      <c r="V361" s="4" t="str">
        <f t="shared" si="25"/>
        <v>🟢 Muy Cerca (0-5 km)</v>
      </c>
      <c r="W361" s="19" t="str" cm="1">
        <f t="array" ref="W361">_xlfn.LET(_xlpm.lat_emp,S361,_xlpm.lon_emp,T361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Esperanza</v>
      </c>
      <c r="X361" s="19" t="str">
        <f>_xlfn.LET(_xlpm.paradero,W361,INDEX(PARADEROS_VALIDOS!$A$2:$A$67,MATCH(_xlpm.paradero,PARADEROS_VALIDOS!$C$2:$C$67,0)))</f>
        <v>RUTA 4B</v>
      </c>
      <c r="Y361" s="29" cm="1">
        <f t="array" ref="Y361">_xlfn.LET(_xlpm.lat_emp,S361,_xlpm.lon_emp,T361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0.68</v>
      </c>
      <c r="Z361" s="4" t="str">
        <f t="shared" si="26"/>
        <v>🟢 Muy Cerca (0-1 km)</v>
      </c>
      <c r="AA361" s="4"/>
      <c r="AB361" s="4"/>
      <c r="AC361" s="49">
        <v>-11.997563</v>
      </c>
      <c r="AD361" s="49">
        <v>-76.900062000000005</v>
      </c>
      <c r="AE361" s="19" t="str">
        <f>IFERROR(VLOOKUP(C361,tdcargo[],2,FALSE),"DESCONOCIDO")</f>
        <v>OPERARIO</v>
      </c>
    </row>
    <row r="362" spans="1:31" hidden="1" x14ac:dyDescent="0.35">
      <c r="A362" s="8">
        <v>61178622</v>
      </c>
      <c r="B362" s="4" t="s">
        <v>3185</v>
      </c>
      <c r="C362" s="4" t="s">
        <v>1971</v>
      </c>
      <c r="D362" s="5">
        <v>46069</v>
      </c>
      <c r="E362" s="4" t="s">
        <v>31</v>
      </c>
      <c r="F362" s="4" t="s">
        <v>36</v>
      </c>
      <c r="G362" s="4" t="s">
        <v>3186</v>
      </c>
      <c r="H362" s="4" t="s">
        <v>1995</v>
      </c>
      <c r="I362" s="4" t="s">
        <v>1968</v>
      </c>
      <c r="J362" s="4" t="s">
        <v>1968</v>
      </c>
      <c r="K362" s="4" t="s">
        <v>1996</v>
      </c>
      <c r="L362" s="4" t="s">
        <v>2340</v>
      </c>
      <c r="M362" s="4" t="s">
        <v>36</v>
      </c>
      <c r="N362" s="4" t="s">
        <v>1487</v>
      </c>
      <c r="O362" s="4" t="s">
        <v>37</v>
      </c>
      <c r="P362" s="4" t="s">
        <v>37</v>
      </c>
      <c r="Q362" s="10" t="s">
        <v>76</v>
      </c>
      <c r="R362" s="4" t="str">
        <f t="shared" si="23"/>
        <v>Huanta Pampa Olivare 1, Lote 2, Mz. T CAJAMARQUILLA, Lurigancho, Lima, Lima, Perú</v>
      </c>
      <c r="S362" s="4">
        <v>-11.989739999999999</v>
      </c>
      <c r="T362" s="4">
        <v>-76.900970000000001</v>
      </c>
      <c r="U362" s="30">
        <f t="shared" si="24"/>
        <v>0.88</v>
      </c>
      <c r="V362" s="4" t="str">
        <f t="shared" si="25"/>
        <v>🟢 Muy Cerca (0-5 km)</v>
      </c>
      <c r="W362" s="19" t="str" cm="1">
        <f t="array" ref="W362">_xlfn.LET(_xlpm.lat_emp,S362,_xlpm.lon_emp,T362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362" s="19" t="str">
        <f>_xlfn.LET(_xlpm.paradero,W362,INDEX(PARADEROS_VALIDOS!$A$2:$A$67,MATCH(_xlpm.paradero,PARADEROS_VALIDOS!$C$2:$C$67,0)))</f>
        <v>RUTA 2</v>
      </c>
      <c r="Y362" s="29" cm="1">
        <f t="array" ref="Y362">_xlfn.LET(_xlpm.lat_emp,S362,_xlpm.lon_emp,T362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0.48</v>
      </c>
      <c r="Z362" s="4" t="str">
        <f t="shared" si="26"/>
        <v>🟢 Muy Cerca (0-1 km)</v>
      </c>
      <c r="AA362" s="4"/>
      <c r="AB362" s="4"/>
      <c r="AC362" s="49">
        <v>-11.997563</v>
      </c>
      <c r="AD362" s="49">
        <v>-76.900062000000005</v>
      </c>
      <c r="AE362" s="19" t="str">
        <f>IFERROR(VLOOKUP(C362,tdcargo[],2,FALSE),"DESCONOCIDO")</f>
        <v>OPERARIO</v>
      </c>
    </row>
    <row r="363" spans="1:31" x14ac:dyDescent="0.35">
      <c r="A363" s="8">
        <v>9287714</v>
      </c>
      <c r="B363" s="4" t="s">
        <v>3187</v>
      </c>
      <c r="C363" s="4" t="s">
        <v>1971</v>
      </c>
      <c r="D363" s="5">
        <v>41653</v>
      </c>
      <c r="E363" s="4" t="s">
        <v>31</v>
      </c>
      <c r="F363" s="4" t="s">
        <v>36</v>
      </c>
      <c r="G363" s="4" t="s">
        <v>46</v>
      </c>
      <c r="H363" s="4" t="s">
        <v>1956</v>
      </c>
      <c r="I363" s="4" t="s">
        <v>1968</v>
      </c>
      <c r="J363" s="4" t="s">
        <v>1968</v>
      </c>
      <c r="K363" s="4" t="s">
        <v>1968</v>
      </c>
      <c r="L363" s="4" t="s">
        <v>1968</v>
      </c>
      <c r="M363" s="4" t="s">
        <v>186</v>
      </c>
      <c r="N363" s="4" t="s">
        <v>203</v>
      </c>
      <c r="O363" s="4" t="s">
        <v>37</v>
      </c>
      <c r="P363" s="4" t="s">
        <v>37</v>
      </c>
      <c r="Q363" s="10" t="s">
        <v>310</v>
      </c>
      <c r="R363" s="4" t="str">
        <f t="shared" si="23"/>
        <v>Nd, Urb. Urbanización Pachacamac, Villa El Salvador, Lima, Lima, Perú</v>
      </c>
      <c r="S363" s="4">
        <v>-12.23357</v>
      </c>
      <c r="T363" s="4">
        <v>-76.921923699999994</v>
      </c>
      <c r="U363" s="30">
        <f t="shared" si="24"/>
        <v>26.35</v>
      </c>
      <c r="V363" s="4" t="str">
        <f t="shared" si="25"/>
        <v>🔴 Lejos (&gt;20 km)</v>
      </c>
      <c r="W363" s="19" t="str" cm="1">
        <f t="array" ref="W363">_xlfn.LET(_xlpm.lat_emp,S363,_xlpm.lon_emp,T363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Av. Mariátegui con la Ruta C</v>
      </c>
      <c r="X363" s="19" t="str">
        <f>_xlfn.LET(_xlpm.paradero,W363,INDEX(PARADEROS_VALIDOS!$A$2:$A$67,MATCH(_xlpm.paradero,PARADEROS_VALIDOS!$C$2:$C$67,0)))</f>
        <v>RUTA 7</v>
      </c>
      <c r="Y363" s="29" cm="1">
        <f t="array" ref="Y363">_xlfn.LET(_xlpm.lat_emp,S363,_xlpm.lon_emp,T363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2.04</v>
      </c>
      <c r="Z363" s="4" t="str">
        <f t="shared" si="26"/>
        <v>🟡 Cerca (1-3 km)</v>
      </c>
      <c r="AA363" s="4"/>
      <c r="AB363" s="4"/>
      <c r="AC363" s="49">
        <v>-11.997563</v>
      </c>
      <c r="AD363" s="49">
        <v>-76.900062000000005</v>
      </c>
      <c r="AE363" s="19" t="str">
        <f>IFERROR(VLOOKUP(C363,tdcargo[],2,FALSE),"DESCONOCIDO")</f>
        <v>OPERARIO</v>
      </c>
    </row>
    <row r="364" spans="1:31" hidden="1" x14ac:dyDescent="0.35">
      <c r="A364" s="8">
        <v>45716029</v>
      </c>
      <c r="B364" s="4" t="s">
        <v>3188</v>
      </c>
      <c r="C364" s="4" t="s">
        <v>1971</v>
      </c>
      <c r="D364" s="5">
        <v>45043</v>
      </c>
      <c r="E364" s="4" t="s">
        <v>31</v>
      </c>
      <c r="F364" s="4" t="s">
        <v>53</v>
      </c>
      <c r="G364" s="4" t="s">
        <v>3189</v>
      </c>
      <c r="H364" s="4" t="s">
        <v>1956</v>
      </c>
      <c r="I364" s="4" t="s">
        <v>1968</v>
      </c>
      <c r="J364" s="4" t="s">
        <v>1968</v>
      </c>
      <c r="K364" s="4" t="s">
        <v>1968</v>
      </c>
      <c r="L364" s="4" t="s">
        <v>1968</v>
      </c>
      <c r="M364" s="4" t="s">
        <v>88</v>
      </c>
      <c r="N364" s="4" t="s">
        <v>620</v>
      </c>
      <c r="O364" s="4" t="s">
        <v>37</v>
      </c>
      <c r="P364" s="4" t="s">
        <v>37</v>
      </c>
      <c r="Q364" s="10" t="s">
        <v>76</v>
      </c>
      <c r="R364" s="4" t="str">
        <f t="shared" si="23"/>
        <v>Jirón Medellin, A.H. Asentamiento Humano Jicamarca, Lurigancho, Lima, Lima, Perú</v>
      </c>
      <c r="S364" s="4">
        <v>-11.9783613</v>
      </c>
      <c r="T364" s="4">
        <v>-76.925780799999998</v>
      </c>
      <c r="U364" s="30">
        <f t="shared" si="24"/>
        <v>3.52</v>
      </c>
      <c r="V364" s="4" t="str">
        <f t="shared" si="25"/>
        <v>🟢 Muy Cerca (0-5 km)</v>
      </c>
      <c r="W364" s="19" t="str" cm="1">
        <f t="array" ref="W364">_xlfn.LET(_xlpm.lat_emp,S364,_xlpm.lon_emp,T364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364" s="19" t="str">
        <f>_xlfn.LET(_xlpm.paradero,W364,INDEX(PARADEROS_VALIDOS!$A$2:$A$67,MATCH(_xlpm.paradero,PARADEROS_VALIDOS!$C$2:$C$67,0)))</f>
        <v>RUTA 2</v>
      </c>
      <c r="Y364" s="29" cm="1">
        <f t="array" ref="Y364">_xlfn.LET(_xlpm.lat_emp,S364,_xlpm.lon_emp,T364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2.98</v>
      </c>
      <c r="Z364" s="4" t="str">
        <f t="shared" si="26"/>
        <v>🟡 Cerca (1-3 km)</v>
      </c>
      <c r="AA364" s="4"/>
      <c r="AB364" s="4"/>
      <c r="AC364" s="49">
        <v>-11.997563</v>
      </c>
      <c r="AD364" s="49">
        <v>-76.900062000000005</v>
      </c>
      <c r="AE364" s="19" t="str">
        <f>IFERROR(VLOOKUP(C364,tdcargo[],2,FALSE),"DESCONOCIDO")</f>
        <v>OPERARIO</v>
      </c>
    </row>
    <row r="365" spans="1:31" hidden="1" x14ac:dyDescent="0.35">
      <c r="A365" s="8">
        <v>75803231</v>
      </c>
      <c r="B365" s="4" t="s">
        <v>3190</v>
      </c>
      <c r="C365" s="4" t="s">
        <v>1971</v>
      </c>
      <c r="D365" s="5">
        <v>45748</v>
      </c>
      <c r="E365" s="4" t="s">
        <v>31</v>
      </c>
      <c r="F365" s="4" t="s">
        <v>34</v>
      </c>
      <c r="G365" s="4" t="s">
        <v>3191</v>
      </c>
      <c r="H365" s="4" t="s">
        <v>1995</v>
      </c>
      <c r="I365" s="4" t="s">
        <v>1968</v>
      </c>
      <c r="J365" s="4" t="s">
        <v>1968</v>
      </c>
      <c r="K365" s="4" t="s">
        <v>1968</v>
      </c>
      <c r="L365" s="4" t="s">
        <v>1968</v>
      </c>
      <c r="M365" s="4" t="s">
        <v>88</v>
      </c>
      <c r="N365" s="4" t="s">
        <v>1332</v>
      </c>
      <c r="O365" s="4" t="s">
        <v>37</v>
      </c>
      <c r="P365" s="4" t="s">
        <v>37</v>
      </c>
      <c r="Q365" s="10" t="s">
        <v>57</v>
      </c>
      <c r="R365" s="4" t="str">
        <f t="shared" si="23"/>
        <v>Avenida Monteverde Ate Vitarte 1, A.H. Asentamiento Humano Maria Parado De Bellido, Ate, Lima, Lima, Perú</v>
      </c>
      <c r="S365" s="4">
        <v>-12.0207441</v>
      </c>
      <c r="T365" s="4">
        <v>-76.882371599999999</v>
      </c>
      <c r="U365" s="30">
        <f t="shared" si="24"/>
        <v>3.22</v>
      </c>
      <c r="V365" s="4" t="str">
        <f t="shared" si="25"/>
        <v>🟢 Muy Cerca (0-5 km)</v>
      </c>
      <c r="W365" s="19" t="str" cm="1">
        <f t="array" ref="W365">_xlfn.LET(_xlpm.lat_emp,S365,_xlpm.lon_emp,T365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la Cruz</v>
      </c>
      <c r="X365" s="19" t="str">
        <f>_xlfn.LET(_xlpm.paradero,W365,INDEX(PARADEROS_VALIDOS!$A$2:$A$67,MATCH(_xlpm.paradero,PARADEROS_VALIDOS!$C$2:$C$67,0)))</f>
        <v>RUTA 4B</v>
      </c>
      <c r="Y365" s="29" cm="1">
        <f t="array" ref="Y365">_xlfn.LET(_xlpm.lat_emp,S365,_xlpm.lon_emp,T365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0.72</v>
      </c>
      <c r="Z365" s="4" t="str">
        <f t="shared" si="26"/>
        <v>🟢 Muy Cerca (0-1 km)</v>
      </c>
      <c r="AA365" s="4"/>
      <c r="AB365" s="4"/>
      <c r="AC365" s="49">
        <v>-11.997563</v>
      </c>
      <c r="AD365" s="49">
        <v>-76.900062000000005</v>
      </c>
      <c r="AE365" s="19" t="str">
        <f>IFERROR(VLOOKUP(C365,tdcargo[],2,FALSE),"DESCONOCIDO")</f>
        <v>OPERARIO</v>
      </c>
    </row>
    <row r="366" spans="1:31" hidden="1" x14ac:dyDescent="0.35">
      <c r="A366" s="8">
        <v>71188746</v>
      </c>
      <c r="B366" s="4" t="s">
        <v>3192</v>
      </c>
      <c r="C366" s="4" t="s">
        <v>1971</v>
      </c>
      <c r="D366" s="5">
        <v>45341</v>
      </c>
      <c r="E366" s="4" t="s">
        <v>31</v>
      </c>
      <c r="F366" s="4" t="s">
        <v>82</v>
      </c>
      <c r="G366" s="4" t="s">
        <v>3193</v>
      </c>
      <c r="H366" s="4" t="s">
        <v>2061</v>
      </c>
      <c r="I366" s="4" t="s">
        <v>1968</v>
      </c>
      <c r="J366" s="4" t="s">
        <v>1968</v>
      </c>
      <c r="K366" s="4" t="s">
        <v>1968</v>
      </c>
      <c r="L366" s="4" t="s">
        <v>1968</v>
      </c>
      <c r="M366" s="4" t="s">
        <v>36</v>
      </c>
      <c r="N366" s="4" t="s">
        <v>3194</v>
      </c>
      <c r="O366" s="4" t="s">
        <v>37</v>
      </c>
      <c r="P366" s="4" t="s">
        <v>37</v>
      </c>
      <c r="Q366" s="10" t="s">
        <v>57</v>
      </c>
      <c r="R366" s="4" t="str">
        <f t="shared" si="23"/>
        <v>Calle Ucv 115 Lote 29 Zona G Huaycan 29 Zona G, Ate, Lima, Lima, Perú</v>
      </c>
      <c r="S366" s="4">
        <v>-12.021456499999999</v>
      </c>
      <c r="T366" s="4">
        <v>-76.822438500000004</v>
      </c>
      <c r="U366" s="30">
        <f t="shared" si="24"/>
        <v>8.85</v>
      </c>
      <c r="V366" s="4" t="str">
        <f t="shared" si="25"/>
        <v>🟡 Cerca (5-10 km)</v>
      </c>
      <c r="W366" s="19" t="str" cm="1">
        <f t="array" ref="W366">_xlfn.LET(_xlpm.lat_emp,S366,_xlpm.lon_emp,T366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366" s="19" t="str">
        <f>_xlfn.LET(_xlpm.paradero,W366,INDEX(PARADEROS_VALIDOS!$A$2:$A$67,MATCH(_xlpm.paradero,PARADEROS_VALIDOS!$C$2:$C$67,0)))</f>
        <v>RUTA 3</v>
      </c>
      <c r="Y366" s="29" cm="1">
        <f t="array" ref="Y366">_xlfn.LET(_xlpm.lat_emp,S366,_xlpm.lon_emp,T366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0.49</v>
      </c>
      <c r="Z366" s="4" t="str">
        <f t="shared" si="26"/>
        <v>🟢 Muy Cerca (0-1 km)</v>
      </c>
      <c r="AA366" s="4"/>
      <c r="AB366" s="4"/>
      <c r="AC366" s="49">
        <v>-11.997563</v>
      </c>
      <c r="AD366" s="49">
        <v>-76.900062000000005</v>
      </c>
      <c r="AE366" s="19" t="str">
        <f>IFERROR(VLOOKUP(C366,tdcargo[],2,FALSE),"DESCONOCIDO")</f>
        <v>OPERARIO</v>
      </c>
    </row>
    <row r="367" spans="1:31" hidden="1" x14ac:dyDescent="0.35">
      <c r="A367" s="8">
        <v>73127543</v>
      </c>
      <c r="B367" s="4" t="s">
        <v>3195</v>
      </c>
      <c r="C367" s="4" t="s">
        <v>1971</v>
      </c>
      <c r="D367" s="5">
        <v>45881</v>
      </c>
      <c r="E367" s="4" t="s">
        <v>31</v>
      </c>
      <c r="F367" s="4" t="s">
        <v>34</v>
      </c>
      <c r="G367" s="4" t="s">
        <v>3196</v>
      </c>
      <c r="H367" s="4" t="s">
        <v>1956</v>
      </c>
      <c r="I367" s="4" t="s">
        <v>1968</v>
      </c>
      <c r="J367" s="4" t="s">
        <v>1968</v>
      </c>
      <c r="K367" s="4" t="s">
        <v>1968</v>
      </c>
      <c r="L367" s="4" t="s">
        <v>1968</v>
      </c>
      <c r="M367" s="4" t="s">
        <v>36</v>
      </c>
      <c r="N367" s="4" t="s">
        <v>3197</v>
      </c>
      <c r="O367" s="4" t="s">
        <v>37</v>
      </c>
      <c r="P367" s="4" t="s">
        <v>37</v>
      </c>
      <c r="Q367" s="10" t="s">
        <v>38</v>
      </c>
      <c r="R367" s="4" t="str">
        <f t="shared" si="23"/>
        <v>Avenida Santa Rosa De Lima Palomares, San Juan De Lurigancho, Lima, Lima, Perú</v>
      </c>
      <c r="S367" s="4">
        <v>-12.0101944</v>
      </c>
      <c r="T367" s="4">
        <v>-76.996887200000003</v>
      </c>
      <c r="U367" s="30">
        <f t="shared" si="24"/>
        <v>10.62</v>
      </c>
      <c r="V367" s="4" t="str">
        <f t="shared" si="25"/>
        <v>🟠 Moderada (10-20 km)</v>
      </c>
      <c r="W367" s="19" t="str" cm="1">
        <f t="array" ref="W367">_xlfn.LET(_xlpm.lat_emp,S367,_xlpm.lon_emp,T367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Celima</v>
      </c>
      <c r="X367" s="19" t="str">
        <f>_xlfn.LET(_xlpm.paradero,W367,INDEX(PARADEROS_VALIDOS!$A$2:$A$67,MATCH(_xlpm.paradero,PARADEROS_VALIDOS!$C$2:$C$67,0)))</f>
        <v>RUTA 6C</v>
      </c>
      <c r="Y367" s="29" cm="1">
        <f t="array" ref="Y367">_xlfn.LET(_xlpm.lat_emp,S367,_xlpm.lon_emp,T367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0.62</v>
      </c>
      <c r="Z367" s="4" t="str">
        <f t="shared" si="26"/>
        <v>🟢 Muy Cerca (0-1 km)</v>
      </c>
      <c r="AA367" s="4"/>
      <c r="AB367" s="4"/>
      <c r="AC367" s="49">
        <v>-11.997563</v>
      </c>
      <c r="AD367" s="49">
        <v>-76.900062000000005</v>
      </c>
      <c r="AE367" s="19" t="str">
        <f>IFERROR(VLOOKUP(C367,tdcargo[],2,FALSE),"DESCONOCIDO")</f>
        <v>OPERARIO</v>
      </c>
    </row>
    <row r="368" spans="1:31" hidden="1" x14ac:dyDescent="0.35">
      <c r="A368" s="8">
        <v>48271126</v>
      </c>
      <c r="B368" s="4" t="s">
        <v>3198</v>
      </c>
      <c r="C368" s="4" t="s">
        <v>1971</v>
      </c>
      <c r="D368" s="5">
        <v>45520</v>
      </c>
      <c r="E368" s="4" t="s">
        <v>31</v>
      </c>
      <c r="F368" s="4" t="s">
        <v>34</v>
      </c>
      <c r="G368" s="4" t="s">
        <v>196</v>
      </c>
      <c r="H368" s="4" t="s">
        <v>1956</v>
      </c>
      <c r="I368" s="4" t="s">
        <v>1968</v>
      </c>
      <c r="J368" s="4" t="s">
        <v>1968</v>
      </c>
      <c r="K368" s="4" t="s">
        <v>1968</v>
      </c>
      <c r="L368" s="4" t="s">
        <v>1968</v>
      </c>
      <c r="M368" s="4" t="s">
        <v>36</v>
      </c>
      <c r="N368" s="4" t="s">
        <v>193</v>
      </c>
      <c r="O368" s="4" t="s">
        <v>37</v>
      </c>
      <c r="P368" s="4" t="s">
        <v>37</v>
      </c>
      <c r="Q368" s="10" t="s">
        <v>76</v>
      </c>
      <c r="R368" s="4" t="str">
        <f t="shared" si="23"/>
        <v>Avenida San Antonio Jicamarca Anexo 8, Lurigancho, Lima, Lima, Perú</v>
      </c>
      <c r="S368" s="4">
        <v>-11.9751253</v>
      </c>
      <c r="T368" s="4">
        <v>-76.942573199999998</v>
      </c>
      <c r="U368" s="30">
        <f t="shared" si="24"/>
        <v>5.25</v>
      </c>
      <c r="V368" s="4" t="str">
        <f t="shared" si="25"/>
        <v>🟡 Cerca (5-10 km)</v>
      </c>
      <c r="W368" s="19" t="str" cm="1">
        <f t="array" ref="W368">_xlfn.LET(_xlpm.lat_emp,S368,_xlpm.lon_emp,T368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368" s="19" t="str">
        <f>_xlfn.LET(_xlpm.paradero,W368,INDEX(PARADEROS_VALIDOS!$A$2:$A$67,MATCH(_xlpm.paradero,PARADEROS_VALIDOS!$C$2:$C$67,0)))</f>
        <v>RUTA 2</v>
      </c>
      <c r="Y368" s="29" cm="1">
        <f t="array" ref="Y368">_xlfn.LET(_xlpm.lat_emp,S368,_xlpm.lon_emp,T368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4.75</v>
      </c>
      <c r="Z368" s="4" t="str">
        <f t="shared" si="26"/>
        <v>🟠 Moderada (3-5 km)</v>
      </c>
      <c r="AA368" s="4"/>
      <c r="AB368" s="4"/>
      <c r="AC368" s="49">
        <v>-11.997563</v>
      </c>
      <c r="AD368" s="49">
        <v>-76.900062000000005</v>
      </c>
      <c r="AE368" s="19" t="str">
        <f>IFERROR(VLOOKUP(C368,tdcargo[],2,FALSE),"DESCONOCIDO")</f>
        <v>OPERARIO</v>
      </c>
    </row>
    <row r="369" spans="1:31" hidden="1" x14ac:dyDescent="0.35">
      <c r="A369" s="8">
        <v>45276013</v>
      </c>
      <c r="B369" s="4" t="s">
        <v>3199</v>
      </c>
      <c r="C369" s="4" t="s">
        <v>2001</v>
      </c>
      <c r="D369" s="5">
        <v>41913</v>
      </c>
      <c r="E369" s="4" t="s">
        <v>31</v>
      </c>
      <c r="F369" s="4" t="s">
        <v>36</v>
      </c>
      <c r="G369" s="4" t="s">
        <v>3200</v>
      </c>
      <c r="H369" s="4" t="s">
        <v>1956</v>
      </c>
      <c r="I369" s="4" t="s">
        <v>1968</v>
      </c>
      <c r="J369" s="4" t="s">
        <v>1968</v>
      </c>
      <c r="K369" s="4" t="s">
        <v>1968</v>
      </c>
      <c r="L369" s="4" t="s">
        <v>1968</v>
      </c>
      <c r="M369" s="4" t="s">
        <v>88</v>
      </c>
      <c r="N369" s="4" t="s">
        <v>2555</v>
      </c>
      <c r="O369" s="4" t="s">
        <v>37</v>
      </c>
      <c r="P369" s="4" t="s">
        <v>37</v>
      </c>
      <c r="Q369" s="10" t="s">
        <v>76</v>
      </c>
      <c r="R369" s="4" t="str">
        <f t="shared" si="23"/>
        <v>Aosc Campo Sol, A.H. Asentamiento Humano Carapongo, Lurigancho, Lima, Lima, Perú</v>
      </c>
      <c r="S369" s="4">
        <v>-12.023711</v>
      </c>
      <c r="T369" s="4">
        <v>-76.894016899999997</v>
      </c>
      <c r="U369" s="30">
        <f t="shared" si="24"/>
        <v>2.98</v>
      </c>
      <c r="V369" s="4" t="str">
        <f t="shared" si="25"/>
        <v>🟢 Muy Cerca (0-5 km)</v>
      </c>
      <c r="W369" s="19" t="str" cm="1">
        <f t="array" ref="W369">_xlfn.LET(_xlpm.lat_emp,S369,_xlpm.lon_emp,T369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Sta. Clara</v>
      </c>
      <c r="X369" s="19" t="str">
        <f>_xlfn.LET(_xlpm.paradero,W369,INDEX(PARADEROS_VALIDOS!$A$2:$A$67,MATCH(_xlpm.paradero,PARADEROS_VALIDOS!$C$2:$C$67,0)))</f>
        <v>RUTA 5C</v>
      </c>
      <c r="Y369" s="29" cm="1">
        <f t="array" ref="Y369">_xlfn.LET(_xlpm.lat_emp,S369,_xlpm.lon_emp,T369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1.37</v>
      </c>
      <c r="Z369" s="4" t="str">
        <f t="shared" si="26"/>
        <v>🟡 Cerca (1-3 km)</v>
      </c>
      <c r="AA369" s="4"/>
      <c r="AB369" s="4"/>
      <c r="AC369" s="49">
        <v>-11.997563</v>
      </c>
      <c r="AD369" s="49">
        <v>-76.900062000000005</v>
      </c>
      <c r="AE369" s="19" t="str">
        <f>IFERROR(VLOOKUP(C369,tdcargo[],2,FALSE),"DESCONOCIDO")</f>
        <v>OPERARIO</v>
      </c>
    </row>
    <row r="370" spans="1:31" hidden="1" x14ac:dyDescent="0.35">
      <c r="A370" s="8">
        <v>74388500</v>
      </c>
      <c r="B370" s="4" t="s">
        <v>3207</v>
      </c>
      <c r="C370" s="4" t="s">
        <v>1971</v>
      </c>
      <c r="D370" s="5">
        <v>45048</v>
      </c>
      <c r="E370" s="4" t="s">
        <v>31</v>
      </c>
      <c r="F370" s="4" t="s">
        <v>36</v>
      </c>
      <c r="G370" s="4" t="s">
        <v>46</v>
      </c>
      <c r="H370" s="4" t="s">
        <v>1956</v>
      </c>
      <c r="I370" s="4" t="s">
        <v>1968</v>
      </c>
      <c r="J370" s="4" t="s">
        <v>1968</v>
      </c>
      <c r="K370" s="4" t="s">
        <v>1968</v>
      </c>
      <c r="L370" s="4" t="s">
        <v>1968</v>
      </c>
      <c r="M370" s="4" t="s">
        <v>88</v>
      </c>
      <c r="N370" s="4" t="s">
        <v>1665</v>
      </c>
      <c r="O370" s="4" t="s">
        <v>37</v>
      </c>
      <c r="P370" s="4" t="s">
        <v>37</v>
      </c>
      <c r="Q370" s="10" t="s">
        <v>38</v>
      </c>
      <c r="R370" s="4" t="str">
        <f t="shared" si="23"/>
        <v>Nd, A.H. Asentamiento Humano Santa Maria, San Juan De Lurigancho, Lima, Lima, Perú</v>
      </c>
      <c r="S370" s="4">
        <v>-11.9888657</v>
      </c>
      <c r="T370" s="4">
        <v>-77.0006111</v>
      </c>
      <c r="U370" s="30">
        <f t="shared" si="24"/>
        <v>10.98</v>
      </c>
      <c r="V370" s="4" t="str">
        <f t="shared" si="25"/>
        <v>🟠 Moderada (10-20 km)</v>
      </c>
      <c r="W370" s="19" t="str" cm="1">
        <f t="array" ref="W370">_xlfn.LET(_xlpm.lat_emp,S370,_xlpm.lon_emp,T370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Carlos</v>
      </c>
      <c r="X370" s="19" t="str">
        <f>_xlfn.LET(_xlpm.paradero,W370,INDEX(PARADEROS_VALIDOS!$A$2:$A$67,MATCH(_xlpm.paradero,PARADEROS_VALIDOS!$C$2:$C$67,0)))</f>
        <v>RUTA 6B</v>
      </c>
      <c r="Y370" s="29" cm="1">
        <f t="array" ref="Y370">_xlfn.LET(_xlpm.lat_emp,S370,_xlpm.lon_emp,T370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1.0900000000000001</v>
      </c>
      <c r="Z370" s="4" t="str">
        <f t="shared" si="26"/>
        <v>🟡 Cerca (1-3 km)</v>
      </c>
      <c r="AA370" s="4"/>
      <c r="AB370" s="4"/>
      <c r="AC370" s="49">
        <v>-11.997563</v>
      </c>
      <c r="AD370" s="49">
        <v>-76.900062000000005</v>
      </c>
      <c r="AE370" s="19" t="str">
        <f>IFERROR(VLOOKUP(C370,tdcargo[],2,FALSE),"DESCONOCIDO")</f>
        <v>OPERARIO</v>
      </c>
    </row>
    <row r="371" spans="1:31" hidden="1" x14ac:dyDescent="0.35">
      <c r="A371" s="8">
        <v>76950887</v>
      </c>
      <c r="B371" s="4" t="s">
        <v>3212</v>
      </c>
      <c r="C371" s="4" t="s">
        <v>1971</v>
      </c>
      <c r="D371" s="5">
        <v>45600</v>
      </c>
      <c r="E371" s="4" t="s">
        <v>31</v>
      </c>
      <c r="F371" s="4" t="s">
        <v>34</v>
      </c>
      <c r="G371" s="4" t="s">
        <v>3213</v>
      </c>
      <c r="H371" s="4" t="s">
        <v>1956</v>
      </c>
      <c r="I371" s="4" t="s">
        <v>1968</v>
      </c>
      <c r="J371" s="4" t="s">
        <v>1968</v>
      </c>
      <c r="K371" s="4" t="s">
        <v>1968</v>
      </c>
      <c r="L371" s="4" t="s">
        <v>1968</v>
      </c>
      <c r="M371" s="4" t="s">
        <v>36</v>
      </c>
      <c r="N371" s="4" t="s">
        <v>1956</v>
      </c>
      <c r="O371" s="4" t="s">
        <v>37</v>
      </c>
      <c r="P371" s="4" t="s">
        <v>37</v>
      </c>
      <c r="Q371" s="10" t="s">
        <v>57</v>
      </c>
      <c r="R371" s="4" t="str">
        <f t="shared" si="23"/>
        <v>Avenida Prop Santa Rosa, Santa Clara - Ate, Ate, Lima, Lima, Perú</v>
      </c>
      <c r="S371" s="4">
        <v>-12.0179312</v>
      </c>
      <c r="T371" s="4">
        <v>-76.8835014</v>
      </c>
      <c r="U371" s="30">
        <f t="shared" si="24"/>
        <v>2.89</v>
      </c>
      <c r="V371" s="4" t="str">
        <f t="shared" si="25"/>
        <v>🟢 Muy Cerca (0-5 km)</v>
      </c>
      <c r="W371" s="19" t="str" cm="1">
        <f t="array" ref="W371">_xlfn.LET(_xlpm.lat_emp,S371,_xlpm.lon_emp,T371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la Cruz</v>
      </c>
      <c r="X371" s="19" t="str">
        <f>_xlfn.LET(_xlpm.paradero,W371,INDEX(PARADEROS_VALIDOS!$A$2:$A$67,MATCH(_xlpm.paradero,PARADEROS_VALIDOS!$C$2:$C$67,0)))</f>
        <v>RUTA 4B</v>
      </c>
      <c r="Y371" s="29" cm="1">
        <f t="array" ref="Y371">_xlfn.LET(_xlpm.lat_emp,S371,_xlpm.lon_emp,T371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0.39</v>
      </c>
      <c r="Z371" s="4" t="str">
        <f t="shared" si="26"/>
        <v>🟢 Muy Cerca (0-1 km)</v>
      </c>
      <c r="AA371" s="4"/>
      <c r="AB371" s="4"/>
      <c r="AC371" s="49">
        <v>-11.997563</v>
      </c>
      <c r="AD371" s="49">
        <v>-76.900062000000005</v>
      </c>
      <c r="AE371" s="19" t="str">
        <f>IFERROR(VLOOKUP(C371,tdcargo[],2,FALSE),"DESCONOCIDO")</f>
        <v>OPERARIO</v>
      </c>
    </row>
    <row r="372" spans="1:31" hidden="1" x14ac:dyDescent="0.35">
      <c r="A372" s="8">
        <v>72368105</v>
      </c>
      <c r="B372" s="4" t="s">
        <v>3216</v>
      </c>
      <c r="C372" s="4" t="s">
        <v>1971</v>
      </c>
      <c r="D372" s="5">
        <v>45659</v>
      </c>
      <c r="E372" s="4" t="s">
        <v>31</v>
      </c>
      <c r="F372" s="4" t="s">
        <v>82</v>
      </c>
      <c r="G372" s="4" t="s">
        <v>3217</v>
      </c>
      <c r="H372" s="4" t="s">
        <v>1956</v>
      </c>
      <c r="I372" s="4" t="s">
        <v>1968</v>
      </c>
      <c r="J372" s="4" t="s">
        <v>1968</v>
      </c>
      <c r="K372" s="4" t="s">
        <v>1968</v>
      </c>
      <c r="L372" s="4" t="s">
        <v>1968</v>
      </c>
      <c r="M372" s="4" t="s">
        <v>36</v>
      </c>
      <c r="N372" s="4" t="s">
        <v>3217</v>
      </c>
      <c r="O372" s="4" t="s">
        <v>37</v>
      </c>
      <c r="P372" s="4" t="s">
        <v>37</v>
      </c>
      <c r="Q372" s="10" t="s">
        <v>57</v>
      </c>
      <c r="R372" s="4" t="str">
        <f t="shared" si="23"/>
        <v>Calle Porto Alegre Porto Alegre, Ate, Lima, Lima, Perú</v>
      </c>
      <c r="S372" s="4">
        <v>-12.025181999999999</v>
      </c>
      <c r="T372" s="4">
        <v>-76.931823600000001</v>
      </c>
      <c r="U372" s="30">
        <f t="shared" si="24"/>
        <v>4.62</v>
      </c>
      <c r="V372" s="4" t="str">
        <f t="shared" si="25"/>
        <v>🟢 Muy Cerca (0-5 km)</v>
      </c>
      <c r="W372" s="19" t="str" cm="1">
        <f t="array" ref="W372">_xlfn.LET(_xlpm.lat_emp,S372,_xlpm.lon_emp,T372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Panadería Marcela (cruce de la carretera central, con Av. Jose Carlos Mariátegui)</v>
      </c>
      <c r="X372" s="19" t="str">
        <f>_xlfn.LET(_xlpm.paradero,W372,INDEX(PARADEROS_VALIDOS!$A$2:$A$67,MATCH(_xlpm.paradero,PARADEROS_VALIDOS!$C$2:$C$67,0)))</f>
        <v>RUTA 4B</v>
      </c>
      <c r="Y372" s="29" cm="1">
        <f t="array" ref="Y372">_xlfn.LET(_xlpm.lat_emp,S372,_xlpm.lon_emp,T372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1.23</v>
      </c>
      <c r="Z372" s="4" t="str">
        <f t="shared" si="26"/>
        <v>🟡 Cerca (1-3 km)</v>
      </c>
      <c r="AA372" s="4"/>
      <c r="AB372" s="4"/>
      <c r="AC372" s="49">
        <v>-11.997563</v>
      </c>
      <c r="AD372" s="49">
        <v>-76.900062000000005</v>
      </c>
      <c r="AE372" s="19" t="str">
        <f>IFERROR(VLOOKUP(C372,tdcargo[],2,FALSE),"DESCONOCIDO")</f>
        <v>OPERARIO</v>
      </c>
    </row>
    <row r="373" spans="1:31" hidden="1" x14ac:dyDescent="0.35">
      <c r="A373" s="8">
        <v>74537813</v>
      </c>
      <c r="B373" s="4" t="s">
        <v>3218</v>
      </c>
      <c r="C373" s="4" t="s">
        <v>1971</v>
      </c>
      <c r="D373" s="5">
        <v>44679</v>
      </c>
      <c r="E373" s="4" t="s">
        <v>31</v>
      </c>
      <c r="F373" s="4" t="s">
        <v>34</v>
      </c>
      <c r="G373" s="4" t="s">
        <v>3219</v>
      </c>
      <c r="H373" s="4" t="s">
        <v>1956</v>
      </c>
      <c r="I373" s="4" t="s">
        <v>1968</v>
      </c>
      <c r="J373" s="4" t="s">
        <v>1968</v>
      </c>
      <c r="K373" s="4" t="s">
        <v>1968</v>
      </c>
      <c r="L373" s="4" t="s">
        <v>1968</v>
      </c>
      <c r="M373" s="4" t="s">
        <v>66</v>
      </c>
      <c r="N373" s="4" t="s">
        <v>748</v>
      </c>
      <c r="O373" s="4" t="s">
        <v>37</v>
      </c>
      <c r="P373" s="4" t="s">
        <v>37</v>
      </c>
      <c r="Q373" s="10" t="s">
        <v>76</v>
      </c>
      <c r="R373" s="4" t="str">
        <f t="shared" si="23"/>
        <v>Avenida Cerro Esmeralda, U.V. Unidad Vecinal Nieveria, Lurigancho, Lima, Lima, Perú</v>
      </c>
      <c r="S373" s="4">
        <v>-11.983333</v>
      </c>
      <c r="T373" s="4">
        <v>-76.916667000000004</v>
      </c>
      <c r="U373" s="30">
        <f t="shared" si="24"/>
        <v>2.4</v>
      </c>
      <c r="V373" s="4" t="str">
        <f t="shared" si="25"/>
        <v>🟢 Muy Cerca (0-5 km)</v>
      </c>
      <c r="W373" s="19" t="str" cm="1">
        <f t="array" ref="W373">_xlfn.LET(_xlpm.lat_emp,S373,_xlpm.lon_emp,T373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373" s="19" t="str">
        <f>_xlfn.LET(_xlpm.paradero,W373,INDEX(PARADEROS_VALIDOS!$A$2:$A$67,MATCH(_xlpm.paradero,PARADEROS_VALIDOS!$C$2:$C$67,0)))</f>
        <v>RUTA 2</v>
      </c>
      <c r="Y373" s="29" cm="1">
        <f t="array" ref="Y373">_xlfn.LET(_xlpm.lat_emp,S373,_xlpm.lon_emp,T373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1.86</v>
      </c>
      <c r="Z373" s="4" t="str">
        <f t="shared" si="26"/>
        <v>🟡 Cerca (1-3 km)</v>
      </c>
      <c r="AA373" s="4"/>
      <c r="AB373" s="4"/>
      <c r="AC373" s="49">
        <v>-11.997563</v>
      </c>
      <c r="AD373" s="49">
        <v>-76.900062000000005</v>
      </c>
      <c r="AE373" s="19" t="str">
        <f>IFERROR(VLOOKUP(C373,tdcargo[],2,FALSE),"DESCONOCIDO")</f>
        <v>OPERARIO</v>
      </c>
    </row>
    <row r="374" spans="1:31" hidden="1" x14ac:dyDescent="0.35">
      <c r="A374" s="8">
        <v>72623731</v>
      </c>
      <c r="B374" s="4" t="s">
        <v>3220</v>
      </c>
      <c r="C374" s="4" t="s">
        <v>1971</v>
      </c>
      <c r="D374" s="5">
        <v>45950</v>
      </c>
      <c r="E374" s="4" t="s">
        <v>31</v>
      </c>
      <c r="F374" s="4" t="s">
        <v>36</v>
      </c>
      <c r="G374" s="4" t="s">
        <v>3221</v>
      </c>
      <c r="H374" s="4" t="s">
        <v>1956</v>
      </c>
      <c r="I374" s="4" t="s">
        <v>1968</v>
      </c>
      <c r="J374" s="4" t="s">
        <v>1968</v>
      </c>
      <c r="K374" s="4" t="s">
        <v>1968</v>
      </c>
      <c r="L374" s="4" t="s">
        <v>1278</v>
      </c>
      <c r="M374" s="4" t="s">
        <v>36</v>
      </c>
      <c r="N374" s="4" t="s">
        <v>3222</v>
      </c>
      <c r="O374" s="4" t="s">
        <v>37</v>
      </c>
      <c r="P374" s="4" t="s">
        <v>37</v>
      </c>
      <c r="Q374" s="10" t="s">
        <v>76</v>
      </c>
      <c r="R374" s="4" t="str">
        <f t="shared" si="23"/>
        <v>Camino Real, Mz. A Asociasion, Lurigancho, Lima, Lima, Perú</v>
      </c>
      <c r="S374" s="4">
        <v>-11.935444499999999</v>
      </c>
      <c r="T374" s="4">
        <v>-76.689569199999994</v>
      </c>
      <c r="U374" s="30">
        <f t="shared" si="24"/>
        <v>23.92</v>
      </c>
      <c r="V374" s="4" t="str">
        <f t="shared" si="25"/>
        <v>🔴 Lejos (&gt;20 km)</v>
      </c>
      <c r="W374" s="19" t="str" cm="1">
        <f t="array" ref="W374">_xlfn.LET(_xlpm.lat_emp,S374,_xlpm.lon_emp,T374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374" s="19" t="str">
        <f>_xlfn.LET(_xlpm.paradero,W374,INDEX(PARADEROS_VALIDOS!$A$2:$A$67,MATCH(_xlpm.paradero,PARADEROS_VALIDOS!$C$2:$C$67,0)))</f>
        <v>RUTA 5A</v>
      </c>
      <c r="Y374" s="29" cm="1">
        <f t="array" ref="Y374">_xlfn.LET(_xlpm.lat_emp,S374,_xlpm.lon_emp,T374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10.11</v>
      </c>
      <c r="Z374" s="4" t="str">
        <f t="shared" si="26"/>
        <v>🔴 Lejos (&gt;5 km)</v>
      </c>
      <c r="AA374" s="4"/>
      <c r="AB374" s="4"/>
      <c r="AC374" s="49">
        <v>-11.997563</v>
      </c>
      <c r="AD374" s="49">
        <v>-76.900062000000005</v>
      </c>
      <c r="AE374" s="19" t="str">
        <f>IFERROR(VLOOKUP(C374,tdcargo[],2,FALSE),"DESCONOCIDO")</f>
        <v>OPERARIO</v>
      </c>
    </row>
    <row r="375" spans="1:31" hidden="1" x14ac:dyDescent="0.35">
      <c r="A375" s="8">
        <v>70061026</v>
      </c>
      <c r="B375" s="4" t="s">
        <v>3223</v>
      </c>
      <c r="C375" s="4" t="s">
        <v>1971</v>
      </c>
      <c r="D375" s="5">
        <v>46055</v>
      </c>
      <c r="E375" s="4" t="s">
        <v>31</v>
      </c>
      <c r="F375" s="4" t="s">
        <v>82</v>
      </c>
      <c r="G375" s="4" t="s">
        <v>711</v>
      </c>
      <c r="H375" s="4" t="s">
        <v>1956</v>
      </c>
      <c r="I375" s="4" t="s">
        <v>1968</v>
      </c>
      <c r="J375" s="4" t="s">
        <v>1995</v>
      </c>
      <c r="K375" s="4" t="s">
        <v>2625</v>
      </c>
      <c r="L375" s="4" t="s">
        <v>2196</v>
      </c>
      <c r="M375" s="4" t="s">
        <v>186</v>
      </c>
      <c r="N375" s="4" t="s">
        <v>3224</v>
      </c>
      <c r="O375" s="4" t="s">
        <v>37</v>
      </c>
      <c r="P375" s="4" t="s">
        <v>37</v>
      </c>
      <c r="Q375" s="10" t="s">
        <v>76</v>
      </c>
      <c r="R375" s="4" t="str">
        <f t="shared" si="23"/>
        <v>Calle Villa Rica, Int. 1, Lote 33, Mz. N, Urb. Urbanización VILLA RICA, Lurigancho, Lima, Lima, Perú</v>
      </c>
      <c r="S375" s="4">
        <v>-11.988952299999999</v>
      </c>
      <c r="T375" s="4">
        <v>-76.900956100000002</v>
      </c>
      <c r="U375" s="30">
        <f t="shared" si="24"/>
        <v>0.96</v>
      </c>
      <c r="V375" s="4" t="str">
        <f t="shared" si="25"/>
        <v>🟢 Muy Cerca (0-5 km)</v>
      </c>
      <c r="W375" s="19" t="str" cm="1">
        <f t="array" ref="W375">_xlfn.LET(_xlpm.lat_emp,S375,_xlpm.lon_emp,T375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375" s="19" t="str">
        <f>_xlfn.LET(_xlpm.paradero,W375,INDEX(PARADEROS_VALIDOS!$A$2:$A$67,MATCH(_xlpm.paradero,PARADEROS_VALIDOS!$C$2:$C$67,0)))</f>
        <v>RUTA 2</v>
      </c>
      <c r="Y375" s="29" cm="1">
        <f t="array" ref="Y375">_xlfn.LET(_xlpm.lat_emp,S375,_xlpm.lon_emp,T375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0.56000000000000005</v>
      </c>
      <c r="Z375" s="4" t="str">
        <f t="shared" si="26"/>
        <v>🟢 Muy Cerca (0-1 km)</v>
      </c>
      <c r="AA375" s="4"/>
      <c r="AB375" s="4"/>
      <c r="AC375" s="49">
        <v>-11.997563</v>
      </c>
      <c r="AD375" s="49">
        <v>-76.900062000000005</v>
      </c>
      <c r="AE375" s="19" t="str">
        <f>IFERROR(VLOOKUP(C375,tdcargo[],2,FALSE),"DESCONOCIDO")</f>
        <v>OPERARIO</v>
      </c>
    </row>
    <row r="376" spans="1:31" hidden="1" x14ac:dyDescent="0.35">
      <c r="A376" s="8">
        <v>72916530</v>
      </c>
      <c r="B376" s="4" t="s">
        <v>3225</v>
      </c>
      <c r="C376" s="4" t="s">
        <v>1971</v>
      </c>
      <c r="D376" s="5">
        <v>45659</v>
      </c>
      <c r="E376" s="4" t="s">
        <v>31</v>
      </c>
      <c r="F376" s="4" t="s">
        <v>34</v>
      </c>
      <c r="G376" s="4" t="s">
        <v>2915</v>
      </c>
      <c r="H376" s="4" t="s">
        <v>1956</v>
      </c>
      <c r="I376" s="4" t="s">
        <v>1968</v>
      </c>
      <c r="J376" s="4" t="s">
        <v>1968</v>
      </c>
      <c r="K376" s="4" t="s">
        <v>1986</v>
      </c>
      <c r="L376" s="4" t="s">
        <v>1861</v>
      </c>
      <c r="M376" s="4" t="s">
        <v>36</v>
      </c>
      <c r="N376" s="4" t="s">
        <v>3226</v>
      </c>
      <c r="O376" s="4" t="s">
        <v>37</v>
      </c>
      <c r="P376" s="4" t="s">
        <v>37</v>
      </c>
      <c r="Q376" s="10" t="s">
        <v>76</v>
      </c>
      <c r="R376" s="4" t="str">
        <f t="shared" ref="R376:R439" si="27">_xlfn.LET(_xlpm.parte1,TRIM(IF(F376="Otros / No aplica","",F376&amp;" ")&amp;G376&amp;IF(AND(H376&lt;&gt;"",H376&lt;&gt;"0",H376&lt;&gt;0)," "&amp;H376,"")&amp;IF(I376&lt;&gt;"",", Apt. "&amp;I376,"")&amp;IF(J376&lt;&gt;"",", Int. "&amp;J376,"")&amp;IF(AND(K376&lt;&gt;"",K376&lt;&gt;0),", Lote "&amp;K376,"")&amp;IF(L376&lt;&gt;"",", Mz. "&amp;L376,"")&amp;IF(AND(M376&lt;&gt;"",M376&lt;&gt;"Otros / No aplica"),", "&amp;M376,"")&amp;IF(AND(N376&lt;&gt;"",N376&lt;&gt;"0",N376&lt;&gt;0)," "&amp;N376,"")),_xlpm.parte2,Q376&amp;", "&amp;P376&amp;", "&amp;O376&amp;", Perú",IF(LEFT(_xlpm.parte1,1)=",",TRIM(MID(_xlpm.parte1,2,255))&amp;", "&amp;_xlpm.parte2,IF(_xlpm.parte1="",_xlpm.parte2,_xlpm.parte1&amp;", "&amp;_xlpm.parte2)))</f>
        <v>Avenida 23 De Septiembre, Lote 20, Mz. D Pampachiri, Lurigancho, Lima, Lima, Perú</v>
      </c>
      <c r="S376" s="4">
        <v>-12.009696699999999</v>
      </c>
      <c r="T376" s="4">
        <v>-76.905361299999996</v>
      </c>
      <c r="U376" s="30">
        <f t="shared" si="24"/>
        <v>1.47</v>
      </c>
      <c r="V376" s="4" t="str">
        <f t="shared" si="25"/>
        <v>🟢 Muy Cerca (0-5 km)</v>
      </c>
      <c r="W376" s="19" t="str" cm="1">
        <f t="array" ref="W376">_xlfn.LET(_xlpm.lat_emp,S376,_xlpm.lon_emp,T376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Tottus Huachipa</v>
      </c>
      <c r="X376" s="19" t="str">
        <f>_xlfn.LET(_xlpm.paradero,W376,INDEX(PARADEROS_VALIDOS!$A$2:$A$67,MATCH(_xlpm.paradero,PARADEROS_VALIDOS!$C$2:$C$67,0)))</f>
        <v>RUTA 1</v>
      </c>
      <c r="Y376" s="29" cm="1">
        <f t="array" ref="Y376">_xlfn.LET(_xlpm.lat_emp,S376,_xlpm.lon_emp,T376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1.18</v>
      </c>
      <c r="Z376" s="4" t="str">
        <f t="shared" si="26"/>
        <v>🟡 Cerca (1-3 km)</v>
      </c>
      <c r="AA376" s="4"/>
      <c r="AB376" s="4"/>
      <c r="AC376" s="49">
        <v>-11.997563</v>
      </c>
      <c r="AD376" s="49">
        <v>-76.900062000000005</v>
      </c>
      <c r="AE376" s="19" t="str">
        <f>IFERROR(VLOOKUP(C376,tdcargo[],2,FALSE),"DESCONOCIDO")</f>
        <v>OPERARIO</v>
      </c>
    </row>
    <row r="377" spans="1:31" hidden="1" x14ac:dyDescent="0.35">
      <c r="A377" s="8">
        <v>74916556</v>
      </c>
      <c r="B377" s="4" t="s">
        <v>3227</v>
      </c>
      <c r="C377" s="4" t="s">
        <v>1971</v>
      </c>
      <c r="D377" s="5">
        <v>46062</v>
      </c>
      <c r="E377" s="4" t="s">
        <v>31</v>
      </c>
      <c r="F377" s="4" t="s">
        <v>82</v>
      </c>
      <c r="G377" s="4" t="s">
        <v>3228</v>
      </c>
      <c r="H377" s="4" t="s">
        <v>1995</v>
      </c>
      <c r="I377" s="4" t="s">
        <v>1968</v>
      </c>
      <c r="J377" s="4" t="s">
        <v>1986</v>
      </c>
      <c r="K377" s="4" t="s">
        <v>1986</v>
      </c>
      <c r="L377" s="4" t="s">
        <v>1278</v>
      </c>
      <c r="M377" s="4" t="s">
        <v>36</v>
      </c>
      <c r="N377" s="4" t="s">
        <v>3229</v>
      </c>
      <c r="O377" s="4" t="s">
        <v>37</v>
      </c>
      <c r="P377" s="4" t="s">
        <v>37</v>
      </c>
      <c r="Q377" s="10" t="s">
        <v>76</v>
      </c>
      <c r="R377" s="4" t="str">
        <f t="shared" si="27"/>
        <v>Calle Las Brisas De Huachi 1, Int. 20, Lote 20, Mz. A BRISAS DE HUACHIPA, Lurigancho, Lima, Lima, Perú</v>
      </c>
      <c r="S377" s="4">
        <v>-11.999314999999999</v>
      </c>
      <c r="T377" s="4">
        <v>-76.919015999999999</v>
      </c>
      <c r="U377" s="30">
        <f t="shared" si="24"/>
        <v>2.0699999999999998</v>
      </c>
      <c r="V377" s="4" t="str">
        <f t="shared" si="25"/>
        <v>🟢 Muy Cerca (0-5 km)</v>
      </c>
      <c r="W377" s="19" t="str" cm="1">
        <f t="array" ref="W377">_xlfn.LET(_xlpm.lat_emp,S377,_xlpm.lon_emp,T377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Estadio Huachipa</v>
      </c>
      <c r="X377" s="19" t="str">
        <f>_xlfn.LET(_xlpm.paradero,W377,INDEX(PARADEROS_VALIDOS!$A$2:$A$67,MATCH(_xlpm.paradero,PARADEROS_VALIDOS!$C$2:$C$67,0)))</f>
        <v>RUTA 5C</v>
      </c>
      <c r="Y377" s="29" cm="1">
        <f t="array" ref="Y377">_xlfn.LET(_xlpm.lat_emp,S377,_xlpm.lon_emp,T377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1.67</v>
      </c>
      <c r="Z377" s="4" t="str">
        <f t="shared" si="26"/>
        <v>🟡 Cerca (1-3 km)</v>
      </c>
      <c r="AA377" s="4"/>
      <c r="AB377" s="4"/>
      <c r="AC377" s="49">
        <v>-11.997563</v>
      </c>
      <c r="AD377" s="49">
        <v>-76.900062000000005</v>
      </c>
      <c r="AE377" s="19" t="str">
        <f>IFERROR(VLOOKUP(C377,tdcargo[],2,FALSE),"DESCONOCIDO")</f>
        <v>OPERARIO</v>
      </c>
    </row>
    <row r="378" spans="1:31" hidden="1" x14ac:dyDescent="0.35">
      <c r="A378" s="8">
        <v>74135875</v>
      </c>
      <c r="B378" s="4" t="s">
        <v>3230</v>
      </c>
      <c r="C378" s="4" t="s">
        <v>1971</v>
      </c>
      <c r="D378" s="5">
        <v>46062</v>
      </c>
      <c r="E378" s="4" t="s">
        <v>31</v>
      </c>
      <c r="F378" s="4" t="s">
        <v>36</v>
      </c>
      <c r="G378" s="4" t="s">
        <v>705</v>
      </c>
      <c r="H378" s="4" t="s">
        <v>1956</v>
      </c>
      <c r="I378" s="4" t="s">
        <v>1968</v>
      </c>
      <c r="J378" s="4" t="s">
        <v>1968</v>
      </c>
      <c r="K378" s="4" t="s">
        <v>1992</v>
      </c>
      <c r="L378" s="4" t="s">
        <v>1861</v>
      </c>
      <c r="M378" s="4" t="s">
        <v>36</v>
      </c>
      <c r="N378" s="4" t="s">
        <v>3231</v>
      </c>
      <c r="O378" s="4" t="s">
        <v>37</v>
      </c>
      <c r="P378" s="4" t="s">
        <v>37</v>
      </c>
      <c r="Q378" s="10" t="s">
        <v>57</v>
      </c>
      <c r="R378" s="4" t="str">
        <f t="shared" si="27"/>
        <v>Huaycan, Lote 36, Mz. D ZONA D, Ate, Lima, Lima, Perú</v>
      </c>
      <c r="S378" s="4">
        <v>-12.017441399999999</v>
      </c>
      <c r="T378" s="4">
        <v>-76.826325699999998</v>
      </c>
      <c r="U378" s="30">
        <f t="shared" si="24"/>
        <v>8.32</v>
      </c>
      <c r="V378" s="4" t="str">
        <f t="shared" si="25"/>
        <v>🟡 Cerca (5-10 km)</v>
      </c>
      <c r="W378" s="19" t="str" cm="1">
        <f t="array" ref="W378">_xlfn.LET(_xlpm.lat_emp,S378,_xlpm.lon_emp,T378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Aurora</v>
      </c>
      <c r="X378" s="19" t="str">
        <f>_xlfn.LET(_xlpm.paradero,W378,INDEX(PARADEROS_VALIDOS!$A$2:$A$67,MATCH(_xlpm.paradero,PARADEROS_VALIDOS!$C$2:$C$67,0)))</f>
        <v>RUTA 3</v>
      </c>
      <c r="Y378" s="29" cm="1">
        <f t="array" ref="Y378">_xlfn.LET(_xlpm.lat_emp,S378,_xlpm.lon_emp,T378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1.02</v>
      </c>
      <c r="Z378" s="4" t="str">
        <f t="shared" si="26"/>
        <v>🟡 Cerca (1-3 km)</v>
      </c>
      <c r="AA378" s="4"/>
      <c r="AB378" s="4"/>
      <c r="AC378" s="49">
        <v>-11.997563</v>
      </c>
      <c r="AD378" s="49">
        <v>-76.900062000000005</v>
      </c>
      <c r="AE378" s="19" t="str">
        <f>IFERROR(VLOOKUP(C378,tdcargo[],2,FALSE),"DESCONOCIDO")</f>
        <v>OPERARIO</v>
      </c>
    </row>
    <row r="379" spans="1:31" hidden="1" x14ac:dyDescent="0.35">
      <c r="A379" s="8">
        <v>73764321</v>
      </c>
      <c r="B379" s="4" t="s">
        <v>3232</v>
      </c>
      <c r="C379" s="4" t="s">
        <v>1971</v>
      </c>
      <c r="D379" s="5">
        <v>46062</v>
      </c>
      <c r="E379" s="4" t="s">
        <v>31</v>
      </c>
      <c r="F379" s="4" t="s">
        <v>82</v>
      </c>
      <c r="G379" s="4" t="s">
        <v>3233</v>
      </c>
      <c r="H379" s="4" t="s">
        <v>1956</v>
      </c>
      <c r="I379" s="4" t="s">
        <v>1968</v>
      </c>
      <c r="J379" s="4" t="s">
        <v>1968</v>
      </c>
      <c r="K379" s="4" t="s">
        <v>2053</v>
      </c>
      <c r="L379" s="4" t="s">
        <v>1968</v>
      </c>
      <c r="M379" s="4" t="s">
        <v>36</v>
      </c>
      <c r="N379" s="4" t="s">
        <v>3234</v>
      </c>
      <c r="O379" s="4" t="s">
        <v>37</v>
      </c>
      <c r="P379" s="4" t="s">
        <v>37</v>
      </c>
      <c r="Q379" s="10" t="s">
        <v>37</v>
      </c>
      <c r="R379" s="4" t="str">
        <f t="shared" si="27"/>
        <v>Calle Primero De Mayo, Lote 21 BAYOVAR, Lima, Lima, Lima, Perú</v>
      </c>
      <c r="S379" s="4">
        <v>-12.026151199999999</v>
      </c>
      <c r="T379" s="4">
        <v>-76.950059699999997</v>
      </c>
      <c r="U379" s="30">
        <f t="shared" si="24"/>
        <v>6.3</v>
      </c>
      <c r="V379" s="4" t="str">
        <f t="shared" si="25"/>
        <v>🟡 Cerca (5-10 km)</v>
      </c>
      <c r="W379" s="19" t="str" cm="1">
        <f t="array" ref="W379">_xlfn.LET(_xlpm.lat_emp,S379,_xlpm.lon_emp,T379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Bayóvar</v>
      </c>
      <c r="X379" s="19" t="str">
        <f>_xlfn.LET(_xlpm.paradero,W379,INDEX(PARADEROS_VALIDOS!$A$2:$A$67,MATCH(_xlpm.paradero,PARADEROS_VALIDOS!$C$2:$C$67,0)))</f>
        <v>RUTA 6A</v>
      </c>
      <c r="Y379" s="29" cm="1">
        <f t="array" ref="Y379">_xlfn.LET(_xlpm.lat_emp,S379,_xlpm.lon_emp,T379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1.17</v>
      </c>
      <c r="Z379" s="4" t="str">
        <f t="shared" si="26"/>
        <v>🟡 Cerca (1-3 km)</v>
      </c>
      <c r="AA379" s="4"/>
      <c r="AB379" s="4"/>
      <c r="AC379" s="49">
        <v>-11.997563</v>
      </c>
      <c r="AD379" s="49">
        <v>-76.900062000000005</v>
      </c>
      <c r="AE379" s="19" t="str">
        <f>IFERROR(VLOOKUP(C379,tdcargo[],2,FALSE),"DESCONOCIDO")</f>
        <v>OPERARIO</v>
      </c>
    </row>
    <row r="380" spans="1:31" hidden="1" x14ac:dyDescent="0.35">
      <c r="A380" s="8">
        <v>75610364</v>
      </c>
      <c r="B380" s="4" t="s">
        <v>3235</v>
      </c>
      <c r="C380" s="4" t="s">
        <v>1971</v>
      </c>
      <c r="D380" s="5">
        <v>45931</v>
      </c>
      <c r="E380" s="4" t="s">
        <v>31</v>
      </c>
      <c r="F380" s="4" t="s">
        <v>36</v>
      </c>
      <c r="G380" s="4" t="s">
        <v>3236</v>
      </c>
      <c r="H380" s="4" t="s">
        <v>2168</v>
      </c>
      <c r="I380" s="4" t="s">
        <v>1968</v>
      </c>
      <c r="J380" s="4" t="s">
        <v>1968</v>
      </c>
      <c r="K380" s="4" t="s">
        <v>2168</v>
      </c>
      <c r="L380" s="4" t="s">
        <v>202</v>
      </c>
      <c r="M380" s="4" t="s">
        <v>36</v>
      </c>
      <c r="N380" s="4" t="s">
        <v>3237</v>
      </c>
      <c r="O380" s="4" t="s">
        <v>37</v>
      </c>
      <c r="P380" s="4" t="s">
        <v>37</v>
      </c>
      <c r="Q380" s="10" t="s">
        <v>57</v>
      </c>
      <c r="R380" s="4" t="str">
        <f t="shared" si="27"/>
        <v>Ca Primavera Asoc Los Jardines De Santa 13, Lote 13, Mz. L Asoc Los Jardines De, Ate, Lima, Lima, Perú</v>
      </c>
      <c r="S380" s="4">
        <v>-12.0267167</v>
      </c>
      <c r="T380" s="4">
        <v>-76.927698800000002</v>
      </c>
      <c r="U380" s="30">
        <f t="shared" si="24"/>
        <v>4.42</v>
      </c>
      <c r="V380" s="4" t="str">
        <f t="shared" si="25"/>
        <v>🟢 Muy Cerca (0-5 km)</v>
      </c>
      <c r="W380" s="19" t="str" cm="1">
        <f t="array" ref="W380">_xlfn.LET(_xlpm.lat_emp,S380,_xlpm.lon_emp,T380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Panadería Marcela (cruce de la carretera central, con Av. Jose Carlos Mariátegui)</v>
      </c>
      <c r="X380" s="19" t="str">
        <f>_xlfn.LET(_xlpm.paradero,W380,INDEX(PARADEROS_VALIDOS!$A$2:$A$67,MATCH(_xlpm.paradero,PARADEROS_VALIDOS!$C$2:$C$67,0)))</f>
        <v>RUTA 4B</v>
      </c>
      <c r="Y380" s="29" cm="1">
        <f t="array" ref="Y380">_xlfn.LET(_xlpm.lat_emp,S380,_xlpm.lon_emp,T380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0.77</v>
      </c>
      <c r="Z380" s="4" t="str">
        <f t="shared" si="26"/>
        <v>🟢 Muy Cerca (0-1 km)</v>
      </c>
      <c r="AA380" s="4"/>
      <c r="AB380" s="4"/>
      <c r="AC380" s="49">
        <v>-11.997563</v>
      </c>
      <c r="AD380" s="49">
        <v>-76.900062000000005</v>
      </c>
      <c r="AE380" s="19" t="str">
        <f>IFERROR(VLOOKUP(C380,tdcargo[],2,FALSE),"DESCONOCIDO")</f>
        <v>OPERARIO</v>
      </c>
    </row>
    <row r="381" spans="1:31" x14ac:dyDescent="0.35">
      <c r="A381" s="8">
        <v>70641610</v>
      </c>
      <c r="B381" s="4" t="s">
        <v>3238</v>
      </c>
      <c r="C381" s="4" t="s">
        <v>1971</v>
      </c>
      <c r="D381" s="5">
        <v>45931</v>
      </c>
      <c r="E381" s="4" t="s">
        <v>31</v>
      </c>
      <c r="F381" s="4" t="s">
        <v>36</v>
      </c>
      <c r="G381" s="4" t="s">
        <v>3239</v>
      </c>
      <c r="H381" s="4" t="s">
        <v>1956</v>
      </c>
      <c r="I381" s="4" t="s">
        <v>1968</v>
      </c>
      <c r="J381" s="4" t="s">
        <v>1968</v>
      </c>
      <c r="K381" s="4" t="s">
        <v>2283</v>
      </c>
      <c r="L381" s="4" t="s">
        <v>1278</v>
      </c>
      <c r="M381" s="4" t="s">
        <v>36</v>
      </c>
      <c r="N381" s="4" t="s">
        <v>3240</v>
      </c>
      <c r="O381" s="4" t="s">
        <v>37</v>
      </c>
      <c r="P381" s="4" t="s">
        <v>37</v>
      </c>
      <c r="Q381" s="10" t="s">
        <v>57</v>
      </c>
      <c r="R381" s="4" t="str">
        <f t="shared" si="27"/>
        <v>Andres Avelino Caceres Zona T, Lote 22, Mz. A Zona T, Ate, Lima, Lima, Perú</v>
      </c>
      <c r="S381" s="4">
        <v>-12.0439653</v>
      </c>
      <c r="T381" s="4">
        <v>-76.981542399999995</v>
      </c>
      <c r="U381" s="30">
        <f t="shared" si="24"/>
        <v>10.25</v>
      </c>
      <c r="V381" s="4" t="str">
        <f t="shared" si="25"/>
        <v>🟠 Moderada (10-20 km)</v>
      </c>
      <c r="W381" s="19" t="str" cm="1">
        <f t="array" ref="W381">_xlfn.LET(_xlpm.lat_emp,S381,_xlpm.lon_emp,T381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Puente Perales</v>
      </c>
      <c r="X381" s="19" t="str">
        <f>_xlfn.LET(_xlpm.paradero,W381,INDEX(PARADEROS_VALIDOS!$A$2:$A$67,MATCH(_xlpm.paradero,PARADEROS_VALIDOS!$C$2:$C$67,0)))</f>
        <v>RUTA 7</v>
      </c>
      <c r="Y381" s="29" cm="1">
        <f t="array" ref="Y381">_xlfn.LET(_xlpm.lat_emp,S381,_xlpm.lon_emp,T381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0.38</v>
      </c>
      <c r="Z381" s="4" t="str">
        <f t="shared" si="26"/>
        <v>🟢 Muy Cerca (0-1 km)</v>
      </c>
      <c r="AA381" s="4"/>
      <c r="AB381" s="4"/>
      <c r="AC381" s="49">
        <v>-11.997563</v>
      </c>
      <c r="AD381" s="49">
        <v>-76.900062000000005</v>
      </c>
      <c r="AE381" s="19" t="str">
        <f>IFERROR(VLOOKUP(C381,tdcargo[],2,FALSE),"DESCONOCIDO")</f>
        <v>OPERARIO</v>
      </c>
    </row>
    <row r="382" spans="1:31" hidden="1" x14ac:dyDescent="0.35">
      <c r="A382" s="8">
        <v>45498164</v>
      </c>
      <c r="B382" s="4" t="s">
        <v>1964</v>
      </c>
      <c r="C382" s="4" t="s">
        <v>1965</v>
      </c>
      <c r="D382" s="5">
        <v>45964</v>
      </c>
      <c r="E382" s="4" t="s">
        <v>31</v>
      </c>
      <c r="F382" s="4" t="s">
        <v>34</v>
      </c>
      <c r="G382" s="4" t="s">
        <v>1966</v>
      </c>
      <c r="H382" s="4" t="s">
        <v>1967</v>
      </c>
      <c r="I382" s="4" t="s">
        <v>1968</v>
      </c>
      <c r="J382" s="4" t="s">
        <v>1968</v>
      </c>
      <c r="K382" s="4" t="s">
        <v>1968</v>
      </c>
      <c r="L382" s="4" t="s">
        <v>1968</v>
      </c>
      <c r="M382" s="4" t="s">
        <v>36</v>
      </c>
      <c r="N382" s="4" t="s">
        <v>1969</v>
      </c>
      <c r="O382" s="4" t="s">
        <v>37</v>
      </c>
      <c r="P382" s="4" t="s">
        <v>37</v>
      </c>
      <c r="Q382" s="10" t="s">
        <v>37</v>
      </c>
      <c r="R382" s="4" t="str">
        <f t="shared" si="27"/>
        <v>Avenida General Salaverry 3590 San Isidro, Lima, Lima, Lima, Perú</v>
      </c>
      <c r="S382" s="4">
        <v>-12.095280900000001</v>
      </c>
      <c r="T382" s="4">
        <v>-77.054264700000004</v>
      </c>
      <c r="U382" s="30">
        <f t="shared" si="24"/>
        <v>19.98</v>
      </c>
      <c r="V382" s="4" t="str">
        <f t="shared" si="25"/>
        <v>🟠 Moderada (10-20 km)</v>
      </c>
      <c r="W382" s="19" t="str" cm="1">
        <f t="array" ref="W382">_xlfn.LET(_xlpm.lat_emp,S382,_xlpm.lon_emp,T382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Universitaria con La Marina</v>
      </c>
      <c r="X382" s="19" t="str">
        <f>_xlfn.LET(_xlpm.paradero,W382,INDEX(PARADEROS_VALIDOS!$A$2:$A$67,MATCH(_xlpm.paradero,PARADEROS_VALIDOS!$C$2:$C$67,0)))</f>
        <v>RUTA 9</v>
      </c>
      <c r="Y382" s="29" cm="1">
        <f t="array" ref="Y382">_xlfn.LET(_xlpm.lat_emp,S382,_xlpm.lon_emp,T382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3.54</v>
      </c>
      <c r="Z382" s="4" t="str">
        <f t="shared" si="26"/>
        <v>🟠 Moderada (3-5 km)</v>
      </c>
      <c r="AA382" s="4"/>
      <c r="AB382" s="4"/>
      <c r="AC382" s="49">
        <v>-11.997563</v>
      </c>
      <c r="AD382" s="49">
        <v>-76.900062000000005</v>
      </c>
      <c r="AE382" s="19" t="str">
        <f>IFERROR(VLOOKUP(C382,tdcargo[],2,FALSE),"DESCONOCIDO")</f>
        <v>STAFF</v>
      </c>
    </row>
    <row r="383" spans="1:31" hidden="1" x14ac:dyDescent="0.35">
      <c r="A383" s="8">
        <v>75967651</v>
      </c>
      <c r="B383" s="4" t="s">
        <v>1976</v>
      </c>
      <c r="C383" s="4" t="s">
        <v>1977</v>
      </c>
      <c r="D383" s="5">
        <v>43444</v>
      </c>
      <c r="E383" s="4" t="s">
        <v>31</v>
      </c>
      <c r="F383" s="4" t="s">
        <v>36</v>
      </c>
      <c r="G383" s="4" t="s">
        <v>1978</v>
      </c>
      <c r="H383" s="4" t="s">
        <v>1956</v>
      </c>
      <c r="I383" s="4" t="s">
        <v>1968</v>
      </c>
      <c r="J383" s="4" t="s">
        <v>1968</v>
      </c>
      <c r="K383" s="4" t="s">
        <v>1968</v>
      </c>
      <c r="L383" s="4" t="s">
        <v>1968</v>
      </c>
      <c r="M383" s="4" t="s">
        <v>186</v>
      </c>
      <c r="N383" s="4" t="s">
        <v>46</v>
      </c>
      <c r="O383" s="4" t="s">
        <v>37</v>
      </c>
      <c r="P383" s="4" t="s">
        <v>37</v>
      </c>
      <c r="Q383" s="10" t="s">
        <v>76</v>
      </c>
      <c r="R383" s="4" t="str">
        <f t="shared" si="27"/>
        <v>Urb. Nieveria Cajarquilla, Urb. Urbanización Nd, Lurigancho, Lima, Lima, Perú</v>
      </c>
      <c r="S383" s="4">
        <v>-11.983333</v>
      </c>
      <c r="T383" s="4">
        <v>-76.916667000000004</v>
      </c>
      <c r="U383" s="30">
        <f t="shared" si="24"/>
        <v>2.4</v>
      </c>
      <c r="V383" s="4" t="str">
        <f t="shared" si="25"/>
        <v>🟢 Muy Cerca (0-5 km)</v>
      </c>
      <c r="W383" s="19" t="str" cm="1">
        <f t="array" ref="W383">_xlfn.LET(_xlpm.lat_emp,S383,_xlpm.lon_emp,T383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383" s="19" t="str">
        <f>_xlfn.LET(_xlpm.paradero,W383,INDEX(PARADEROS_VALIDOS!$A$2:$A$67,MATCH(_xlpm.paradero,PARADEROS_VALIDOS!$C$2:$C$67,0)))</f>
        <v>RUTA 2</v>
      </c>
      <c r="Y383" s="29" cm="1">
        <f t="array" ref="Y383">_xlfn.LET(_xlpm.lat_emp,S383,_xlpm.lon_emp,T383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1.86</v>
      </c>
      <c r="Z383" s="4" t="str">
        <f t="shared" si="26"/>
        <v>🟡 Cerca (1-3 km)</v>
      </c>
      <c r="AA383" s="4"/>
      <c r="AB383" s="4"/>
      <c r="AC383" s="49">
        <v>-11.997563</v>
      </c>
      <c r="AD383" s="49">
        <v>-76.900062000000005</v>
      </c>
      <c r="AE383" s="19" t="str">
        <f>IFERROR(VLOOKUP(C383,tdcargo[],2,FALSE),"DESCONOCIDO")</f>
        <v>STAFF</v>
      </c>
    </row>
    <row r="384" spans="1:31" x14ac:dyDescent="0.35">
      <c r="A384" s="8">
        <v>70522039</v>
      </c>
      <c r="B384" s="4" t="s">
        <v>2030</v>
      </c>
      <c r="C384" s="4" t="s">
        <v>2031</v>
      </c>
      <c r="D384" s="5">
        <v>44105</v>
      </c>
      <c r="E384" s="4" t="s">
        <v>31</v>
      </c>
      <c r="F384" s="4" t="s">
        <v>82</v>
      </c>
      <c r="G384" s="4" t="s">
        <v>2032</v>
      </c>
      <c r="H384" s="4" t="s">
        <v>1956</v>
      </c>
      <c r="I384" s="4" t="s">
        <v>1968</v>
      </c>
      <c r="J384" s="4" t="s">
        <v>1968</v>
      </c>
      <c r="K384" s="4" t="s">
        <v>1968</v>
      </c>
      <c r="L384" s="4" t="s">
        <v>1968</v>
      </c>
      <c r="M384" s="4" t="s">
        <v>88</v>
      </c>
      <c r="N384" s="4" t="s">
        <v>2033</v>
      </c>
      <c r="O384" s="4" t="s">
        <v>37</v>
      </c>
      <c r="P384" s="4" t="s">
        <v>37</v>
      </c>
      <c r="Q384" s="10" t="s">
        <v>2034</v>
      </c>
      <c r="R384" s="4" t="str">
        <f t="shared" si="27"/>
        <v>Calle Jose.A.Quiñones Mz C1 Lt.12A, A.H. Asentamiento Humano Abelino Caceres, Chorrillos, Lima, Lima, Perú</v>
      </c>
      <c r="S384" s="4">
        <v>-12.205092799999999</v>
      </c>
      <c r="T384" s="4">
        <v>-76.977610100000007</v>
      </c>
      <c r="U384" s="30">
        <f t="shared" si="24"/>
        <v>24.57</v>
      </c>
      <c r="V384" s="4" t="str">
        <f t="shared" si="25"/>
        <v>🔴 Lejos (&gt;20 km)</v>
      </c>
      <c r="W384" s="19" t="str" cm="1">
        <f t="array" ref="W384">_xlfn.LET(_xlpm.lat_emp,S384,_xlpm.lon_emp,T384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Villa El Salvador (Cruce Av. 1ro de Mayo con ruta C)</v>
      </c>
      <c r="X384" s="19" t="str">
        <f>_xlfn.LET(_xlpm.paradero,W384,INDEX(PARADEROS_VALIDOS!$A$2:$A$67,MATCH(_xlpm.paradero,PARADEROS_VALIDOS!$C$2:$C$67,0)))</f>
        <v>RUTA 7</v>
      </c>
      <c r="Y384" s="29" cm="1">
        <f t="array" ref="Y384">_xlfn.LET(_xlpm.lat_emp,S384,_xlpm.lon_emp,T384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2.3199999999999998</v>
      </c>
      <c r="Z384" s="4" t="str">
        <f t="shared" si="26"/>
        <v>🟡 Cerca (1-3 km)</v>
      </c>
      <c r="AA384" s="4"/>
      <c r="AB384" s="4"/>
      <c r="AC384" s="49">
        <v>-11.997563</v>
      </c>
      <c r="AD384" s="49">
        <v>-76.900062000000005</v>
      </c>
      <c r="AE384" s="19" t="str">
        <f>IFERROR(VLOOKUP(C384,tdcargo[],2,FALSE),"DESCONOCIDO")</f>
        <v>STAFF</v>
      </c>
    </row>
    <row r="385" spans="1:31" hidden="1" x14ac:dyDescent="0.35">
      <c r="A385" s="8">
        <v>40743883</v>
      </c>
      <c r="B385" s="4" t="s">
        <v>2040</v>
      </c>
      <c r="C385" s="4" t="s">
        <v>2041</v>
      </c>
      <c r="D385" s="5">
        <v>45537</v>
      </c>
      <c r="E385" s="4" t="s">
        <v>31</v>
      </c>
      <c r="F385" s="4" t="s">
        <v>53</v>
      </c>
      <c r="G385" s="4" t="s">
        <v>2042</v>
      </c>
      <c r="H385" s="4" t="s">
        <v>1956</v>
      </c>
      <c r="I385" s="4" t="s">
        <v>1968</v>
      </c>
      <c r="J385" s="4" t="s">
        <v>1968</v>
      </c>
      <c r="K385" s="4" t="s">
        <v>1968</v>
      </c>
      <c r="L385" s="4" t="s">
        <v>1968</v>
      </c>
      <c r="M385" s="4" t="s">
        <v>186</v>
      </c>
      <c r="N385" s="4" t="s">
        <v>2043</v>
      </c>
      <c r="O385" s="4" t="s">
        <v>872</v>
      </c>
      <c r="P385" s="4" t="s">
        <v>873</v>
      </c>
      <c r="Q385" s="10" t="s">
        <v>873</v>
      </c>
      <c r="R385" s="4" t="str">
        <f t="shared" si="27"/>
        <v>Jirón Iquitos Mza E Lote 16 Urb. Santa Rosa, Urb. Urbanización Urb Santa Rosa, Callao, Callao, Const. Del Callao, Perú</v>
      </c>
      <c r="S385" s="4">
        <v>-12.044122700000001</v>
      </c>
      <c r="T385" s="4">
        <v>-77.112279099999995</v>
      </c>
      <c r="U385" s="30">
        <f t="shared" si="24"/>
        <v>23.65</v>
      </c>
      <c r="V385" s="4" t="str">
        <f t="shared" si="25"/>
        <v>🔴 Lejos (&gt;20 km)</v>
      </c>
      <c r="W385" s="19" t="str" cm="1">
        <f t="array" ref="W385">_xlfn.LET(_xlpm.lat_emp,S385,_xlpm.lon_emp,T385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Sta. Rosa</v>
      </c>
      <c r="X385" s="19" t="str">
        <f>_xlfn.LET(_xlpm.paradero,W385,INDEX(PARADEROS_VALIDOS!$A$2:$A$67,MATCH(_xlpm.paradero,PARADEROS_VALIDOS!$C$2:$C$67,0)))</f>
        <v>RUTA 3</v>
      </c>
      <c r="Y385" s="29" cm="1">
        <f t="array" ref="Y385">_xlfn.LET(_xlpm.lat_emp,S385,_xlpm.lon_emp,T385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0.96</v>
      </c>
      <c r="Z385" s="4" t="str">
        <f t="shared" si="26"/>
        <v>🟢 Muy Cerca (0-1 km)</v>
      </c>
      <c r="AA385" s="4"/>
      <c r="AB385" s="4"/>
      <c r="AC385" s="49">
        <v>-11.997563</v>
      </c>
      <c r="AD385" s="49">
        <v>-76.900062000000005</v>
      </c>
      <c r="AE385" s="19" t="str">
        <f>IFERROR(VLOOKUP(C385,tdcargo[],2,FALSE),"DESCONOCIDO")</f>
        <v>STAFF</v>
      </c>
    </row>
    <row r="386" spans="1:31" hidden="1" x14ac:dyDescent="0.35">
      <c r="A386" s="8">
        <v>77032421</v>
      </c>
      <c r="B386" s="4" t="s">
        <v>2044</v>
      </c>
      <c r="C386" s="4" t="s">
        <v>2045</v>
      </c>
      <c r="D386" s="5">
        <v>44637</v>
      </c>
      <c r="E386" s="4" t="s">
        <v>31</v>
      </c>
      <c r="F386" s="4" t="s">
        <v>34</v>
      </c>
      <c r="G386" s="4" t="s">
        <v>249</v>
      </c>
      <c r="H386" s="4" t="s">
        <v>1956</v>
      </c>
      <c r="I386" s="4" t="s">
        <v>1968</v>
      </c>
      <c r="J386" s="4" t="s">
        <v>1968</v>
      </c>
      <c r="K386" s="4" t="s">
        <v>1968</v>
      </c>
      <c r="L386" s="4" t="s">
        <v>1968</v>
      </c>
      <c r="M386" s="4" t="s">
        <v>88</v>
      </c>
      <c r="N386" s="4" t="s">
        <v>2046</v>
      </c>
      <c r="O386" s="4" t="s">
        <v>37</v>
      </c>
      <c r="P386" s="4" t="s">
        <v>37</v>
      </c>
      <c r="Q386" s="10" t="s">
        <v>76</v>
      </c>
      <c r="R386" s="4" t="str">
        <f t="shared" si="27"/>
        <v>Avenida Los Eucaliptos, A.H. Asentamiento Humano Paraã�So De Cajamarquilla, Lurigancho, Lima, Lima, Perú</v>
      </c>
      <c r="S386" s="4">
        <v>-11.984105100000001</v>
      </c>
      <c r="T386" s="4">
        <v>-76.9183594</v>
      </c>
      <c r="U386" s="30">
        <f t="shared" ref="U386:U449" si="28">IF(OR(S386="",T386=""),"Sin coordenadas",ROUND(6371*ACOS(COS(RADIANS(90-S386))*COS(RADIANS(90-(-11.997563)))+SIN(RADIANS(90-S386))*SIN(RADIANS(90-(-11.997563)))*COS(RADIANS(T386-(-76.900062)))),2))</f>
        <v>2.4900000000000002</v>
      </c>
      <c r="V386" s="4" t="str">
        <f t="shared" ref="V386:V449" si="29">IF(U386="Sin coordenadas","N/A",IF(U386&lt;=5,"🟢 Muy Cerca (0-5 km)",IF(U386&lt;=10,"🟡 Cerca (5-10 km)",IF(U386&lt;=20,"🟠 Moderada (10-20 km)","🔴 Lejos (&gt;20 km)"))))</f>
        <v>🟢 Muy Cerca (0-5 km)</v>
      </c>
      <c r="W386" s="19" t="str" cm="1">
        <f t="array" ref="W386">_xlfn.LET(_xlpm.lat_emp,S386,_xlpm.lon_emp,T386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386" s="19" t="str">
        <f>_xlfn.LET(_xlpm.paradero,W386,INDEX(PARADEROS_VALIDOS!$A$2:$A$67,MATCH(_xlpm.paradero,PARADEROS_VALIDOS!$C$2:$C$67,0)))</f>
        <v>RUTA 2</v>
      </c>
      <c r="Y386" s="29" cm="1">
        <f t="array" ref="Y386">_xlfn.LET(_xlpm.lat_emp,S386,_xlpm.lon_emp,T386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1.96</v>
      </c>
      <c r="Z386" s="4" t="str">
        <f t="shared" ref="Z386:Z449" si="30">IF(Y386&lt;=1,"🟢 Muy Cerca (0-1 km)",IF(Y386&lt;=3,"🟡 Cerca (1-3 km)",IF(Y386&lt;=5,"🟠 Moderada (3-5 km)","🔴 Lejos (&gt;5 km)")))</f>
        <v>🟡 Cerca (1-3 km)</v>
      </c>
      <c r="AA386" s="4"/>
      <c r="AB386" s="4"/>
      <c r="AC386" s="49">
        <v>-11.997563</v>
      </c>
      <c r="AD386" s="49">
        <v>-76.900062000000005</v>
      </c>
      <c r="AE386" s="19" t="str">
        <f>IFERROR(VLOOKUP(C386,tdcargo[],2,FALSE),"DESCONOCIDO")</f>
        <v>STAFF</v>
      </c>
    </row>
    <row r="387" spans="1:31" x14ac:dyDescent="0.35">
      <c r="A387" s="8">
        <v>44836196</v>
      </c>
      <c r="B387" s="4" t="s">
        <v>2047</v>
      </c>
      <c r="C387" s="4" t="s">
        <v>378</v>
      </c>
      <c r="D387" s="5">
        <v>45698</v>
      </c>
      <c r="E387" s="4" t="s">
        <v>31</v>
      </c>
      <c r="F387" s="4" t="s">
        <v>34</v>
      </c>
      <c r="G387" s="4" t="s">
        <v>2048</v>
      </c>
      <c r="H387" s="4" t="s">
        <v>2049</v>
      </c>
      <c r="I387" s="4" t="s">
        <v>1968</v>
      </c>
      <c r="J387" s="4" t="s">
        <v>1968</v>
      </c>
      <c r="K387" s="4" t="s">
        <v>1968</v>
      </c>
      <c r="L387" s="4" t="s">
        <v>1968</v>
      </c>
      <c r="M387" s="4" t="s">
        <v>36</v>
      </c>
      <c r="N387" s="4" t="s">
        <v>2050</v>
      </c>
      <c r="O387" s="4" t="s">
        <v>37</v>
      </c>
      <c r="P387" s="4" t="s">
        <v>37</v>
      </c>
      <c r="Q387" s="10" t="s">
        <v>116</v>
      </c>
      <c r="R387" s="4" t="str">
        <f t="shared" si="27"/>
        <v>Avenida Huaylas 31 Laura Caller Iberico, Los Olivos, Lima, Lima, Perú</v>
      </c>
      <c r="S387" s="4">
        <v>-11.9707512</v>
      </c>
      <c r="T387" s="4">
        <v>-77.077983000000003</v>
      </c>
      <c r="U387" s="30">
        <f t="shared" si="28"/>
        <v>19.579999999999998</v>
      </c>
      <c r="V387" s="4" t="str">
        <f t="shared" si="29"/>
        <v>🟠 Moderada (10-20 km)</v>
      </c>
      <c r="W387" s="19" t="str" cm="1">
        <f t="array" ref="W387">_xlfn.LET(_xlpm.lat_emp,S387,_xlpm.lon_emp,T387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Puente Benavides (Arriba del puente, antes del semáforo)</v>
      </c>
      <c r="X387" s="19" t="str">
        <f>_xlfn.LET(_xlpm.paradero,W387,INDEX(PARADEROS_VALIDOS!$A$2:$A$67,MATCH(_xlpm.paradero,PARADEROS_VALIDOS!$C$2:$C$67,0)))</f>
        <v>RUTA 7</v>
      </c>
      <c r="Y387" s="29" cm="1">
        <f t="array" ref="Y387">_xlfn.LET(_xlpm.lat_emp,S387,_xlpm.lon_emp,T387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0.56999999999999995</v>
      </c>
      <c r="Z387" s="4" t="str">
        <f t="shared" si="30"/>
        <v>🟢 Muy Cerca (0-1 km)</v>
      </c>
      <c r="AA387" s="4"/>
      <c r="AB387" s="4"/>
      <c r="AC387" s="49">
        <v>-11.997563</v>
      </c>
      <c r="AD387" s="49">
        <v>-76.900062000000005</v>
      </c>
      <c r="AE387" s="19" t="str">
        <f>IFERROR(VLOOKUP(C387,tdcargo[],2,FALSE),"DESCONOCIDO")</f>
        <v>STAFF</v>
      </c>
    </row>
    <row r="388" spans="1:31" hidden="1" x14ac:dyDescent="0.35">
      <c r="A388" s="8">
        <v>60786100</v>
      </c>
      <c r="B388" s="4" t="s">
        <v>2063</v>
      </c>
      <c r="C388" s="4" t="s">
        <v>2064</v>
      </c>
      <c r="D388" s="5">
        <v>45120</v>
      </c>
      <c r="E388" s="4" t="s">
        <v>31</v>
      </c>
      <c r="F388" s="4" t="s">
        <v>36</v>
      </c>
      <c r="G388" s="4" t="s">
        <v>2065</v>
      </c>
      <c r="H388" s="4" t="s">
        <v>1956</v>
      </c>
      <c r="I388" s="4" t="s">
        <v>1968</v>
      </c>
      <c r="J388" s="4" t="s">
        <v>1968</v>
      </c>
      <c r="K388" s="4" t="s">
        <v>1968</v>
      </c>
      <c r="L388" s="4" t="s">
        <v>1968</v>
      </c>
      <c r="M388" s="4" t="s">
        <v>36</v>
      </c>
      <c r="N388" s="4" t="s">
        <v>2066</v>
      </c>
      <c r="O388" s="4" t="s">
        <v>37</v>
      </c>
      <c r="P388" s="4" t="s">
        <v>37</v>
      </c>
      <c r="Q388" s="10" t="s">
        <v>38</v>
      </c>
      <c r="R388" s="4" t="str">
        <f t="shared" si="27"/>
        <v>Mz D Lt 30 Cristo Rey Casa Blanca, San Juan De Lurigancho, Lima, Lima, Perú</v>
      </c>
      <c r="S388" s="4">
        <v>-11.9371218</v>
      </c>
      <c r="T388" s="4">
        <v>-77.004266099999995</v>
      </c>
      <c r="U388" s="30">
        <f t="shared" si="28"/>
        <v>13.18</v>
      </c>
      <c r="V388" s="4" t="str">
        <f t="shared" si="29"/>
        <v>🟠 Moderada (10-20 km)</v>
      </c>
      <c r="W388" s="19" t="str" cm="1">
        <f t="array" ref="W388">_xlfn.LET(_xlpm.lat_emp,S388,_xlpm.lon_emp,T388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Acho</v>
      </c>
      <c r="X388" s="19" t="str">
        <f>_xlfn.LET(_xlpm.paradero,W388,INDEX(PARADEROS_VALIDOS!$A$2:$A$67,MATCH(_xlpm.paradero,PARADEROS_VALIDOS!$C$2:$C$67,0)))</f>
        <v>RUTA 8</v>
      </c>
      <c r="Y388" s="29" cm="1">
        <f t="array" ref="Y388">_xlfn.LET(_xlpm.lat_emp,S388,_xlpm.lon_emp,T388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3.91</v>
      </c>
      <c r="Z388" s="4" t="str">
        <f t="shared" si="30"/>
        <v>🟠 Moderada (3-5 km)</v>
      </c>
      <c r="AA388" s="4"/>
      <c r="AB388" s="4"/>
      <c r="AC388" s="49">
        <v>-11.997563</v>
      </c>
      <c r="AD388" s="49">
        <v>-76.900062000000005</v>
      </c>
      <c r="AE388" s="19" t="str">
        <f>IFERROR(VLOOKUP(C388,tdcargo[],2,FALSE),"DESCONOCIDO")</f>
        <v>STAFF</v>
      </c>
    </row>
    <row r="389" spans="1:31" hidden="1" x14ac:dyDescent="0.35">
      <c r="A389" s="8">
        <v>74096635</v>
      </c>
      <c r="B389" s="4" t="s">
        <v>2069</v>
      </c>
      <c r="C389" s="4" t="s">
        <v>2070</v>
      </c>
      <c r="D389" s="5">
        <v>44298</v>
      </c>
      <c r="E389" s="4" t="s">
        <v>31</v>
      </c>
      <c r="F389" s="4" t="s">
        <v>148</v>
      </c>
      <c r="G389" s="4" t="s">
        <v>2071</v>
      </c>
      <c r="H389" s="4" t="s">
        <v>1956</v>
      </c>
      <c r="I389" s="4" t="s">
        <v>1968</v>
      </c>
      <c r="J389" s="4" t="s">
        <v>1968</v>
      </c>
      <c r="K389" s="4" t="s">
        <v>1968</v>
      </c>
      <c r="L389" s="4" t="s">
        <v>1968</v>
      </c>
      <c r="M389" s="4" t="s">
        <v>55</v>
      </c>
      <c r="N389" s="4" t="s">
        <v>2072</v>
      </c>
      <c r="O389" s="4" t="s">
        <v>37</v>
      </c>
      <c r="P389" s="4" t="s">
        <v>37</v>
      </c>
      <c r="Q389" s="10" t="s">
        <v>347</v>
      </c>
      <c r="R389" s="4" t="str">
        <f t="shared" si="27"/>
        <v>Pasaje Los Condores Con Los Sorsales, Coo. Cooperativa Cooperativa Huancayo, El Agustino, Lima, Lima, Perú</v>
      </c>
      <c r="S389" s="4">
        <v>-12.0314531</v>
      </c>
      <c r="T389" s="4">
        <v>-76.996707099999995</v>
      </c>
      <c r="U389" s="30">
        <f t="shared" si="28"/>
        <v>11.17</v>
      </c>
      <c r="V389" s="4" t="str">
        <f t="shared" si="29"/>
        <v>🟠 Moderada (10-20 km)</v>
      </c>
      <c r="W389" s="19" t="str" cm="1">
        <f t="array" ref="W389">_xlfn.LET(_xlpm.lat_emp,S389,_xlpm.lon_emp,T389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Puente Nuevo (Av. Chinchaysuyo &amp; Av. Malecón Checa)</v>
      </c>
      <c r="X389" s="19" t="str">
        <f>_xlfn.LET(_xlpm.paradero,W389,INDEX(PARADEROS_VALIDOS!$A$2:$A$67,MATCH(_xlpm.paradero,PARADEROS_VALIDOS!$C$2:$C$67,0)))</f>
        <v>RUTA 6C</v>
      </c>
      <c r="Y389" s="29" cm="1">
        <f t="array" ref="Y389">_xlfn.LET(_xlpm.lat_emp,S389,_xlpm.lon_emp,T389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0.45</v>
      </c>
      <c r="Z389" s="4" t="str">
        <f t="shared" si="30"/>
        <v>🟢 Muy Cerca (0-1 km)</v>
      </c>
      <c r="AA389" s="4"/>
      <c r="AB389" s="4"/>
      <c r="AC389" s="49">
        <v>-11.997563</v>
      </c>
      <c r="AD389" s="49">
        <v>-76.900062000000005</v>
      </c>
      <c r="AE389" s="19" t="str">
        <f>IFERROR(VLOOKUP(C389,tdcargo[],2,FALSE),"DESCONOCIDO")</f>
        <v>STAFF</v>
      </c>
    </row>
    <row r="390" spans="1:31" x14ac:dyDescent="0.35">
      <c r="A390" s="8">
        <v>41265980</v>
      </c>
      <c r="B390" s="4" t="s">
        <v>2095</v>
      </c>
      <c r="C390" s="4" t="s">
        <v>2096</v>
      </c>
      <c r="D390" s="5">
        <v>44851</v>
      </c>
      <c r="E390" s="4" t="s">
        <v>31</v>
      </c>
      <c r="F390" s="4" t="s">
        <v>34</v>
      </c>
      <c r="G390" s="4" t="s">
        <v>2097</v>
      </c>
      <c r="H390" s="4" t="s">
        <v>2098</v>
      </c>
      <c r="I390" s="4" t="s">
        <v>1968</v>
      </c>
      <c r="J390" s="4" t="s">
        <v>2099</v>
      </c>
      <c r="K390" s="4" t="s">
        <v>1968</v>
      </c>
      <c r="L390" s="4" t="s">
        <v>1968</v>
      </c>
      <c r="M390" s="4" t="s">
        <v>186</v>
      </c>
      <c r="N390" s="4" t="s">
        <v>2100</v>
      </c>
      <c r="O390" s="4" t="s">
        <v>37</v>
      </c>
      <c r="P390" s="4" t="s">
        <v>37</v>
      </c>
      <c r="Q390" s="10" t="s">
        <v>1410</v>
      </c>
      <c r="R390" s="4" t="str">
        <f t="shared" si="27"/>
        <v>Avenida Hillman 144, Int. 403, Urb. Urbanización La Calera De La Merced, Surquillo, Lima, Lima, Perú</v>
      </c>
      <c r="S390" s="4">
        <v>-12.11594</v>
      </c>
      <c r="T390" s="4">
        <v>-76.99933</v>
      </c>
      <c r="U390" s="30">
        <f t="shared" si="28"/>
        <v>17.02</v>
      </c>
      <c r="V390" s="4" t="str">
        <f t="shared" si="29"/>
        <v>🟠 Moderada (10-20 km)</v>
      </c>
      <c r="W390" s="19" t="str" cm="1">
        <f t="array" ref="W390">_xlfn.LET(_xlpm.lat_emp,S390,_xlpm.lon_emp,T390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Pentagonito</v>
      </c>
      <c r="X390" s="19" t="str">
        <f>_xlfn.LET(_xlpm.paradero,W390,INDEX(PARADEROS_VALIDOS!$A$2:$A$67,MATCH(_xlpm.paradero,PARADEROS_VALIDOS!$C$2:$C$67,0)))</f>
        <v>RUTA 7</v>
      </c>
      <c r="Y390" s="29" cm="1">
        <f t="array" ref="Y390">_xlfn.LET(_xlpm.lat_emp,S390,_xlpm.lon_emp,T390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2.17</v>
      </c>
      <c r="Z390" s="4" t="str">
        <f t="shared" si="30"/>
        <v>🟡 Cerca (1-3 km)</v>
      </c>
      <c r="AA390" s="4"/>
      <c r="AB390" s="4"/>
      <c r="AC390" s="49">
        <v>-11.997563</v>
      </c>
      <c r="AD390" s="49">
        <v>-76.900062000000005</v>
      </c>
      <c r="AE390" s="19" t="str">
        <f>IFERROR(VLOOKUP(C390,tdcargo[],2,FALSE),"DESCONOCIDO")</f>
        <v>STAFF</v>
      </c>
    </row>
    <row r="391" spans="1:31" x14ac:dyDescent="0.35">
      <c r="A391" s="8">
        <v>44158664</v>
      </c>
      <c r="B391" s="4" t="s">
        <v>2129</v>
      </c>
      <c r="C391" s="4" t="s">
        <v>2130</v>
      </c>
      <c r="D391" s="5">
        <v>41778</v>
      </c>
      <c r="E391" s="4" t="s">
        <v>31</v>
      </c>
      <c r="F391" s="4" t="s">
        <v>36</v>
      </c>
      <c r="G391" s="4" t="s">
        <v>2131</v>
      </c>
      <c r="H391" s="4" t="s">
        <v>1956</v>
      </c>
      <c r="I391" s="4" t="s">
        <v>1061</v>
      </c>
      <c r="J391" s="4" t="s">
        <v>1968</v>
      </c>
      <c r="K391" s="4" t="s">
        <v>1968</v>
      </c>
      <c r="L391" s="4" t="s">
        <v>1968</v>
      </c>
      <c r="M391" s="4" t="s">
        <v>66</v>
      </c>
      <c r="N391" s="4" t="s">
        <v>2132</v>
      </c>
      <c r="O391" s="4" t="s">
        <v>37</v>
      </c>
      <c r="P391" s="4" t="s">
        <v>37</v>
      </c>
      <c r="Q391" s="10" t="s">
        <v>76</v>
      </c>
      <c r="R391" s="4" t="str">
        <f t="shared" si="27"/>
        <v>Calle Alameda, Apt. S/N, U.V. Unidad Vecinal Palmeras De Frontera, Lurigancho, Lima, Lima, Perú</v>
      </c>
      <c r="S391" s="4">
        <v>-12.2095181</v>
      </c>
      <c r="T391" s="4">
        <v>-77.007679600000003</v>
      </c>
      <c r="U391" s="30">
        <f t="shared" si="28"/>
        <v>26.31</v>
      </c>
      <c r="V391" s="4" t="str">
        <f t="shared" si="29"/>
        <v>🔴 Lejos (&gt;20 km)</v>
      </c>
      <c r="W391" s="19" t="str" cm="1">
        <f t="array" ref="W391">_xlfn.LET(_xlpm.lat_emp,S391,_xlpm.lon_emp,T391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Puente Alipio</v>
      </c>
      <c r="X391" s="19" t="str">
        <f>_xlfn.LET(_xlpm.paradero,W391,INDEX(PARADEROS_VALIDOS!$A$2:$A$67,MATCH(_xlpm.paradero,PARADEROS_VALIDOS!$C$2:$C$67,0)))</f>
        <v>RUTA 7</v>
      </c>
      <c r="Y391" s="29" cm="1">
        <f t="array" ref="Y391">_xlfn.LET(_xlpm.lat_emp,S391,_xlpm.lon_emp,T391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5.5</v>
      </c>
      <c r="Z391" s="4" t="str">
        <f t="shared" si="30"/>
        <v>🔴 Lejos (&gt;5 km)</v>
      </c>
      <c r="AA391" s="4"/>
      <c r="AB391" s="4"/>
      <c r="AC391" s="49">
        <v>-11.997563</v>
      </c>
      <c r="AD391" s="49">
        <v>-76.900062000000005</v>
      </c>
      <c r="AE391" s="19" t="str">
        <f>IFERROR(VLOOKUP(C391,tdcargo[],2,FALSE),"DESCONOCIDO")</f>
        <v>STAFF</v>
      </c>
    </row>
    <row r="392" spans="1:31" x14ac:dyDescent="0.35">
      <c r="A392" s="8">
        <v>48215632</v>
      </c>
      <c r="B392" s="4" t="s">
        <v>2145</v>
      </c>
      <c r="C392" s="4" t="s">
        <v>2045</v>
      </c>
      <c r="D392" s="5">
        <v>44567</v>
      </c>
      <c r="E392" s="4" t="s">
        <v>31</v>
      </c>
      <c r="F392" s="4" t="s">
        <v>34</v>
      </c>
      <c r="G392" s="4" t="s">
        <v>1510</v>
      </c>
      <c r="H392" s="4" t="s">
        <v>1956</v>
      </c>
      <c r="I392" s="4" t="s">
        <v>1968</v>
      </c>
      <c r="J392" s="4" t="s">
        <v>1968</v>
      </c>
      <c r="K392" s="4" t="s">
        <v>1968</v>
      </c>
      <c r="L392" s="4" t="s">
        <v>1968</v>
      </c>
      <c r="M392" s="4" t="s">
        <v>186</v>
      </c>
      <c r="N392" s="4" t="s">
        <v>1377</v>
      </c>
      <c r="O392" s="4" t="s">
        <v>37</v>
      </c>
      <c r="P392" s="4" t="s">
        <v>37</v>
      </c>
      <c r="Q392" s="10" t="s">
        <v>57</v>
      </c>
      <c r="R392" s="4" t="str">
        <f t="shared" si="27"/>
        <v>Avenida Primavera, Urb. Urbanización Santa Isabel, Ate, Lima, Lima, Perú</v>
      </c>
      <c r="S392" s="4">
        <v>-12.0678111</v>
      </c>
      <c r="T392" s="4">
        <v>-76.985817800000007</v>
      </c>
      <c r="U392" s="30">
        <f t="shared" si="28"/>
        <v>12.17</v>
      </c>
      <c r="V392" s="4" t="str">
        <f t="shared" si="29"/>
        <v>🟠 Moderada (10-20 km)</v>
      </c>
      <c r="W392" s="19" t="str" cm="1">
        <f t="array" ref="W392">_xlfn.LET(_xlpm.lat_emp,S392,_xlpm.lon_emp,T392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Javier Prado</v>
      </c>
      <c r="X392" s="19" t="str">
        <f>_xlfn.LET(_xlpm.paradero,W392,INDEX(PARADEROS_VALIDOS!$A$2:$A$67,MATCH(_xlpm.paradero,PARADEROS_VALIDOS!$C$2:$C$67,0)))</f>
        <v>RUTA 7</v>
      </c>
      <c r="Y392" s="29" cm="1">
        <f t="array" ref="Y392">_xlfn.LET(_xlpm.lat_emp,S392,_xlpm.lon_emp,T392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1.72</v>
      </c>
      <c r="Z392" s="4" t="str">
        <f t="shared" si="30"/>
        <v>🟡 Cerca (1-3 km)</v>
      </c>
      <c r="AA392" s="4"/>
      <c r="AB392" s="4"/>
      <c r="AC392" s="49">
        <v>-11.997563</v>
      </c>
      <c r="AD392" s="49">
        <v>-76.900062000000005</v>
      </c>
      <c r="AE392" s="19" t="str">
        <f>IFERROR(VLOOKUP(C392,tdcargo[],2,FALSE),"DESCONOCIDO")</f>
        <v>STAFF</v>
      </c>
    </row>
    <row r="393" spans="1:31" x14ac:dyDescent="0.35">
      <c r="A393" s="8">
        <v>40906047</v>
      </c>
      <c r="B393" s="4" t="s">
        <v>2150</v>
      </c>
      <c r="C393" s="4" t="s">
        <v>2151</v>
      </c>
      <c r="D393" s="5">
        <v>38169</v>
      </c>
      <c r="E393" s="4" t="s">
        <v>31</v>
      </c>
      <c r="F393" s="4" t="s">
        <v>82</v>
      </c>
      <c r="G393" s="4" t="s">
        <v>37</v>
      </c>
      <c r="H393" s="4" t="s">
        <v>2152</v>
      </c>
      <c r="I393" s="4" t="s">
        <v>37</v>
      </c>
      <c r="J393" s="4" t="s">
        <v>1968</v>
      </c>
      <c r="K393" s="4" t="s">
        <v>1968</v>
      </c>
      <c r="L393" s="4" t="s">
        <v>1968</v>
      </c>
      <c r="M393" s="4" t="s">
        <v>186</v>
      </c>
      <c r="N393" s="4" t="s">
        <v>37</v>
      </c>
      <c r="O393" s="4" t="s">
        <v>37</v>
      </c>
      <c r="P393" s="4" t="s">
        <v>37</v>
      </c>
      <c r="Q393" s="10" t="s">
        <v>37</v>
      </c>
      <c r="R393" s="4" t="str">
        <f t="shared" si="27"/>
        <v>Calle Lima 136, Apt. Lima, Urb. Urbanización Lima, Lima, Lima, Lima, Perú</v>
      </c>
      <c r="S393" s="4">
        <v>-12.1731108</v>
      </c>
      <c r="T393" s="4">
        <v>-76.918026800000007</v>
      </c>
      <c r="U393" s="30">
        <f t="shared" si="28"/>
        <v>19.62</v>
      </c>
      <c r="V393" s="4" t="str">
        <f t="shared" si="29"/>
        <v>🟠 Moderada (10-20 km)</v>
      </c>
      <c r="W393" s="19" t="str" cm="1">
        <f t="array" ref="W393">_xlfn.LET(_xlpm.lat_emp,S393,_xlpm.lon_emp,T393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Av. Mariátegui con la Ruta C</v>
      </c>
      <c r="X393" s="19" t="str">
        <f>_xlfn.LET(_xlpm.paradero,W393,INDEX(PARADEROS_VALIDOS!$A$2:$A$67,MATCH(_xlpm.paradero,PARADEROS_VALIDOS!$C$2:$C$67,0)))</f>
        <v>RUTA 7</v>
      </c>
      <c r="Y393" s="29" cm="1">
        <f t="array" ref="Y393">_xlfn.LET(_xlpm.lat_emp,S393,_xlpm.lon_emp,T393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4.7300000000000004</v>
      </c>
      <c r="Z393" s="4" t="str">
        <f t="shared" si="30"/>
        <v>🟠 Moderada (3-5 km)</v>
      </c>
      <c r="AA393" s="4"/>
      <c r="AB393" s="4"/>
      <c r="AC393" s="49">
        <v>-11.997563</v>
      </c>
      <c r="AD393" s="49">
        <v>-76.900062000000005</v>
      </c>
      <c r="AE393" s="19" t="str">
        <f>IFERROR(VLOOKUP(C393,tdcargo[],2,FALSE),"DESCONOCIDO")</f>
        <v>STAFF</v>
      </c>
    </row>
    <row r="394" spans="1:31" hidden="1" x14ac:dyDescent="0.35">
      <c r="A394" s="8">
        <v>77178844</v>
      </c>
      <c r="B394" s="4" t="s">
        <v>2235</v>
      </c>
      <c r="C394" s="4" t="s">
        <v>2236</v>
      </c>
      <c r="D394" s="5">
        <v>44091</v>
      </c>
      <c r="E394" s="4" t="s">
        <v>31</v>
      </c>
      <c r="F394" s="4" t="s">
        <v>148</v>
      </c>
      <c r="G394" s="4" t="s">
        <v>2237</v>
      </c>
      <c r="H394" s="4" t="s">
        <v>1956</v>
      </c>
      <c r="I394" s="4" t="s">
        <v>1968</v>
      </c>
      <c r="J394" s="4" t="s">
        <v>1968</v>
      </c>
      <c r="K394" s="4" t="s">
        <v>1968</v>
      </c>
      <c r="L394" s="4" t="s">
        <v>1968</v>
      </c>
      <c r="M394" s="4" t="s">
        <v>88</v>
      </c>
      <c r="N394" s="4" t="s">
        <v>2238</v>
      </c>
      <c r="O394" s="4" t="s">
        <v>37</v>
      </c>
      <c r="P394" s="4" t="s">
        <v>37</v>
      </c>
      <c r="Q394" s="10" t="s">
        <v>38</v>
      </c>
      <c r="R394" s="4" t="str">
        <f t="shared" si="27"/>
        <v>Pasaje Ayacucho, A.H. Asentamiento Humano Huascar 3, San Juan De Lurigancho, Lima, Lima, Perú</v>
      </c>
      <c r="S394" s="4">
        <v>-11.965225500000001</v>
      </c>
      <c r="T394" s="4">
        <v>-77.008935199999996</v>
      </c>
      <c r="U394" s="30">
        <f t="shared" si="28"/>
        <v>12.38</v>
      </c>
      <c r="V394" s="4" t="str">
        <f t="shared" si="29"/>
        <v>🟠 Moderada (10-20 km)</v>
      </c>
      <c r="W394" s="19" t="str" cm="1">
        <f t="array" ref="W394">_xlfn.LET(_xlpm.lat_emp,S394,_xlpm.lon_emp,T394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Acho</v>
      </c>
      <c r="X394" s="19" t="str">
        <f>_xlfn.LET(_xlpm.paradero,W394,INDEX(PARADEROS_VALIDOS!$A$2:$A$67,MATCH(_xlpm.paradero,PARADEROS_VALIDOS!$C$2:$C$67,0)))</f>
        <v>RUTA 8</v>
      </c>
      <c r="Y394" s="29" cm="1">
        <f t="array" ref="Y394">_xlfn.LET(_xlpm.lat_emp,S394,_xlpm.lon_emp,T394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0.95</v>
      </c>
      <c r="Z394" s="4" t="str">
        <f t="shared" si="30"/>
        <v>🟢 Muy Cerca (0-1 km)</v>
      </c>
      <c r="AA394" s="4"/>
      <c r="AB394" s="4"/>
      <c r="AC394" s="49">
        <v>-11.997563</v>
      </c>
      <c r="AD394" s="49">
        <v>-76.900062000000005</v>
      </c>
      <c r="AE394" s="19" t="str">
        <f>IFERROR(VLOOKUP(C394,tdcargo[],2,FALSE),"DESCONOCIDO")</f>
        <v>STAFF</v>
      </c>
    </row>
    <row r="395" spans="1:31" hidden="1" x14ac:dyDescent="0.35">
      <c r="A395" s="8">
        <v>71066019</v>
      </c>
      <c r="B395" s="4" t="s">
        <v>2239</v>
      </c>
      <c r="C395" s="4" t="s">
        <v>2130</v>
      </c>
      <c r="D395" s="5">
        <v>43804</v>
      </c>
      <c r="E395" s="4" t="s">
        <v>31</v>
      </c>
      <c r="F395" s="4" t="s">
        <v>148</v>
      </c>
      <c r="G395" s="4" t="s">
        <v>2240</v>
      </c>
      <c r="H395" s="4" t="s">
        <v>1956</v>
      </c>
      <c r="I395" s="4" t="s">
        <v>1968</v>
      </c>
      <c r="J395" s="4" t="s">
        <v>1968</v>
      </c>
      <c r="K395" s="4" t="s">
        <v>1968</v>
      </c>
      <c r="L395" s="4" t="s">
        <v>1968</v>
      </c>
      <c r="M395" s="4" t="s">
        <v>66</v>
      </c>
      <c r="N395" s="4" t="s">
        <v>2241</v>
      </c>
      <c r="O395" s="4" t="s">
        <v>37</v>
      </c>
      <c r="P395" s="4" t="s">
        <v>37</v>
      </c>
      <c r="Q395" s="10" t="s">
        <v>57</v>
      </c>
      <c r="R395" s="4" t="str">
        <f t="shared" si="27"/>
        <v>Pasaje San Antonio 5, U.V. Unidad Vecinal San Andres, Ate, Lima, Lima, Perú</v>
      </c>
      <c r="S395" s="4">
        <v>-12.0247317</v>
      </c>
      <c r="T395" s="4">
        <v>-76.910551900000002</v>
      </c>
      <c r="U395" s="30">
        <f t="shared" si="28"/>
        <v>3.23</v>
      </c>
      <c r="V395" s="4" t="str">
        <f t="shared" si="29"/>
        <v>🟢 Muy Cerca (0-5 km)</v>
      </c>
      <c r="W395" s="19" t="str" cm="1">
        <f t="array" ref="W395">_xlfn.LET(_xlpm.lat_emp,S395,_xlpm.lon_emp,T395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Esperanza</v>
      </c>
      <c r="X395" s="19" t="str">
        <f>_xlfn.LET(_xlpm.paradero,W395,INDEX(PARADEROS_VALIDOS!$A$2:$A$67,MATCH(_xlpm.paradero,PARADEROS_VALIDOS!$C$2:$C$67,0)))</f>
        <v>RUTA 4B</v>
      </c>
      <c r="Y395" s="29" cm="1">
        <f t="array" ref="Y395">_xlfn.LET(_xlpm.lat_emp,S395,_xlpm.lon_emp,T395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0.51</v>
      </c>
      <c r="Z395" s="4" t="str">
        <f t="shared" si="30"/>
        <v>🟢 Muy Cerca (0-1 km)</v>
      </c>
      <c r="AA395" s="4"/>
      <c r="AB395" s="4"/>
      <c r="AC395" s="49">
        <v>-11.997563</v>
      </c>
      <c r="AD395" s="49">
        <v>-76.900062000000005</v>
      </c>
      <c r="AE395" s="19" t="str">
        <f>IFERROR(VLOOKUP(C395,tdcargo[],2,FALSE),"DESCONOCIDO")</f>
        <v>STAFF</v>
      </c>
    </row>
    <row r="396" spans="1:31" x14ac:dyDescent="0.35">
      <c r="A396" s="8">
        <v>42278751</v>
      </c>
      <c r="B396" s="4" t="s">
        <v>2250</v>
      </c>
      <c r="C396" s="4" t="s">
        <v>2130</v>
      </c>
      <c r="D396" s="5">
        <v>45481</v>
      </c>
      <c r="E396" s="4" t="s">
        <v>31</v>
      </c>
      <c r="F396" s="4" t="s">
        <v>82</v>
      </c>
      <c r="G396" s="4" t="s">
        <v>2251</v>
      </c>
      <c r="H396" s="4" t="s">
        <v>2252</v>
      </c>
      <c r="I396" s="4" t="s">
        <v>1968</v>
      </c>
      <c r="J396" s="4" t="s">
        <v>1968</v>
      </c>
      <c r="K396" s="4" t="s">
        <v>1968</v>
      </c>
      <c r="L396" s="4" t="s">
        <v>1968</v>
      </c>
      <c r="M396" s="4" t="s">
        <v>186</v>
      </c>
      <c r="N396" s="4" t="s">
        <v>2253</v>
      </c>
      <c r="O396" s="4" t="s">
        <v>37</v>
      </c>
      <c r="P396" s="4" t="s">
        <v>37</v>
      </c>
      <c r="Q396" s="10" t="s">
        <v>1416</v>
      </c>
      <c r="R396" s="4" t="str">
        <f t="shared" si="27"/>
        <v>Calle Los Calculistas 132, Urb. Urbanización Urb Santa Patricia, La Molina, Lima, Lima, Perú</v>
      </c>
      <c r="S396" s="4">
        <v>-12.063635400000001</v>
      </c>
      <c r="T396" s="4">
        <v>-76.953890200000004</v>
      </c>
      <c r="U396" s="30">
        <f t="shared" si="28"/>
        <v>9.39</v>
      </c>
      <c r="V396" s="4" t="str">
        <f t="shared" si="29"/>
        <v>🟡 Cerca (5-10 km)</v>
      </c>
      <c r="W396" s="19" t="str" cm="1">
        <f t="array" ref="W396">_xlfn.LET(_xlpm.lat_emp,S396,_xlpm.lon_emp,T396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Pte. Prialé (solo aplica para la salida)</v>
      </c>
      <c r="X396" s="19" t="str">
        <f>_xlfn.LET(_xlpm.paradero,W396,INDEX(PARADEROS_VALIDOS!$A$2:$A$67,MATCH(_xlpm.paradero,PARADEROS_VALIDOS!$C$2:$C$67,0)))</f>
        <v>RUTA 7</v>
      </c>
      <c r="Y396" s="29" cm="1">
        <f t="array" ref="Y396">_xlfn.LET(_xlpm.lat_emp,S396,_xlpm.lon_emp,T396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1.2</v>
      </c>
      <c r="Z396" s="4" t="str">
        <f t="shared" si="30"/>
        <v>🟡 Cerca (1-3 km)</v>
      </c>
      <c r="AA396" s="4"/>
      <c r="AB396" s="4"/>
      <c r="AC396" s="49">
        <v>-11.997563</v>
      </c>
      <c r="AD396" s="49">
        <v>-76.900062000000005</v>
      </c>
      <c r="AE396" s="19" t="str">
        <f>IFERROR(VLOOKUP(C396,tdcargo[],2,FALSE),"DESCONOCIDO")</f>
        <v>STAFF</v>
      </c>
    </row>
    <row r="397" spans="1:31" hidden="1" x14ac:dyDescent="0.35">
      <c r="A397" s="8">
        <v>75607187</v>
      </c>
      <c r="B397" s="4" t="s">
        <v>2254</v>
      </c>
      <c r="C397" s="4" t="s">
        <v>2045</v>
      </c>
      <c r="D397" s="5">
        <v>44417</v>
      </c>
      <c r="E397" s="4" t="s">
        <v>31</v>
      </c>
      <c r="F397" s="4" t="s">
        <v>34</v>
      </c>
      <c r="G397" s="4" t="s">
        <v>803</v>
      </c>
      <c r="H397" s="4" t="s">
        <v>1956</v>
      </c>
      <c r="I397" s="4" t="s">
        <v>1968</v>
      </c>
      <c r="J397" s="4" t="s">
        <v>1968</v>
      </c>
      <c r="K397" s="4" t="s">
        <v>1968</v>
      </c>
      <c r="L397" s="4" t="s">
        <v>1968</v>
      </c>
      <c r="M397" s="4" t="s">
        <v>66</v>
      </c>
      <c r="N397" s="4" t="s">
        <v>1026</v>
      </c>
      <c r="O397" s="4" t="s">
        <v>37</v>
      </c>
      <c r="P397" s="4" t="s">
        <v>37</v>
      </c>
      <c r="Q397" s="10" t="s">
        <v>38</v>
      </c>
      <c r="R397" s="4" t="str">
        <f t="shared" si="27"/>
        <v>Avenida Santa Rosa, U.V. Unidad Vecinal San Marcos, San Juan De Lurigancho, Lima, Lima, Perú</v>
      </c>
      <c r="S397" s="4">
        <v>-11.9857225</v>
      </c>
      <c r="T397" s="4">
        <v>-77.017518800000005</v>
      </c>
      <c r="U397" s="30">
        <f t="shared" si="28"/>
        <v>12.84</v>
      </c>
      <c r="V397" s="4" t="str">
        <f t="shared" si="29"/>
        <v>🟠 Moderada (10-20 km)</v>
      </c>
      <c r="W397" s="19" t="str" cm="1">
        <f t="array" ref="W397">_xlfn.LET(_xlpm.lat_emp,S397,_xlpm.lon_emp,T397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Carlos</v>
      </c>
      <c r="X397" s="19" t="str">
        <f>_xlfn.LET(_xlpm.paradero,W397,INDEX(PARADEROS_VALIDOS!$A$2:$A$67,MATCH(_xlpm.paradero,PARADEROS_VALIDOS!$C$2:$C$67,0)))</f>
        <v>RUTA 6B</v>
      </c>
      <c r="Y397" s="29" cm="1">
        <f t="array" ref="Y397">_xlfn.LET(_xlpm.lat_emp,S397,_xlpm.lon_emp,T397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0.83</v>
      </c>
      <c r="Z397" s="4" t="str">
        <f t="shared" si="30"/>
        <v>🟢 Muy Cerca (0-1 km)</v>
      </c>
      <c r="AA397" s="4"/>
      <c r="AB397" s="4"/>
      <c r="AC397" s="49">
        <v>-11.997563</v>
      </c>
      <c r="AD397" s="49">
        <v>-76.900062000000005</v>
      </c>
      <c r="AE397" s="19" t="str">
        <f>IFERROR(VLOOKUP(C397,tdcargo[],2,FALSE),"DESCONOCIDO")</f>
        <v>STAFF</v>
      </c>
    </row>
    <row r="398" spans="1:31" x14ac:dyDescent="0.35">
      <c r="A398" s="8">
        <v>46532330</v>
      </c>
      <c r="B398" s="4" t="s">
        <v>2255</v>
      </c>
      <c r="C398" s="4" t="s">
        <v>2256</v>
      </c>
      <c r="D398" s="5">
        <v>41387</v>
      </c>
      <c r="E398" s="4" t="s">
        <v>31</v>
      </c>
      <c r="F398" s="4" t="s">
        <v>36</v>
      </c>
      <c r="G398" s="4" t="s">
        <v>46</v>
      </c>
      <c r="H398" s="4" t="s">
        <v>1956</v>
      </c>
      <c r="I398" s="4" t="s">
        <v>1968</v>
      </c>
      <c r="J398" s="4" t="s">
        <v>1968</v>
      </c>
      <c r="K398" s="4" t="s">
        <v>1968</v>
      </c>
      <c r="L398" s="4" t="s">
        <v>1968</v>
      </c>
      <c r="M398" s="4" t="s">
        <v>88</v>
      </c>
      <c r="N398" s="4" t="s">
        <v>2257</v>
      </c>
      <c r="O398" s="4" t="s">
        <v>37</v>
      </c>
      <c r="P398" s="4" t="s">
        <v>37</v>
      </c>
      <c r="Q398" s="10" t="s">
        <v>1372</v>
      </c>
      <c r="R398" s="4" t="str">
        <f t="shared" si="27"/>
        <v>Nd, A.H. Asentamiento Humano Rodrigo Franco, Santiago De Surco, Lima, Lima, Perú</v>
      </c>
      <c r="S398" s="4">
        <v>-12.162749399999999</v>
      </c>
      <c r="T398" s="4">
        <v>-76.984827699999997</v>
      </c>
      <c r="U398" s="30">
        <f t="shared" si="28"/>
        <v>20.55</v>
      </c>
      <c r="V398" s="4" t="str">
        <f t="shared" si="29"/>
        <v>🔴 Lejos (&gt;20 km)</v>
      </c>
      <c r="W398" s="19" t="str" cm="1">
        <f t="array" ref="W398">_xlfn.LET(_xlpm.lat_emp,S398,_xlpm.lon_emp,T398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Amauta</v>
      </c>
      <c r="X398" s="19" t="str">
        <f>_xlfn.LET(_xlpm.paradero,W398,INDEX(PARADEROS_VALIDOS!$A$2:$A$67,MATCH(_xlpm.paradero,PARADEROS_VALIDOS!$C$2:$C$67,0)))</f>
        <v>RUTA 7</v>
      </c>
      <c r="Y398" s="29" cm="1">
        <f t="array" ref="Y398">_xlfn.LET(_xlpm.lat_emp,S398,_xlpm.lon_emp,T398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0.34</v>
      </c>
      <c r="Z398" s="4" t="str">
        <f t="shared" si="30"/>
        <v>🟢 Muy Cerca (0-1 km)</v>
      </c>
      <c r="AA398" s="4"/>
      <c r="AB398" s="4"/>
      <c r="AC398" s="49">
        <v>-11.997563</v>
      </c>
      <c r="AD398" s="49">
        <v>-76.900062000000005</v>
      </c>
      <c r="AE398" s="19" t="str">
        <f>IFERROR(VLOOKUP(C398,tdcargo[],2,FALSE),"DESCONOCIDO")</f>
        <v>STAFF</v>
      </c>
    </row>
    <row r="399" spans="1:31" hidden="1" x14ac:dyDescent="0.35">
      <c r="A399" s="8">
        <v>75888311</v>
      </c>
      <c r="B399" s="4" t="s">
        <v>2290</v>
      </c>
      <c r="C399" s="4" t="s">
        <v>2291</v>
      </c>
      <c r="D399" s="5">
        <v>45901</v>
      </c>
      <c r="E399" s="4" t="s">
        <v>31</v>
      </c>
      <c r="F399" s="4" t="s">
        <v>36</v>
      </c>
      <c r="G399" s="4" t="s">
        <v>2292</v>
      </c>
      <c r="H399" s="4" t="s">
        <v>2293</v>
      </c>
      <c r="I399" s="4" t="s">
        <v>1968</v>
      </c>
      <c r="J399" s="4" t="s">
        <v>2294</v>
      </c>
      <c r="K399" s="4" t="s">
        <v>1968</v>
      </c>
      <c r="L399" s="4" t="s">
        <v>1968</v>
      </c>
      <c r="M399" s="4" t="s">
        <v>36</v>
      </c>
      <c r="N399" s="4" t="s">
        <v>2295</v>
      </c>
      <c r="O399" s="4" t="s">
        <v>37</v>
      </c>
      <c r="P399" s="4" t="s">
        <v>37</v>
      </c>
      <c r="Q399" s="10" t="s">
        <v>37</v>
      </c>
      <c r="R399" s="4" t="str">
        <f t="shared" si="27"/>
        <v>Huanuco 1511, Int. 103 No Aplica, Lima, Lima, Lima, Perú</v>
      </c>
      <c r="S399" s="4">
        <v>-12.0466888</v>
      </c>
      <c r="T399" s="4">
        <v>-77.043088600000004</v>
      </c>
      <c r="U399" s="30">
        <f t="shared" si="28"/>
        <v>16.489999999999998</v>
      </c>
      <c r="V399" s="4" t="str">
        <f t="shared" si="29"/>
        <v>🟠 Moderada (10-20 km)</v>
      </c>
      <c r="W399" s="19" t="str" cm="1">
        <f t="array" ref="W399">_xlfn.LET(_xlpm.lat_emp,S399,_xlpm.lon_emp,T399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Rompemuelle</v>
      </c>
      <c r="X399" s="19" t="str">
        <f>_xlfn.LET(_xlpm.paradero,W399,INDEX(PARADEROS_VALIDOS!$A$2:$A$67,MATCH(_xlpm.paradero,PARADEROS_VALIDOS!$C$2:$C$67,0)))</f>
        <v>RUTA 3</v>
      </c>
      <c r="Y399" s="29" cm="1">
        <f t="array" ref="Y399">_xlfn.LET(_xlpm.lat_emp,S399,_xlpm.lon_emp,T399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</v>
      </c>
      <c r="Z399" s="4" t="str">
        <f t="shared" si="30"/>
        <v>🟢 Muy Cerca (0-1 km)</v>
      </c>
      <c r="AA399" s="4"/>
      <c r="AB399" s="4"/>
      <c r="AC399" s="49">
        <v>-11.997563</v>
      </c>
      <c r="AD399" s="49">
        <v>-76.900062000000005</v>
      </c>
      <c r="AE399" s="19" t="str">
        <f>IFERROR(VLOOKUP(C399,tdcargo[],2,FALSE),"DESCONOCIDO")</f>
        <v>STAFF</v>
      </c>
    </row>
    <row r="400" spans="1:31" hidden="1" x14ac:dyDescent="0.35">
      <c r="A400" s="8">
        <v>74228940</v>
      </c>
      <c r="B400" s="4" t="s">
        <v>2298</v>
      </c>
      <c r="C400" s="4" t="s">
        <v>2064</v>
      </c>
      <c r="D400" s="5">
        <v>43139</v>
      </c>
      <c r="E400" s="4" t="s">
        <v>31</v>
      </c>
      <c r="F400" s="4" t="s">
        <v>36</v>
      </c>
      <c r="G400" s="4" t="s">
        <v>2299</v>
      </c>
      <c r="H400" s="4" t="s">
        <v>1956</v>
      </c>
      <c r="I400" s="4" t="s">
        <v>1968</v>
      </c>
      <c r="J400" s="4" t="s">
        <v>1968</v>
      </c>
      <c r="K400" s="4" t="s">
        <v>1968</v>
      </c>
      <c r="L400" s="4" t="s">
        <v>1968</v>
      </c>
      <c r="M400" s="4" t="s">
        <v>36</v>
      </c>
      <c r="N400" s="4" t="s">
        <v>2299</v>
      </c>
      <c r="O400" s="4" t="s">
        <v>37</v>
      </c>
      <c r="P400" s="4" t="s">
        <v>37</v>
      </c>
      <c r="Q400" s="10" t="s">
        <v>76</v>
      </c>
      <c r="R400" s="4" t="str">
        <f t="shared" si="27"/>
        <v>Virgen Del Carmen La Era Virgen Del Carmen La Era, Lurigancho, Lima, Lima, Perú</v>
      </c>
      <c r="S400" s="4">
        <v>-11.974058400000001</v>
      </c>
      <c r="T400" s="4">
        <v>-76.838885300000001</v>
      </c>
      <c r="U400" s="30">
        <f t="shared" si="28"/>
        <v>7.15</v>
      </c>
      <c r="V400" s="4" t="str">
        <f t="shared" si="29"/>
        <v>🟡 Cerca (5-10 km)</v>
      </c>
      <c r="W400" s="19" t="str" cm="1">
        <f t="array" ref="W400">_xlfn.LET(_xlpm.lat_emp,S400,_xlpm.lon_emp,T400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Ñaña</v>
      </c>
      <c r="X400" s="19" t="str">
        <f>_xlfn.LET(_xlpm.paradero,W400,INDEX(PARADEROS_VALIDOS!$A$2:$A$67,MATCH(_xlpm.paradero,PARADEROS_VALIDOS!$C$2:$C$67,0)))</f>
        <v>RUTA 5A</v>
      </c>
      <c r="Y400" s="29" cm="1">
        <f t="array" ref="Y400">_xlfn.LET(_xlpm.lat_emp,S400,_xlpm.lon_emp,T400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2.79</v>
      </c>
      <c r="Z400" s="4" t="str">
        <f t="shared" si="30"/>
        <v>🟡 Cerca (1-3 km)</v>
      </c>
      <c r="AA400" s="4"/>
      <c r="AB400" s="4"/>
      <c r="AC400" s="49">
        <v>-11.997563</v>
      </c>
      <c r="AD400" s="49">
        <v>-76.900062000000005</v>
      </c>
      <c r="AE400" s="19" t="str">
        <f>IFERROR(VLOOKUP(C400,tdcargo[],2,FALSE),"DESCONOCIDO")</f>
        <v>STAFF</v>
      </c>
    </row>
    <row r="401" spans="1:31" hidden="1" x14ac:dyDescent="0.35">
      <c r="A401" s="8">
        <v>71244737</v>
      </c>
      <c r="B401" s="4" t="s">
        <v>2343</v>
      </c>
      <c r="C401" s="4" t="s">
        <v>2031</v>
      </c>
      <c r="D401" s="5">
        <v>43846</v>
      </c>
      <c r="E401" s="4" t="s">
        <v>31</v>
      </c>
      <c r="F401" s="4" t="s">
        <v>36</v>
      </c>
      <c r="G401" s="4" t="s">
        <v>1305</v>
      </c>
      <c r="H401" s="4" t="s">
        <v>1956</v>
      </c>
      <c r="I401" s="4" t="s">
        <v>1968</v>
      </c>
      <c r="J401" s="4" t="s">
        <v>1968</v>
      </c>
      <c r="K401" s="4" t="s">
        <v>1968</v>
      </c>
      <c r="L401" s="4" t="s">
        <v>1968</v>
      </c>
      <c r="M401" s="4" t="s">
        <v>36</v>
      </c>
      <c r="N401" s="4" t="s">
        <v>2344</v>
      </c>
      <c r="O401" s="4" t="s">
        <v>37</v>
      </c>
      <c r="P401" s="4" t="s">
        <v>37</v>
      </c>
      <c r="Q401" s="10" t="s">
        <v>57</v>
      </c>
      <c r="R401" s="4" t="str">
        <f t="shared" si="27"/>
        <v>Zona V Ucv 224 Huaycan, Ate, Lima, Lima, Perú</v>
      </c>
      <c r="S401" s="4">
        <v>-12.0100579</v>
      </c>
      <c r="T401" s="4">
        <v>-76.827832900000004</v>
      </c>
      <c r="U401" s="30">
        <f t="shared" si="28"/>
        <v>7.98</v>
      </c>
      <c r="V401" s="4" t="str">
        <f t="shared" si="29"/>
        <v>🟡 Cerca (5-10 km)</v>
      </c>
      <c r="W401" s="19" t="str" cm="1">
        <f t="array" ref="W401">_xlfn.LET(_xlpm.lat_emp,S401,_xlpm.lon_emp,T401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Horacio</v>
      </c>
      <c r="X401" s="19" t="str">
        <f>_xlfn.LET(_xlpm.paradero,W401,INDEX(PARADEROS_VALIDOS!$A$2:$A$67,MATCH(_xlpm.paradero,PARADEROS_VALIDOS!$C$2:$C$67,0)))</f>
        <v>RUTA 5B</v>
      </c>
      <c r="Y401" s="29" cm="1">
        <f t="array" ref="Y401">_xlfn.LET(_xlpm.lat_emp,S401,_xlpm.lon_emp,T401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1.55</v>
      </c>
      <c r="Z401" s="4" t="str">
        <f t="shared" si="30"/>
        <v>🟡 Cerca (1-3 km)</v>
      </c>
      <c r="AA401" s="4"/>
      <c r="AB401" s="4"/>
      <c r="AC401" s="49">
        <v>-11.997563</v>
      </c>
      <c r="AD401" s="49">
        <v>-76.900062000000005</v>
      </c>
      <c r="AE401" s="19" t="str">
        <f>IFERROR(VLOOKUP(C401,tdcargo[],2,FALSE),"DESCONOCIDO")</f>
        <v>STAFF</v>
      </c>
    </row>
    <row r="402" spans="1:31" hidden="1" x14ac:dyDescent="0.35">
      <c r="A402" s="8">
        <v>71739797</v>
      </c>
      <c r="B402" s="4" t="s">
        <v>2363</v>
      </c>
      <c r="C402" s="4" t="s">
        <v>2236</v>
      </c>
      <c r="D402" s="5">
        <v>45061</v>
      </c>
      <c r="E402" s="4" t="s">
        <v>31</v>
      </c>
      <c r="F402" s="4" t="s">
        <v>53</v>
      </c>
      <c r="G402" s="4" t="s">
        <v>2364</v>
      </c>
      <c r="H402" s="4" t="s">
        <v>2365</v>
      </c>
      <c r="I402" s="4" t="s">
        <v>1968</v>
      </c>
      <c r="J402" s="4" t="s">
        <v>1968</v>
      </c>
      <c r="K402" s="4" t="s">
        <v>1968</v>
      </c>
      <c r="L402" s="4" t="s">
        <v>1968</v>
      </c>
      <c r="M402" s="4" t="s">
        <v>186</v>
      </c>
      <c r="N402" s="4" t="s">
        <v>2366</v>
      </c>
      <c r="O402" s="4" t="s">
        <v>37</v>
      </c>
      <c r="P402" s="4" t="s">
        <v>37</v>
      </c>
      <c r="Q402" s="10" t="s">
        <v>38</v>
      </c>
      <c r="R402" s="4" t="str">
        <f t="shared" si="27"/>
        <v>Jirón Rio Amazona 3331, Urb. Urbanización Canto Rey, San Juan De Lurigancho, Lima, Lima, Perú</v>
      </c>
      <c r="S402" s="4">
        <v>-11.975527899999999</v>
      </c>
      <c r="T402" s="4">
        <v>-76.999890199999996</v>
      </c>
      <c r="U402" s="30">
        <f t="shared" si="28"/>
        <v>11.13</v>
      </c>
      <c r="V402" s="4" t="str">
        <f t="shared" si="29"/>
        <v>🟠 Moderada (10-20 km)</v>
      </c>
      <c r="W402" s="19" t="str" cm="1">
        <f t="array" ref="W402">_xlfn.LET(_xlpm.lat_emp,S402,_xlpm.lon_emp,T402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402" s="19" t="str">
        <f>_xlfn.LET(_xlpm.paradero,W402,INDEX(PARADEROS_VALIDOS!$A$2:$A$67,MATCH(_xlpm.paradero,PARADEROS_VALIDOS!$C$2:$C$67,0)))</f>
        <v>RUTA 6A</v>
      </c>
      <c r="Y402" s="29" cm="1">
        <f t="array" ref="Y402">_xlfn.LET(_xlpm.lat_emp,S402,_xlpm.lon_emp,T402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7.0000000000000007E-2</v>
      </c>
      <c r="Z402" s="4" t="str">
        <f t="shared" si="30"/>
        <v>🟢 Muy Cerca (0-1 km)</v>
      </c>
      <c r="AA402" s="4"/>
      <c r="AB402" s="4"/>
      <c r="AC402" s="49">
        <v>-11.997563</v>
      </c>
      <c r="AD402" s="49">
        <v>-76.900062000000005</v>
      </c>
      <c r="AE402" s="19" t="str">
        <f>IFERROR(VLOOKUP(C402,tdcargo[],2,FALSE),"DESCONOCIDO")</f>
        <v>STAFF</v>
      </c>
    </row>
    <row r="403" spans="1:31" hidden="1" x14ac:dyDescent="0.35">
      <c r="A403" s="8">
        <v>62627297</v>
      </c>
      <c r="B403" s="4" t="s">
        <v>2372</v>
      </c>
      <c r="C403" s="4" t="s">
        <v>2045</v>
      </c>
      <c r="D403" s="5">
        <v>44431</v>
      </c>
      <c r="E403" s="4" t="s">
        <v>31</v>
      </c>
      <c r="F403" s="4" t="s">
        <v>36</v>
      </c>
      <c r="G403" s="4" t="s">
        <v>2373</v>
      </c>
      <c r="H403" s="4" t="s">
        <v>1956</v>
      </c>
      <c r="I403" s="4" t="s">
        <v>1968</v>
      </c>
      <c r="J403" s="4" t="s">
        <v>1968</v>
      </c>
      <c r="K403" s="4" t="s">
        <v>1968</v>
      </c>
      <c r="L403" s="4" t="s">
        <v>1968</v>
      </c>
      <c r="M403" s="4" t="s">
        <v>36</v>
      </c>
      <c r="N403" s="4" t="s">
        <v>2374</v>
      </c>
      <c r="O403" s="4" t="s">
        <v>37</v>
      </c>
      <c r="P403" s="4" t="s">
        <v>37</v>
      </c>
      <c r="Q403" s="10" t="s">
        <v>57</v>
      </c>
      <c r="R403" s="4" t="str">
        <f t="shared" si="27"/>
        <v>Philadelfia Esquema Pariachi, Ate, Lima, Lima, Perú</v>
      </c>
      <c r="S403" s="4">
        <v>-12.003406999999999</v>
      </c>
      <c r="T403" s="4">
        <v>-76.840150499999993</v>
      </c>
      <c r="U403" s="30">
        <f t="shared" si="28"/>
        <v>6.55</v>
      </c>
      <c r="V403" s="4" t="str">
        <f t="shared" si="29"/>
        <v>🟡 Cerca (5-10 km)</v>
      </c>
      <c r="W403" s="19" t="str" cm="1">
        <f t="array" ref="W403">_xlfn.LET(_xlpm.lat_emp,S403,_xlpm.lon_emp,T403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Huaycán</v>
      </c>
      <c r="X403" s="19" t="str">
        <f>_xlfn.LET(_xlpm.paradero,W403,INDEX(PARADEROS_VALIDOS!$A$2:$A$67,MATCH(_xlpm.paradero,PARADEROS_VALIDOS!$C$2:$C$67,0)))</f>
        <v>RUTA 5B</v>
      </c>
      <c r="Y403" s="29" cm="1">
        <f t="array" ref="Y403">_xlfn.LET(_xlpm.lat_emp,S403,_xlpm.lon_emp,T403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0.38</v>
      </c>
      <c r="Z403" s="4" t="str">
        <f t="shared" si="30"/>
        <v>🟢 Muy Cerca (0-1 km)</v>
      </c>
      <c r="AA403" s="4"/>
      <c r="AB403" s="4"/>
      <c r="AC403" s="49">
        <v>-11.997563</v>
      </c>
      <c r="AD403" s="49">
        <v>-76.900062000000005</v>
      </c>
      <c r="AE403" s="19" t="str">
        <f>IFERROR(VLOOKUP(C403,tdcargo[],2,FALSE),"DESCONOCIDO")</f>
        <v>STAFF</v>
      </c>
    </row>
    <row r="404" spans="1:31" hidden="1" x14ac:dyDescent="0.35">
      <c r="A404" s="8">
        <v>43608529</v>
      </c>
      <c r="B404" s="4" t="s">
        <v>2381</v>
      </c>
      <c r="C404" s="4" t="s">
        <v>2382</v>
      </c>
      <c r="D404" s="5">
        <v>45717</v>
      </c>
      <c r="E404" s="4" t="s">
        <v>31</v>
      </c>
      <c r="F404" s="4" t="s">
        <v>82</v>
      </c>
      <c r="G404" s="4" t="s">
        <v>2383</v>
      </c>
      <c r="H404" s="4" t="s">
        <v>2384</v>
      </c>
      <c r="I404" s="4" t="s">
        <v>2171</v>
      </c>
      <c r="J404" s="4" t="s">
        <v>1968</v>
      </c>
      <c r="K404" s="4" t="s">
        <v>1968</v>
      </c>
      <c r="L404" s="4" t="s">
        <v>1968</v>
      </c>
      <c r="M404" s="4" t="s">
        <v>36</v>
      </c>
      <c r="N404" s="4" t="s">
        <v>834</v>
      </c>
      <c r="O404" s="4" t="s">
        <v>37</v>
      </c>
      <c r="P404" s="4" t="s">
        <v>37</v>
      </c>
      <c r="Q404" s="10" t="s">
        <v>2385</v>
      </c>
      <c r="R404" s="4" t="str">
        <f t="shared" si="27"/>
        <v>Calle Joaquin Capelo 320, Apt. 3 Santa Cruz, Miraflores, Lima, Lima, Perú</v>
      </c>
      <c r="S404" s="4">
        <v>-12.115350899999999</v>
      </c>
      <c r="T404" s="4">
        <v>-77.0449117</v>
      </c>
      <c r="U404" s="30">
        <f t="shared" si="28"/>
        <v>20.49</v>
      </c>
      <c r="V404" s="4" t="str">
        <f t="shared" si="29"/>
        <v>🔴 Lejos (&gt;20 km)</v>
      </c>
      <c r="W404" s="19" t="str" cm="1">
        <f t="array" ref="W404">_xlfn.LET(_xlpm.lat_emp,S404,_xlpm.lon_emp,T404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Berlín con Javier prado (cruzando el semáforo) aplica solo al ingreso.</v>
      </c>
      <c r="X404" s="19" t="str">
        <f>_xlfn.LET(_xlpm.paradero,W404,INDEX(PARADEROS_VALIDOS!$A$2:$A$67,MATCH(_xlpm.paradero,PARADEROS_VALIDOS!$C$2:$C$67,0)))</f>
        <v>RUTA 4A</v>
      </c>
      <c r="Y404" s="29" cm="1">
        <f t="array" ref="Y404">_xlfn.LET(_xlpm.lat_emp,S404,_xlpm.lon_emp,T404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4.0999999999999996</v>
      </c>
      <c r="Z404" s="4" t="str">
        <f t="shared" si="30"/>
        <v>🟠 Moderada (3-5 km)</v>
      </c>
      <c r="AA404" s="4"/>
      <c r="AB404" s="4"/>
      <c r="AC404" s="49">
        <v>-11.997563</v>
      </c>
      <c r="AD404" s="49">
        <v>-76.900062000000005</v>
      </c>
      <c r="AE404" s="19" t="str">
        <f>IFERROR(VLOOKUP(C404,tdcargo[],2,FALSE),"DESCONOCIDO")</f>
        <v>STAFF</v>
      </c>
    </row>
    <row r="405" spans="1:31" hidden="1" x14ac:dyDescent="0.35">
      <c r="A405" s="8">
        <v>74208245</v>
      </c>
      <c r="B405" s="4" t="s">
        <v>2386</v>
      </c>
      <c r="C405" s="4" t="s">
        <v>1474</v>
      </c>
      <c r="D405" s="5">
        <v>45659</v>
      </c>
      <c r="E405" s="4" t="s">
        <v>31</v>
      </c>
      <c r="F405" s="4" t="s">
        <v>148</v>
      </c>
      <c r="G405" s="4" t="s">
        <v>2387</v>
      </c>
      <c r="H405" s="4" t="s">
        <v>1956</v>
      </c>
      <c r="I405" s="4" t="s">
        <v>1968</v>
      </c>
      <c r="J405" s="4" t="s">
        <v>1968</v>
      </c>
      <c r="K405" s="4" t="s">
        <v>1968</v>
      </c>
      <c r="L405" s="4" t="s">
        <v>1968</v>
      </c>
      <c r="M405" s="4" t="s">
        <v>36</v>
      </c>
      <c r="N405" s="4" t="s">
        <v>2388</v>
      </c>
      <c r="O405" s="4" t="s">
        <v>37</v>
      </c>
      <c r="P405" s="4" t="s">
        <v>37</v>
      </c>
      <c r="Q405" s="10" t="s">
        <v>76</v>
      </c>
      <c r="R405" s="4" t="str">
        <f t="shared" si="27"/>
        <v>Pasaje Las Gaviotas Sauce Grande, Lurigancho, Lima, Lima, Perú</v>
      </c>
      <c r="S405" s="4">
        <v>-11.941077699999999</v>
      </c>
      <c r="T405" s="4">
        <v>-76.695001399999995</v>
      </c>
      <c r="U405" s="30">
        <f t="shared" si="28"/>
        <v>23.17</v>
      </c>
      <c r="V405" s="4" t="str">
        <f t="shared" si="29"/>
        <v>🔴 Lejos (&gt;20 km)</v>
      </c>
      <c r="W405" s="19" t="str" cm="1">
        <f t="array" ref="W405">_xlfn.LET(_xlpm.lat_emp,S405,_xlpm.lon_emp,T405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405" s="19" t="str">
        <f>_xlfn.LET(_xlpm.paradero,W405,INDEX(PARADEROS_VALIDOS!$A$2:$A$67,MATCH(_xlpm.paradero,PARADEROS_VALIDOS!$C$2:$C$67,0)))</f>
        <v>RUTA 5A</v>
      </c>
      <c r="Y405" s="29" cm="1">
        <f t="array" ref="Y405">_xlfn.LET(_xlpm.lat_emp,S405,_xlpm.lon_emp,T405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9.3000000000000007</v>
      </c>
      <c r="Z405" s="4" t="str">
        <f t="shared" si="30"/>
        <v>🔴 Lejos (&gt;5 km)</v>
      </c>
      <c r="AA405" s="4"/>
      <c r="AB405" s="4"/>
      <c r="AC405" s="49">
        <v>-11.997563</v>
      </c>
      <c r="AD405" s="49">
        <v>-76.900062000000005</v>
      </c>
      <c r="AE405" s="19" t="str">
        <f>IFERROR(VLOOKUP(C405,tdcargo[],2,FALSE),"DESCONOCIDO")</f>
        <v>STAFF</v>
      </c>
    </row>
    <row r="406" spans="1:31" hidden="1" x14ac:dyDescent="0.35">
      <c r="A406" s="8">
        <v>45455178</v>
      </c>
      <c r="B406" s="4" t="s">
        <v>2389</v>
      </c>
      <c r="C406" s="4" t="s">
        <v>2151</v>
      </c>
      <c r="D406" s="5">
        <v>41711</v>
      </c>
      <c r="E406" s="4" t="s">
        <v>31</v>
      </c>
      <c r="F406" s="4" t="s">
        <v>34</v>
      </c>
      <c r="G406" s="4" t="s">
        <v>2346</v>
      </c>
      <c r="H406" s="4" t="s">
        <v>1956</v>
      </c>
      <c r="I406" s="4" t="s">
        <v>1968</v>
      </c>
      <c r="J406" s="4" t="s">
        <v>1968</v>
      </c>
      <c r="K406" s="4" t="s">
        <v>1968</v>
      </c>
      <c r="L406" s="4" t="s">
        <v>1968</v>
      </c>
      <c r="M406" s="4" t="s">
        <v>186</v>
      </c>
      <c r="N406" s="4" t="s">
        <v>2346</v>
      </c>
      <c r="O406" s="4" t="s">
        <v>37</v>
      </c>
      <c r="P406" s="4" t="s">
        <v>37</v>
      </c>
      <c r="Q406" s="10" t="s">
        <v>38</v>
      </c>
      <c r="R406" s="4" t="str">
        <f t="shared" si="27"/>
        <v>Avenida Canto Grande, Urb. Urbanización Canto Grande, San Juan De Lurigancho, Lima, Lima, Perú</v>
      </c>
      <c r="S406" s="4">
        <v>-12.0101513</v>
      </c>
      <c r="T406" s="4">
        <v>-77.015606300000002</v>
      </c>
      <c r="U406" s="30">
        <f t="shared" si="28"/>
        <v>12.64</v>
      </c>
      <c r="V406" s="4" t="str">
        <f t="shared" si="29"/>
        <v>🟠 Moderada (10-20 km)</v>
      </c>
      <c r="W406" s="19" t="str" cm="1">
        <f t="array" ref="W406">_xlfn.LET(_xlpm.lat_emp,S406,_xlpm.lon_emp,T406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Metro Hacienda</v>
      </c>
      <c r="X406" s="19" t="str">
        <f>_xlfn.LET(_xlpm.paradero,W406,INDEX(PARADEROS_VALIDOS!$A$2:$A$67,MATCH(_xlpm.paradero,PARADEROS_VALIDOS!$C$2:$C$67,0)))</f>
        <v>RUTA 6B</v>
      </c>
      <c r="Y406" s="29" cm="1">
        <f t="array" ref="Y406">_xlfn.LET(_xlpm.lat_emp,S406,_xlpm.lon_emp,T406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1.05</v>
      </c>
      <c r="Z406" s="4" t="str">
        <f t="shared" si="30"/>
        <v>🟡 Cerca (1-3 km)</v>
      </c>
      <c r="AA406" s="4"/>
      <c r="AB406" s="4"/>
      <c r="AC406" s="49">
        <v>-11.997563</v>
      </c>
      <c r="AD406" s="49">
        <v>-76.900062000000005</v>
      </c>
      <c r="AE406" s="19" t="str">
        <f>IFERROR(VLOOKUP(C406,tdcargo[],2,FALSE),"DESCONOCIDO")</f>
        <v>STAFF</v>
      </c>
    </row>
    <row r="407" spans="1:31" x14ac:dyDescent="0.35">
      <c r="A407" s="8">
        <v>47071071</v>
      </c>
      <c r="B407" s="4" t="s">
        <v>2420</v>
      </c>
      <c r="C407" s="4" t="s">
        <v>2421</v>
      </c>
      <c r="D407" s="5">
        <v>41382</v>
      </c>
      <c r="E407" s="4" t="s">
        <v>31</v>
      </c>
      <c r="F407" s="4" t="s">
        <v>34</v>
      </c>
      <c r="G407" s="4" t="s">
        <v>46</v>
      </c>
      <c r="H407" s="4" t="s">
        <v>1956</v>
      </c>
      <c r="I407" s="4" t="s">
        <v>37</v>
      </c>
      <c r="J407" s="4" t="s">
        <v>1968</v>
      </c>
      <c r="K407" s="4" t="s">
        <v>1968</v>
      </c>
      <c r="L407" s="4" t="s">
        <v>1968</v>
      </c>
      <c r="M407" s="4" t="s">
        <v>88</v>
      </c>
      <c r="N407" s="4" t="s">
        <v>2422</v>
      </c>
      <c r="O407" s="4" t="s">
        <v>37</v>
      </c>
      <c r="P407" s="4" t="s">
        <v>37</v>
      </c>
      <c r="Q407" s="10" t="s">
        <v>310</v>
      </c>
      <c r="R407" s="4" t="str">
        <f t="shared" si="27"/>
        <v>Avenida Nd, Apt. Lima, A.H. Asentamiento Humano Jose Olaya, Villa El Salvador, Lima, Lima, Perú</v>
      </c>
      <c r="S407" s="4">
        <v>-12.201936999999999</v>
      </c>
      <c r="T407" s="4">
        <v>-76.976772100000005</v>
      </c>
      <c r="U407" s="30">
        <f t="shared" si="28"/>
        <v>24.21</v>
      </c>
      <c r="V407" s="4" t="str">
        <f t="shared" si="29"/>
        <v>🔴 Lejos (&gt;20 km)</v>
      </c>
      <c r="W407" s="19" t="str" cm="1">
        <f t="array" ref="W407">_xlfn.LET(_xlpm.lat_emp,S407,_xlpm.lon_emp,T407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Villa El Salvador (Cruce Av. 1ro de Mayo con ruta C)</v>
      </c>
      <c r="X407" s="19" t="str">
        <f>_xlfn.LET(_xlpm.paradero,W407,INDEX(PARADEROS_VALIDOS!$A$2:$A$67,MATCH(_xlpm.paradero,PARADEROS_VALIDOS!$C$2:$C$67,0)))</f>
        <v>RUTA 7</v>
      </c>
      <c r="Y407" s="29" cm="1">
        <f t="array" ref="Y407">_xlfn.LET(_xlpm.lat_emp,S407,_xlpm.lon_emp,T407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2.14</v>
      </c>
      <c r="Z407" s="4" t="str">
        <f t="shared" si="30"/>
        <v>🟡 Cerca (1-3 km)</v>
      </c>
      <c r="AA407" s="4"/>
      <c r="AB407" s="4"/>
      <c r="AC407" s="49">
        <v>-11.997563</v>
      </c>
      <c r="AD407" s="49">
        <v>-76.900062000000005</v>
      </c>
      <c r="AE407" s="19" t="str">
        <f>IFERROR(VLOOKUP(C407,tdcargo[],2,FALSE),"DESCONOCIDO")</f>
        <v>STAFF</v>
      </c>
    </row>
    <row r="408" spans="1:31" hidden="1" x14ac:dyDescent="0.35">
      <c r="A408" s="8">
        <v>75475259</v>
      </c>
      <c r="B408" s="4" t="s">
        <v>2445</v>
      </c>
      <c r="C408" s="4" t="s">
        <v>2045</v>
      </c>
      <c r="D408" s="5">
        <v>44875</v>
      </c>
      <c r="E408" s="4" t="s">
        <v>31</v>
      </c>
      <c r="F408" s="4" t="s">
        <v>36</v>
      </c>
      <c r="G408" s="4" t="s">
        <v>2446</v>
      </c>
      <c r="H408" s="4" t="s">
        <v>1956</v>
      </c>
      <c r="I408" s="4" t="s">
        <v>1968</v>
      </c>
      <c r="J408" s="4" t="s">
        <v>1968</v>
      </c>
      <c r="K408" s="4" t="s">
        <v>1968</v>
      </c>
      <c r="L408" s="4" t="s">
        <v>1968</v>
      </c>
      <c r="M408" s="4" t="s">
        <v>36</v>
      </c>
      <c r="N408" s="4" t="s">
        <v>46</v>
      </c>
      <c r="O408" s="4" t="s">
        <v>37</v>
      </c>
      <c r="P408" s="4" t="s">
        <v>37</v>
      </c>
      <c r="Q408" s="10" t="s">
        <v>76</v>
      </c>
      <c r="R408" s="4" t="str">
        <f t="shared" si="27"/>
        <v>Casa Huerta La Campiiña Sector B - Lurigancho Chos Nd, Lurigancho, Lima, Lima, Perú</v>
      </c>
      <c r="S408" s="4">
        <v>-11.976007299999999</v>
      </c>
      <c r="T408" s="4">
        <v>-76.9174893</v>
      </c>
      <c r="U408" s="30">
        <f t="shared" si="28"/>
        <v>3.06</v>
      </c>
      <c r="V408" s="4" t="str">
        <f t="shared" si="29"/>
        <v>🟢 Muy Cerca (0-5 km)</v>
      </c>
      <c r="W408" s="19" t="str" cm="1">
        <f t="array" ref="W408">_xlfn.LET(_xlpm.lat_emp,S408,_xlpm.lon_emp,T408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408" s="19" t="str">
        <f>_xlfn.LET(_xlpm.paradero,W408,INDEX(PARADEROS_VALIDOS!$A$2:$A$67,MATCH(_xlpm.paradero,PARADEROS_VALIDOS!$C$2:$C$67,0)))</f>
        <v>RUTA 2</v>
      </c>
      <c r="Y408" s="29" cm="1">
        <f t="array" ref="Y408">_xlfn.LET(_xlpm.lat_emp,S408,_xlpm.lon_emp,T408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2.5</v>
      </c>
      <c r="Z408" s="4" t="str">
        <f t="shared" si="30"/>
        <v>🟡 Cerca (1-3 km)</v>
      </c>
      <c r="AA408" s="4"/>
      <c r="AB408" s="4"/>
      <c r="AC408" s="49">
        <v>-11.997563</v>
      </c>
      <c r="AD408" s="49">
        <v>-76.900062000000005</v>
      </c>
      <c r="AE408" s="19" t="str">
        <f>IFERROR(VLOOKUP(C408,tdcargo[],2,FALSE),"DESCONOCIDO")</f>
        <v>STAFF</v>
      </c>
    </row>
    <row r="409" spans="1:31" hidden="1" x14ac:dyDescent="0.35">
      <c r="A409" s="8">
        <v>80374229</v>
      </c>
      <c r="B409" s="4" t="s">
        <v>2475</v>
      </c>
      <c r="C409" s="4" t="s">
        <v>2476</v>
      </c>
      <c r="D409" s="5">
        <v>44501</v>
      </c>
      <c r="E409" s="4" t="s">
        <v>31</v>
      </c>
      <c r="F409" s="4" t="s">
        <v>53</v>
      </c>
      <c r="G409" s="4" t="s">
        <v>2477</v>
      </c>
      <c r="H409" s="4" t="s">
        <v>1968</v>
      </c>
      <c r="I409" s="4" t="s">
        <v>2118</v>
      </c>
      <c r="J409" s="4" t="s">
        <v>2118</v>
      </c>
      <c r="K409" s="4" t="s">
        <v>1996</v>
      </c>
      <c r="L409" s="4" t="s">
        <v>1987</v>
      </c>
      <c r="M409" s="4" t="s">
        <v>186</v>
      </c>
      <c r="N409" s="4" t="s">
        <v>2478</v>
      </c>
      <c r="O409" s="4" t="s">
        <v>872</v>
      </c>
      <c r="P409" s="4" t="s">
        <v>873</v>
      </c>
      <c r="Q409" s="10" t="s">
        <v>873</v>
      </c>
      <c r="R409" s="4" t="str">
        <f t="shared" si="27"/>
        <v>Jirón Jirón el Roble Mz. J. lote 2 Urbanización el Olivar. Callao, Apt. 5, Int. 5, Lote 2, Mz. J, Urb. Urbanización Urb. El Olivar, Callao, Callao, Const. Del Callao, Perú</v>
      </c>
      <c r="S409" s="4">
        <v>-12.020485499999999</v>
      </c>
      <c r="T409" s="4">
        <v>-77.093600600000002</v>
      </c>
      <c r="U409" s="30">
        <f t="shared" si="28"/>
        <v>21.2</v>
      </c>
      <c r="V409" s="4" t="str">
        <f t="shared" si="29"/>
        <v>🔴 Lejos (&gt;20 km)</v>
      </c>
      <c r="W409" s="19" t="str" cm="1">
        <f t="array" ref="W409">_xlfn.LET(_xlpm.lat_emp,S409,_xlpm.lon_emp,T409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Universitaria con San German</v>
      </c>
      <c r="X409" s="19" t="str">
        <f>_xlfn.LET(_xlpm.paradero,W409,INDEX(PARADEROS_VALIDOS!$A$2:$A$67,MATCH(_xlpm.paradero,PARADEROS_VALIDOS!$C$2:$C$67,0)))</f>
        <v>RUTA 8</v>
      </c>
      <c r="Y409" s="29" cm="1">
        <f t="array" ref="Y409">_xlfn.LET(_xlpm.lat_emp,S409,_xlpm.lon_emp,T409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1.82</v>
      </c>
      <c r="Z409" s="4" t="str">
        <f t="shared" si="30"/>
        <v>🟡 Cerca (1-3 km)</v>
      </c>
      <c r="AA409" s="4"/>
      <c r="AB409" s="4"/>
      <c r="AC409" s="49">
        <v>-11.997563</v>
      </c>
      <c r="AD409" s="49">
        <v>-76.900062000000005</v>
      </c>
      <c r="AE409" s="19" t="str">
        <f>IFERROR(VLOOKUP(C409,tdcargo[],2,FALSE),"DESCONOCIDO")</f>
        <v>STAFF</v>
      </c>
    </row>
    <row r="410" spans="1:31" hidden="1" x14ac:dyDescent="0.35">
      <c r="A410" s="8">
        <v>76602750</v>
      </c>
      <c r="B410" s="4" t="s">
        <v>2500</v>
      </c>
      <c r="C410" s="4" t="s">
        <v>2236</v>
      </c>
      <c r="D410" s="5">
        <v>45407</v>
      </c>
      <c r="E410" s="4" t="s">
        <v>31</v>
      </c>
      <c r="F410" s="4" t="s">
        <v>53</v>
      </c>
      <c r="G410" s="4" t="s">
        <v>2501</v>
      </c>
      <c r="H410" s="4" t="s">
        <v>2502</v>
      </c>
      <c r="I410" s="4" t="s">
        <v>1968</v>
      </c>
      <c r="J410" s="4" t="s">
        <v>1968</v>
      </c>
      <c r="K410" s="4" t="s">
        <v>1968</v>
      </c>
      <c r="L410" s="4" t="s">
        <v>1968</v>
      </c>
      <c r="M410" s="4" t="s">
        <v>36</v>
      </c>
      <c r="N410" s="4" t="s">
        <v>2503</v>
      </c>
      <c r="O410" s="4" t="s">
        <v>37</v>
      </c>
      <c r="P410" s="4" t="s">
        <v>37</v>
      </c>
      <c r="Q410" s="10" t="s">
        <v>76</v>
      </c>
      <c r="R410" s="4" t="str">
        <f t="shared" si="27"/>
        <v>Jirón Piroxenitas 247 San Miguel De Pedregal, Lurigancho, Lima, Lima, Perú</v>
      </c>
      <c r="S410" s="4">
        <v>-11.9384298</v>
      </c>
      <c r="T410" s="4">
        <v>-76.700729800000005</v>
      </c>
      <c r="U410" s="30">
        <f t="shared" si="28"/>
        <v>22.66</v>
      </c>
      <c r="V410" s="4" t="str">
        <f t="shared" si="29"/>
        <v>🔴 Lejos (&gt;20 km)</v>
      </c>
      <c r="W410" s="19" t="str" cm="1">
        <f t="array" ref="W410">_xlfn.LET(_xlpm.lat_emp,S410,_xlpm.lon_emp,T410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410" s="19" t="str">
        <f>_xlfn.LET(_xlpm.paradero,W410,INDEX(PARADEROS_VALIDOS!$A$2:$A$67,MATCH(_xlpm.paradero,PARADEROS_VALIDOS!$C$2:$C$67,0)))</f>
        <v>RUTA 5A</v>
      </c>
      <c r="Y410" s="29" cm="1">
        <f t="array" ref="Y410">_xlfn.LET(_xlpm.lat_emp,S410,_xlpm.lon_emp,T410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8.8800000000000008</v>
      </c>
      <c r="Z410" s="4" t="str">
        <f t="shared" si="30"/>
        <v>🔴 Lejos (&gt;5 km)</v>
      </c>
      <c r="AA410" s="4"/>
      <c r="AB410" s="4"/>
      <c r="AC410" s="49">
        <v>-11.997563</v>
      </c>
      <c r="AD410" s="49">
        <v>-76.900062000000005</v>
      </c>
      <c r="AE410" s="19" t="str">
        <f>IFERROR(VLOOKUP(C410,tdcargo[],2,FALSE),"DESCONOCIDO")</f>
        <v>STAFF</v>
      </c>
    </row>
    <row r="411" spans="1:31" hidden="1" x14ac:dyDescent="0.35">
      <c r="A411" s="8">
        <v>44559111</v>
      </c>
      <c r="B411" s="4" t="s">
        <v>2507</v>
      </c>
      <c r="C411" s="4" t="s">
        <v>2508</v>
      </c>
      <c r="D411" s="5">
        <v>44018</v>
      </c>
      <c r="E411" s="4" t="s">
        <v>31</v>
      </c>
      <c r="F411" s="4" t="s">
        <v>34</v>
      </c>
      <c r="G411" s="4" t="s">
        <v>2509</v>
      </c>
      <c r="H411" s="4" t="s">
        <v>2510</v>
      </c>
      <c r="I411" s="4" t="s">
        <v>1968</v>
      </c>
      <c r="J411" s="4" t="s">
        <v>2511</v>
      </c>
      <c r="K411" s="4" t="s">
        <v>1968</v>
      </c>
      <c r="L411" s="4" t="s">
        <v>1968</v>
      </c>
      <c r="M411" s="4" t="s">
        <v>643</v>
      </c>
      <c r="N411" s="4" t="s">
        <v>2512</v>
      </c>
      <c r="O411" s="4" t="s">
        <v>37</v>
      </c>
      <c r="P411" s="4" t="s">
        <v>37</v>
      </c>
      <c r="Q411" s="10" t="s">
        <v>1319</v>
      </c>
      <c r="R411" s="4" t="str">
        <f t="shared" si="27"/>
        <v>Avenida Costanera 2200, Int. 301, Res. Residencial Condominio Panoramic, San Miguel, Lima, Lima, Perú</v>
      </c>
      <c r="S411" s="4">
        <v>-12.082584300000001</v>
      </c>
      <c r="T411" s="4">
        <v>-77.103707700000001</v>
      </c>
      <c r="U411" s="30">
        <f t="shared" si="28"/>
        <v>24.08</v>
      </c>
      <c r="V411" s="4" t="str">
        <f t="shared" si="29"/>
        <v>🔴 Lejos (&gt;20 km)</v>
      </c>
      <c r="W411" s="19" t="str" cm="1">
        <f t="array" ref="W411">_xlfn.LET(_xlpm.lat_emp,S411,_xlpm.lon_emp,T411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Universitaria con La Marina</v>
      </c>
      <c r="X411" s="19" t="str">
        <f>_xlfn.LET(_xlpm.paradero,W411,INDEX(PARADEROS_VALIDOS!$A$2:$A$67,MATCH(_xlpm.paradero,PARADEROS_VALIDOS!$C$2:$C$67,0)))</f>
        <v>RUTA 9</v>
      </c>
      <c r="Y411" s="29" cm="1">
        <f t="array" ref="Y411">_xlfn.LET(_xlpm.lat_emp,S411,_xlpm.lon_emp,T411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2.44</v>
      </c>
      <c r="Z411" s="4" t="str">
        <f t="shared" si="30"/>
        <v>🟡 Cerca (1-3 km)</v>
      </c>
      <c r="AA411" s="4"/>
      <c r="AB411" s="4"/>
      <c r="AC411" s="49">
        <v>-11.997563</v>
      </c>
      <c r="AD411" s="49">
        <v>-76.900062000000005</v>
      </c>
      <c r="AE411" s="19" t="str">
        <f>IFERROR(VLOOKUP(C411,tdcargo[],2,FALSE),"DESCONOCIDO")</f>
        <v>STAFF</v>
      </c>
    </row>
    <row r="412" spans="1:31" x14ac:dyDescent="0.35">
      <c r="A412" s="8">
        <v>45208650</v>
      </c>
      <c r="B412" s="4" t="s">
        <v>2541</v>
      </c>
      <c r="C412" s="4" t="s">
        <v>2542</v>
      </c>
      <c r="D412" s="5">
        <v>44154</v>
      </c>
      <c r="E412" s="4" t="s">
        <v>31</v>
      </c>
      <c r="F412" s="4" t="s">
        <v>34</v>
      </c>
      <c r="G412" s="4" t="s">
        <v>2543</v>
      </c>
      <c r="H412" s="4" t="s">
        <v>2544</v>
      </c>
      <c r="I412" s="4" t="s">
        <v>1968</v>
      </c>
      <c r="J412" s="4" t="s">
        <v>1968</v>
      </c>
      <c r="K412" s="4" t="s">
        <v>1968</v>
      </c>
      <c r="L412" s="4" t="s">
        <v>1968</v>
      </c>
      <c r="M412" s="4" t="s">
        <v>186</v>
      </c>
      <c r="N412" s="4" t="s">
        <v>2545</v>
      </c>
      <c r="O412" s="4" t="s">
        <v>37</v>
      </c>
      <c r="P412" s="4" t="s">
        <v>37</v>
      </c>
      <c r="Q412" s="10" t="s">
        <v>2385</v>
      </c>
      <c r="R412" s="4" t="str">
        <f t="shared" si="27"/>
        <v>Avenida Tomás Marsano 2026, Urb. Urbanización La Aurora, Miraflores, Lima, Lima, Perú</v>
      </c>
      <c r="S412" s="4">
        <v>-12.1222709</v>
      </c>
      <c r="T412" s="4">
        <v>-77.005814799999996</v>
      </c>
      <c r="U412" s="30">
        <f t="shared" si="28"/>
        <v>18.010000000000002</v>
      </c>
      <c r="V412" s="4" t="str">
        <f t="shared" si="29"/>
        <v>🟠 Moderada (10-20 km)</v>
      </c>
      <c r="W412" s="19" t="str" cm="1">
        <f t="array" ref="W412">_xlfn.LET(_xlpm.lat_emp,S412,_xlpm.lon_emp,T412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Pentagonito</v>
      </c>
      <c r="X412" s="19" t="str">
        <f>_xlfn.LET(_xlpm.paradero,W412,INDEX(PARADEROS_VALIDOS!$A$2:$A$67,MATCH(_xlpm.paradero,PARADEROS_VALIDOS!$C$2:$C$67,0)))</f>
        <v>RUTA 7</v>
      </c>
      <c r="Y412" s="29" cm="1">
        <f t="array" ref="Y412">_xlfn.LET(_xlpm.lat_emp,S412,_xlpm.lon_emp,T412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3.16</v>
      </c>
      <c r="Z412" s="4" t="str">
        <f t="shared" si="30"/>
        <v>🟠 Moderada (3-5 km)</v>
      </c>
      <c r="AA412" s="4"/>
      <c r="AB412" s="4"/>
      <c r="AC412" s="49">
        <v>-11.997563</v>
      </c>
      <c r="AD412" s="49">
        <v>-76.900062000000005</v>
      </c>
      <c r="AE412" s="19" t="str">
        <f>IFERROR(VLOOKUP(C412,tdcargo[],2,FALSE),"DESCONOCIDO")</f>
        <v>STAFF</v>
      </c>
    </row>
    <row r="413" spans="1:31" hidden="1" x14ac:dyDescent="0.35">
      <c r="A413" s="8">
        <v>75033270</v>
      </c>
      <c r="B413" s="4" t="s">
        <v>2549</v>
      </c>
      <c r="C413" s="4" t="s">
        <v>2045</v>
      </c>
      <c r="D413" s="5">
        <v>44980</v>
      </c>
      <c r="E413" s="4" t="s">
        <v>31</v>
      </c>
      <c r="F413" s="4" t="s">
        <v>36</v>
      </c>
      <c r="G413" s="4" t="s">
        <v>46</v>
      </c>
      <c r="H413" s="4" t="s">
        <v>1956</v>
      </c>
      <c r="I413" s="4" t="s">
        <v>1968</v>
      </c>
      <c r="J413" s="4" t="s">
        <v>1968</v>
      </c>
      <c r="K413" s="4" t="s">
        <v>1968</v>
      </c>
      <c r="L413" s="4" t="s">
        <v>1968</v>
      </c>
      <c r="M413" s="4" t="s">
        <v>66</v>
      </c>
      <c r="N413" s="4" t="s">
        <v>2550</v>
      </c>
      <c r="O413" s="4" t="s">
        <v>37</v>
      </c>
      <c r="P413" s="4" t="s">
        <v>37</v>
      </c>
      <c r="Q413" s="10" t="s">
        <v>76</v>
      </c>
      <c r="R413" s="4" t="str">
        <f t="shared" si="27"/>
        <v>Nd, U.V. Unidad Vecinal Vista Hermosa, Lurigancho, Lima, Lima, Perú</v>
      </c>
      <c r="S413" s="4">
        <v>-11.953937700000001</v>
      </c>
      <c r="T413" s="4">
        <v>-77.040302699999998</v>
      </c>
      <c r="U413" s="30">
        <f t="shared" si="28"/>
        <v>16.010000000000002</v>
      </c>
      <c r="V413" s="4" t="str">
        <f t="shared" si="29"/>
        <v>🟠 Moderada (10-20 km)</v>
      </c>
      <c r="W413" s="19" t="str" cm="1">
        <f t="array" ref="W413">_xlfn.LET(_xlpm.lat_emp,S413,_xlpm.lon_emp,T413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Av. Metropolitana con Cultura</v>
      </c>
      <c r="X413" s="19" t="str">
        <f>_xlfn.LET(_xlpm.paradero,W413,INDEX(PARADEROS_VALIDOS!$A$2:$A$67,MATCH(_xlpm.paradero,PARADEROS_VALIDOS!$C$2:$C$67,0)))</f>
        <v>RUTA 4A</v>
      </c>
      <c r="Y413" s="29" cm="1">
        <f t="array" ref="Y413">_xlfn.LET(_xlpm.lat_emp,S413,_xlpm.lon_emp,T413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2.65</v>
      </c>
      <c r="Z413" s="4" t="str">
        <f t="shared" si="30"/>
        <v>🟡 Cerca (1-3 km)</v>
      </c>
      <c r="AA413" s="4"/>
      <c r="AB413" s="4"/>
      <c r="AC413" s="49">
        <v>-11.997563</v>
      </c>
      <c r="AD413" s="49">
        <v>-76.900062000000005</v>
      </c>
      <c r="AE413" s="19" t="str">
        <f>IFERROR(VLOOKUP(C413,tdcargo[],2,FALSE),"DESCONOCIDO")</f>
        <v>STAFF</v>
      </c>
    </row>
    <row r="414" spans="1:31" hidden="1" x14ac:dyDescent="0.35">
      <c r="A414" s="8">
        <v>72353154</v>
      </c>
      <c r="B414" s="4" t="s">
        <v>2556</v>
      </c>
      <c r="C414" s="4" t="s">
        <v>2557</v>
      </c>
      <c r="D414" s="5">
        <v>45068</v>
      </c>
      <c r="E414" s="4" t="s">
        <v>31</v>
      </c>
      <c r="F414" s="4" t="s">
        <v>82</v>
      </c>
      <c r="G414" s="4" t="s">
        <v>46</v>
      </c>
      <c r="H414" s="4" t="s">
        <v>2347</v>
      </c>
      <c r="I414" s="4" t="s">
        <v>1968</v>
      </c>
      <c r="J414" s="4" t="s">
        <v>1968</v>
      </c>
      <c r="K414" s="4" t="s">
        <v>1968</v>
      </c>
      <c r="L414" s="4" t="s">
        <v>1968</v>
      </c>
      <c r="M414" s="4" t="s">
        <v>186</v>
      </c>
      <c r="N414" s="4" t="s">
        <v>2558</v>
      </c>
      <c r="O414" s="4" t="s">
        <v>37</v>
      </c>
      <c r="P414" s="4" t="s">
        <v>37</v>
      </c>
      <c r="Q414" s="10" t="s">
        <v>118</v>
      </c>
      <c r="R414" s="4" t="str">
        <f t="shared" si="27"/>
        <v>Calle Nd 4, Urb. Urbanización Alfonso Cobian, Chaclacayo, Lima, Lima, Perú</v>
      </c>
      <c r="S414" s="4">
        <v>-11.986582</v>
      </c>
      <c r="T414" s="4">
        <v>-76.809022200000001</v>
      </c>
      <c r="U414" s="30">
        <f t="shared" si="28"/>
        <v>9.98</v>
      </c>
      <c r="V414" s="4" t="str">
        <f t="shared" si="29"/>
        <v>🟡 Cerca (5-10 km)</v>
      </c>
      <c r="W414" s="19" t="str" cm="1">
        <f t="array" ref="W414">_xlfn.LET(_xlpm.lat_emp,S414,_xlpm.lon_emp,T414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Ñaña</v>
      </c>
      <c r="X414" s="19" t="str">
        <f>_xlfn.LET(_xlpm.paradero,W414,INDEX(PARADEROS_VALIDOS!$A$2:$A$67,MATCH(_xlpm.paradero,PARADEROS_VALIDOS!$C$2:$C$67,0)))</f>
        <v>RUTA 5A</v>
      </c>
      <c r="Y414" s="29" cm="1">
        <f t="array" ref="Y414">_xlfn.LET(_xlpm.lat_emp,S414,_xlpm.lon_emp,T414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1.06</v>
      </c>
      <c r="Z414" s="4" t="str">
        <f t="shared" si="30"/>
        <v>🟡 Cerca (1-3 km)</v>
      </c>
      <c r="AA414" s="4"/>
      <c r="AB414" s="4"/>
      <c r="AC414" s="49">
        <v>-11.997563</v>
      </c>
      <c r="AD414" s="49">
        <v>-76.900062000000005</v>
      </c>
      <c r="AE414" s="19" t="str">
        <f>IFERROR(VLOOKUP(C414,tdcargo[],2,FALSE),"DESCONOCIDO")</f>
        <v>STAFF</v>
      </c>
    </row>
    <row r="415" spans="1:31" x14ac:dyDescent="0.35">
      <c r="A415" s="8">
        <v>9454416</v>
      </c>
      <c r="B415" s="4" t="s">
        <v>2612</v>
      </c>
      <c r="C415" s="4" t="s">
        <v>2041</v>
      </c>
      <c r="D415" s="5">
        <v>42131</v>
      </c>
      <c r="E415" s="4" t="s">
        <v>31</v>
      </c>
      <c r="F415" s="4" t="s">
        <v>82</v>
      </c>
      <c r="G415" s="4" t="s">
        <v>2613</v>
      </c>
      <c r="H415" s="4" t="s">
        <v>2614</v>
      </c>
      <c r="I415" s="4" t="s">
        <v>1968</v>
      </c>
      <c r="J415" s="4" t="s">
        <v>2615</v>
      </c>
      <c r="K415" s="4" t="s">
        <v>1968</v>
      </c>
      <c r="L415" s="4" t="s">
        <v>1968</v>
      </c>
      <c r="M415" s="4" t="s">
        <v>177</v>
      </c>
      <c r="N415" s="4" t="s">
        <v>2616</v>
      </c>
      <c r="O415" s="4" t="s">
        <v>37</v>
      </c>
      <c r="P415" s="4" t="s">
        <v>37</v>
      </c>
      <c r="Q415" s="10" t="s">
        <v>1372</v>
      </c>
      <c r="R415" s="4" t="str">
        <f t="shared" si="27"/>
        <v>Calle Corbeta La Union 150, Int. 404, C.H. Conjunto Habitacional Praderas De Surco, Santiago De Surco, Lima, Lima, Perú</v>
      </c>
      <c r="S415" s="4">
        <v>-12.160909</v>
      </c>
      <c r="T415" s="4">
        <v>-76.992117500000006</v>
      </c>
      <c r="U415" s="30">
        <f t="shared" si="28"/>
        <v>20.74</v>
      </c>
      <c r="V415" s="4" t="str">
        <f t="shared" si="29"/>
        <v>🔴 Lejos (&gt;20 km)</v>
      </c>
      <c r="W415" s="19" t="str" cm="1">
        <f t="array" ref="W415">_xlfn.LET(_xlpm.lat_emp,S415,_xlpm.lon_emp,T415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Amauta</v>
      </c>
      <c r="X415" s="19" t="str">
        <f>_xlfn.LET(_xlpm.paradero,W415,INDEX(PARADEROS_VALIDOS!$A$2:$A$67,MATCH(_xlpm.paradero,PARADEROS_VALIDOS!$C$2:$C$67,0)))</f>
        <v>RUTA 7</v>
      </c>
      <c r="Y415" s="29" cm="1">
        <f t="array" ref="Y415">_xlfn.LET(_xlpm.lat_emp,S415,_xlpm.lon_emp,T415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1.1299999999999999</v>
      </c>
      <c r="Z415" s="4" t="str">
        <f t="shared" si="30"/>
        <v>🟡 Cerca (1-3 km)</v>
      </c>
      <c r="AA415" s="4"/>
      <c r="AB415" s="4"/>
      <c r="AC415" s="49">
        <v>-11.997563</v>
      </c>
      <c r="AD415" s="49">
        <v>-76.900062000000005</v>
      </c>
      <c r="AE415" s="19" t="str">
        <f>IFERROR(VLOOKUP(C415,tdcargo[],2,FALSE),"DESCONOCIDO")</f>
        <v>STAFF</v>
      </c>
    </row>
    <row r="416" spans="1:31" hidden="1" x14ac:dyDescent="0.35">
      <c r="A416" s="8">
        <v>48485872</v>
      </c>
      <c r="B416" s="4" t="s">
        <v>2617</v>
      </c>
      <c r="C416" s="4" t="s">
        <v>2031</v>
      </c>
      <c r="D416" s="5">
        <v>44924</v>
      </c>
      <c r="E416" s="4" t="s">
        <v>31</v>
      </c>
      <c r="F416" s="4" t="s">
        <v>53</v>
      </c>
      <c r="G416" s="4" t="s">
        <v>2618</v>
      </c>
      <c r="H416" s="4" t="s">
        <v>1956</v>
      </c>
      <c r="I416" s="4" t="s">
        <v>1968</v>
      </c>
      <c r="J416" s="4" t="s">
        <v>1968</v>
      </c>
      <c r="K416" s="4" t="s">
        <v>1968</v>
      </c>
      <c r="L416" s="4" t="s">
        <v>1968</v>
      </c>
      <c r="M416" s="4" t="s">
        <v>88</v>
      </c>
      <c r="N416" s="4" t="s">
        <v>2619</v>
      </c>
      <c r="O416" s="4" t="s">
        <v>37</v>
      </c>
      <c r="P416" s="4" t="s">
        <v>37</v>
      </c>
      <c r="Q416" s="10" t="s">
        <v>38</v>
      </c>
      <c r="R416" s="4" t="str">
        <f t="shared" si="27"/>
        <v>Jirón Moscu, A.H. Asentamiento Humano Hospital Del Niñ, San Juan De Lurigancho, Lima, Lima, Perú</v>
      </c>
      <c r="S416" s="4">
        <v>-11.9580685</v>
      </c>
      <c r="T416" s="4">
        <v>-76.990358999999998</v>
      </c>
      <c r="U416" s="30">
        <f t="shared" si="28"/>
        <v>10.76</v>
      </c>
      <c r="V416" s="4" t="str">
        <f t="shared" si="29"/>
        <v>🟠 Moderada (10-20 km)</v>
      </c>
      <c r="W416" s="19" t="str" cm="1">
        <f t="array" ref="W416">_xlfn.LET(_xlpm.lat_emp,S416,_xlpm.lon_emp,T416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416" s="19" t="str">
        <f>_xlfn.LET(_xlpm.paradero,W416,INDEX(PARADEROS_VALIDOS!$A$2:$A$67,MATCH(_xlpm.paradero,PARADEROS_VALIDOS!$C$2:$C$67,0)))</f>
        <v>RUTA 6A</v>
      </c>
      <c r="Y416" s="29" cm="1">
        <f t="array" ref="Y416">_xlfn.LET(_xlpm.lat_emp,S416,_xlpm.lon_emp,T416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2.16</v>
      </c>
      <c r="Z416" s="4" t="str">
        <f t="shared" si="30"/>
        <v>🟡 Cerca (1-3 km)</v>
      </c>
      <c r="AA416" s="4"/>
      <c r="AB416" s="4"/>
      <c r="AC416" s="49">
        <v>-11.997563</v>
      </c>
      <c r="AD416" s="49">
        <v>-76.900062000000005</v>
      </c>
      <c r="AE416" s="19" t="str">
        <f>IFERROR(VLOOKUP(C416,tdcargo[],2,FALSE),"DESCONOCIDO")</f>
        <v>STAFF</v>
      </c>
    </row>
    <row r="417" spans="1:31" x14ac:dyDescent="0.35">
      <c r="A417" s="8">
        <v>46220841</v>
      </c>
      <c r="B417" s="4" t="s">
        <v>2623</v>
      </c>
      <c r="C417" s="4" t="s">
        <v>2624</v>
      </c>
      <c r="D417" s="5">
        <v>45828</v>
      </c>
      <c r="E417" s="4" t="s">
        <v>31</v>
      </c>
      <c r="F417" s="4" t="s">
        <v>82</v>
      </c>
      <c r="G417" s="4" t="s">
        <v>1974</v>
      </c>
      <c r="H417" s="4" t="s">
        <v>1956</v>
      </c>
      <c r="I417" s="4" t="s">
        <v>1968</v>
      </c>
      <c r="J417" s="4" t="s">
        <v>1968</v>
      </c>
      <c r="K417" s="4" t="s">
        <v>2625</v>
      </c>
      <c r="L417" s="4" t="s">
        <v>2322</v>
      </c>
      <c r="M417" s="4" t="s">
        <v>36</v>
      </c>
      <c r="N417" s="4" t="s">
        <v>2626</v>
      </c>
      <c r="O417" s="4" t="s">
        <v>37</v>
      </c>
      <c r="P417" s="4" t="s">
        <v>37</v>
      </c>
      <c r="Q417" s="10" t="s">
        <v>858</v>
      </c>
      <c r="R417" s="4" t="str">
        <f t="shared" si="27"/>
        <v>Calle B, Lote 33, Mz. M Asociacion Tradiciones Ricardo Palma, San Juan De Miraflores, Lima, Lima, Perú</v>
      </c>
      <c r="S417" s="4">
        <v>-12.1849218</v>
      </c>
      <c r="T417" s="4">
        <v>-76.976674500000001</v>
      </c>
      <c r="U417" s="30">
        <f t="shared" si="28"/>
        <v>22.44</v>
      </c>
      <c r="V417" s="4" t="str">
        <f t="shared" si="29"/>
        <v>🔴 Lejos (&gt;20 km)</v>
      </c>
      <c r="W417" s="19" t="str" cm="1">
        <f t="array" ref="W417">_xlfn.LET(_xlpm.lat_emp,S417,_xlpm.lon_emp,T417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Puente Alipio</v>
      </c>
      <c r="X417" s="19" t="str">
        <f>_xlfn.LET(_xlpm.paradero,W417,INDEX(PARADEROS_VALIDOS!$A$2:$A$67,MATCH(_xlpm.paradero,PARADEROS_VALIDOS!$C$2:$C$67,0)))</f>
        <v>RUTA 7</v>
      </c>
      <c r="Y417" s="29" cm="1">
        <f t="array" ref="Y417">_xlfn.LET(_xlpm.lat_emp,S417,_xlpm.lon_emp,T417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1.83</v>
      </c>
      <c r="Z417" s="4" t="str">
        <f t="shared" si="30"/>
        <v>🟡 Cerca (1-3 km)</v>
      </c>
      <c r="AA417" s="4"/>
      <c r="AB417" s="4"/>
      <c r="AC417" s="49">
        <v>-11.997563</v>
      </c>
      <c r="AD417" s="49">
        <v>-76.900062000000005</v>
      </c>
      <c r="AE417" s="19" t="str">
        <f>IFERROR(VLOOKUP(C417,tdcargo[],2,FALSE),"DESCONOCIDO")</f>
        <v>STAFF</v>
      </c>
    </row>
    <row r="418" spans="1:31" hidden="1" x14ac:dyDescent="0.35">
      <c r="A418" s="8">
        <v>70112667</v>
      </c>
      <c r="B418" s="4" t="s">
        <v>2627</v>
      </c>
      <c r="C418" s="4" t="s">
        <v>2628</v>
      </c>
      <c r="D418" s="5">
        <v>43692</v>
      </c>
      <c r="E418" s="4" t="s">
        <v>31</v>
      </c>
      <c r="F418" s="4" t="s">
        <v>36</v>
      </c>
      <c r="G418" s="4" t="s">
        <v>2629</v>
      </c>
      <c r="H418" s="4" t="s">
        <v>1956</v>
      </c>
      <c r="I418" s="4" t="s">
        <v>1968</v>
      </c>
      <c r="J418" s="4" t="s">
        <v>1968</v>
      </c>
      <c r="K418" s="4" t="s">
        <v>1968</v>
      </c>
      <c r="L418" s="4" t="s">
        <v>1968</v>
      </c>
      <c r="M418" s="4" t="s">
        <v>88</v>
      </c>
      <c r="N418" s="4" t="s">
        <v>2630</v>
      </c>
      <c r="O418" s="4" t="s">
        <v>37</v>
      </c>
      <c r="P418" s="4" t="s">
        <v>37</v>
      </c>
      <c r="Q418" s="10" t="s">
        <v>2631</v>
      </c>
      <c r="R418" s="4" t="str">
        <f t="shared" si="27"/>
        <v>Asent.H San Juan Bautista Lll, A.H. Asentamiento Humano Juan Bautista, Comas, Lima, Lima, Perú</v>
      </c>
      <c r="S418" s="4">
        <v>-11.9155952</v>
      </c>
      <c r="T418" s="4">
        <v>-77.044096699999997</v>
      </c>
      <c r="U418" s="30">
        <f t="shared" si="28"/>
        <v>18.13</v>
      </c>
      <c r="V418" s="4" t="str">
        <f t="shared" si="29"/>
        <v>🟠 Moderada (10-20 km)</v>
      </c>
      <c r="W418" s="19" t="str" cm="1">
        <f t="array" ref="W418">_xlfn.LET(_xlpm.lat_emp,S418,_xlpm.lon_emp,T418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Av. Metropolitana con Cultura</v>
      </c>
      <c r="X418" s="19" t="str">
        <f>_xlfn.LET(_xlpm.paradero,W418,INDEX(PARADEROS_VALIDOS!$A$2:$A$67,MATCH(_xlpm.paradero,PARADEROS_VALIDOS!$C$2:$C$67,0)))</f>
        <v>RUTA 4A</v>
      </c>
      <c r="Y418" s="29" cm="1">
        <f t="array" ref="Y418">_xlfn.LET(_xlpm.lat_emp,S418,_xlpm.lon_emp,T418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4.71</v>
      </c>
      <c r="Z418" s="4" t="str">
        <f t="shared" si="30"/>
        <v>🟠 Moderada (3-5 km)</v>
      </c>
      <c r="AA418" s="4"/>
      <c r="AB418" s="4"/>
      <c r="AC418" s="49">
        <v>-11.997563</v>
      </c>
      <c r="AD418" s="49">
        <v>-76.900062000000005</v>
      </c>
      <c r="AE418" s="19" t="str">
        <f>IFERROR(VLOOKUP(C418,tdcargo[],2,FALSE),"DESCONOCIDO")</f>
        <v>STAFF</v>
      </c>
    </row>
    <row r="419" spans="1:31" hidden="1" x14ac:dyDescent="0.35">
      <c r="A419" s="8">
        <v>76554013</v>
      </c>
      <c r="B419" s="4" t="s">
        <v>2658</v>
      </c>
      <c r="C419" s="4" t="s">
        <v>2659</v>
      </c>
      <c r="D419" s="5">
        <v>44228</v>
      </c>
      <c r="E419" s="4" t="s">
        <v>31</v>
      </c>
      <c r="F419" s="4" t="s">
        <v>36</v>
      </c>
      <c r="G419" s="4" t="s">
        <v>2660</v>
      </c>
      <c r="H419" s="4" t="s">
        <v>2264</v>
      </c>
      <c r="I419" s="4" t="s">
        <v>1968</v>
      </c>
      <c r="J419" s="4" t="s">
        <v>1968</v>
      </c>
      <c r="K419" s="4" t="s">
        <v>1968</v>
      </c>
      <c r="L419" s="4" t="s">
        <v>1968</v>
      </c>
      <c r="M419" s="4" t="s">
        <v>36</v>
      </c>
      <c r="N419" s="4" t="s">
        <v>46</v>
      </c>
      <c r="O419" s="4" t="s">
        <v>37</v>
      </c>
      <c r="P419" s="4" t="s">
        <v>37</v>
      </c>
      <c r="Q419" s="10" t="s">
        <v>38</v>
      </c>
      <c r="R419" s="4" t="str">
        <f t="shared" si="27"/>
        <v>Agrup. Fam. Ampl. Vista Alegre Mz. V Lt. 8 Nd, San Juan De Lurigancho, Lima, Lima, Perú</v>
      </c>
      <c r="S419" s="4">
        <v>-11.9651706</v>
      </c>
      <c r="T419" s="4">
        <v>-76.970251000000005</v>
      </c>
      <c r="U419" s="30">
        <f t="shared" si="28"/>
        <v>8.44</v>
      </c>
      <c r="V419" s="4" t="str">
        <f t="shared" si="29"/>
        <v>🟡 Cerca (5-10 km)</v>
      </c>
      <c r="W419" s="19" t="str" cm="1">
        <f t="array" ref="W419">_xlfn.LET(_xlpm.lat_emp,S419,_xlpm.lon_emp,T419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Martin</v>
      </c>
      <c r="X419" s="19" t="str">
        <f>_xlfn.LET(_xlpm.paradero,W419,INDEX(PARADEROS_VALIDOS!$A$2:$A$67,MATCH(_xlpm.paradero,PARADEROS_VALIDOS!$C$2:$C$67,0)))</f>
        <v>RUTA 6A</v>
      </c>
      <c r="Y419" s="29" cm="1">
        <f t="array" ref="Y419">_xlfn.LET(_xlpm.lat_emp,S419,_xlpm.lon_emp,T419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3.44</v>
      </c>
      <c r="Z419" s="4" t="str">
        <f t="shared" si="30"/>
        <v>🟠 Moderada (3-5 km)</v>
      </c>
      <c r="AA419" s="4"/>
      <c r="AB419" s="4"/>
      <c r="AC419" s="49">
        <v>-11.997563</v>
      </c>
      <c r="AD419" s="49">
        <v>-76.900062000000005</v>
      </c>
      <c r="AE419" s="19" t="str">
        <f>IFERROR(VLOOKUP(C419,tdcargo[],2,FALSE),"DESCONOCIDO")</f>
        <v>STAFF</v>
      </c>
    </row>
    <row r="420" spans="1:31" hidden="1" x14ac:dyDescent="0.35">
      <c r="A420" s="8">
        <v>42158652</v>
      </c>
      <c r="B420" s="4" t="s">
        <v>2661</v>
      </c>
      <c r="C420" s="4" t="s">
        <v>2130</v>
      </c>
      <c r="D420" s="5">
        <v>42718</v>
      </c>
      <c r="E420" s="4" t="s">
        <v>31</v>
      </c>
      <c r="F420" s="4" t="s">
        <v>34</v>
      </c>
      <c r="G420" s="4" t="s">
        <v>2662</v>
      </c>
      <c r="H420" s="4" t="s">
        <v>1956</v>
      </c>
      <c r="I420" s="4" t="s">
        <v>2663</v>
      </c>
      <c r="J420" s="4" t="s">
        <v>1968</v>
      </c>
      <c r="K420" s="4" t="s">
        <v>1968</v>
      </c>
      <c r="L420" s="4" t="s">
        <v>1968</v>
      </c>
      <c r="M420" s="4" t="s">
        <v>55</v>
      </c>
      <c r="N420" s="4" t="s">
        <v>2558</v>
      </c>
      <c r="O420" s="4" t="s">
        <v>37</v>
      </c>
      <c r="P420" s="4" t="s">
        <v>37</v>
      </c>
      <c r="Q420" s="10" t="s">
        <v>118</v>
      </c>
      <c r="R420" s="4" t="str">
        <f t="shared" si="27"/>
        <v>Avenida A. Cobian, Apt. Mz.H Lt.6, Coo. Cooperativa Alfonso Cobian, Chaclacayo, Lima, Lima, Perú</v>
      </c>
      <c r="S420" s="4">
        <v>-11.9864447</v>
      </c>
      <c r="T420" s="4">
        <v>-76.809036599999999</v>
      </c>
      <c r="U420" s="30">
        <f t="shared" si="28"/>
        <v>9.98</v>
      </c>
      <c r="V420" s="4" t="str">
        <f t="shared" si="29"/>
        <v>🟡 Cerca (5-10 km)</v>
      </c>
      <c r="W420" s="19" t="str" cm="1">
        <f t="array" ref="W420">_xlfn.LET(_xlpm.lat_emp,S420,_xlpm.lon_emp,T420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Ñaña</v>
      </c>
      <c r="X420" s="19" t="str">
        <f>_xlfn.LET(_xlpm.paradero,W420,INDEX(PARADEROS_VALIDOS!$A$2:$A$67,MATCH(_xlpm.paradero,PARADEROS_VALIDOS!$C$2:$C$67,0)))</f>
        <v>RUTA 5A</v>
      </c>
      <c r="Y420" s="29" cm="1">
        <f t="array" ref="Y420">_xlfn.LET(_xlpm.lat_emp,S420,_xlpm.lon_emp,T420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1.06</v>
      </c>
      <c r="Z420" s="4" t="str">
        <f t="shared" si="30"/>
        <v>🟡 Cerca (1-3 km)</v>
      </c>
      <c r="AA420" s="4"/>
      <c r="AB420" s="4"/>
      <c r="AC420" s="49">
        <v>-11.997563</v>
      </c>
      <c r="AD420" s="49">
        <v>-76.900062000000005</v>
      </c>
      <c r="AE420" s="19" t="str">
        <f>IFERROR(VLOOKUP(C420,tdcargo[],2,FALSE),"DESCONOCIDO")</f>
        <v>STAFF</v>
      </c>
    </row>
    <row r="421" spans="1:31" hidden="1" x14ac:dyDescent="0.35">
      <c r="A421" s="8">
        <v>76833223</v>
      </c>
      <c r="B421" s="4" t="s">
        <v>2676</v>
      </c>
      <c r="C421" s="4" t="s">
        <v>2677</v>
      </c>
      <c r="D421" s="5">
        <v>45824</v>
      </c>
      <c r="E421" s="4" t="s">
        <v>31</v>
      </c>
      <c r="F421" s="4" t="s">
        <v>36</v>
      </c>
      <c r="G421" s="4" t="s">
        <v>2678</v>
      </c>
      <c r="H421" s="4" t="s">
        <v>2679</v>
      </c>
      <c r="I421" s="4" t="s">
        <v>1968</v>
      </c>
      <c r="J421" s="4" t="s">
        <v>2680</v>
      </c>
      <c r="K421" s="4" t="s">
        <v>1968</v>
      </c>
      <c r="L421" s="4" t="s">
        <v>1968</v>
      </c>
      <c r="M421" s="4" t="s">
        <v>36</v>
      </c>
      <c r="N421" s="4" t="s">
        <v>991</v>
      </c>
      <c r="O421" s="4" t="s">
        <v>37</v>
      </c>
      <c r="P421" s="4" t="s">
        <v>37</v>
      </c>
      <c r="Q421" s="10" t="s">
        <v>38</v>
      </c>
      <c r="R421" s="4" t="str">
        <f t="shared" si="27"/>
        <v>Jr Calendulas 1333, Int. 201 Las Flores, San Juan De Lurigancho, Lima, Lima, Perú</v>
      </c>
      <c r="S421" s="4">
        <v>-12.020319300000001</v>
      </c>
      <c r="T421" s="4">
        <v>-77.012991200000002</v>
      </c>
      <c r="U421" s="30">
        <f t="shared" si="28"/>
        <v>12.54</v>
      </c>
      <c r="V421" s="4" t="str">
        <f t="shared" si="29"/>
        <v>🟠 Moderada (10-20 km)</v>
      </c>
      <c r="W421" s="19" t="str" cm="1">
        <f t="array" ref="W421">_xlfn.LET(_xlpm.lat_emp,S421,_xlpm.lon_emp,T421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Celima</v>
      </c>
      <c r="X421" s="19" t="str">
        <f>_xlfn.LET(_xlpm.paradero,W421,INDEX(PARADEROS_VALIDOS!$A$2:$A$67,MATCH(_xlpm.paradero,PARADEROS_VALIDOS!$C$2:$C$67,0)))</f>
        <v>RUTA 6C</v>
      </c>
      <c r="Y421" s="29" cm="1">
        <f t="array" ref="Y421">_xlfn.LET(_xlpm.lat_emp,S421,_xlpm.lon_emp,T421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1.46</v>
      </c>
      <c r="Z421" s="4" t="str">
        <f t="shared" si="30"/>
        <v>🟡 Cerca (1-3 km)</v>
      </c>
      <c r="AA421" s="4"/>
      <c r="AB421" s="4"/>
      <c r="AC421" s="49">
        <v>-11.997563</v>
      </c>
      <c r="AD421" s="49">
        <v>-76.900062000000005</v>
      </c>
      <c r="AE421" s="19" t="str">
        <f>IFERROR(VLOOKUP(C421,tdcargo[],2,FALSE),"DESCONOCIDO")</f>
        <v>STAFF</v>
      </c>
    </row>
    <row r="422" spans="1:31" hidden="1" x14ac:dyDescent="0.35">
      <c r="A422" s="8">
        <v>73623339</v>
      </c>
      <c r="B422" s="4" t="s">
        <v>2732</v>
      </c>
      <c r="C422" s="4" t="s">
        <v>2236</v>
      </c>
      <c r="D422" s="5">
        <v>44095</v>
      </c>
      <c r="E422" s="4" t="s">
        <v>31</v>
      </c>
      <c r="F422" s="4" t="s">
        <v>82</v>
      </c>
      <c r="G422" s="4" t="s">
        <v>2733</v>
      </c>
      <c r="H422" s="4" t="s">
        <v>2118</v>
      </c>
      <c r="I422" s="4" t="s">
        <v>1968</v>
      </c>
      <c r="J422" s="4" t="s">
        <v>1968</v>
      </c>
      <c r="K422" s="4" t="s">
        <v>1968</v>
      </c>
      <c r="L422" s="4" t="s">
        <v>1968</v>
      </c>
      <c r="M422" s="4" t="s">
        <v>66</v>
      </c>
      <c r="N422" s="4" t="s">
        <v>2734</v>
      </c>
      <c r="O422" s="4" t="s">
        <v>37</v>
      </c>
      <c r="P422" s="4" t="s">
        <v>37</v>
      </c>
      <c r="Q422" s="10" t="s">
        <v>76</v>
      </c>
      <c r="R422" s="4" t="str">
        <f t="shared" si="27"/>
        <v>Calle Huancavelica 5, U.V. Unidad Vecinal Las Riveras De Cajamarquilla, Lurigancho, Lima, Lima, Perú</v>
      </c>
      <c r="S422" s="4">
        <v>-11.9876871</v>
      </c>
      <c r="T422" s="4">
        <v>-76.899863600000003</v>
      </c>
      <c r="U422" s="30">
        <f t="shared" si="28"/>
        <v>1.1000000000000001</v>
      </c>
      <c r="V422" s="4" t="str">
        <f t="shared" si="29"/>
        <v>🟢 Muy Cerca (0-5 km)</v>
      </c>
      <c r="W422" s="19" t="str" cm="1">
        <f t="array" ref="W422">_xlfn.LET(_xlpm.lat_emp,S422,_xlpm.lon_emp,T422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422" s="19" t="str">
        <f>_xlfn.LET(_xlpm.paradero,W422,INDEX(PARADEROS_VALIDOS!$A$2:$A$67,MATCH(_xlpm.paradero,PARADEROS_VALIDOS!$C$2:$C$67,0)))</f>
        <v>RUTA 2</v>
      </c>
      <c r="Y422" s="29" cm="1">
        <f t="array" ref="Y422">_xlfn.LET(_xlpm.lat_emp,S422,_xlpm.lon_emp,T422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0.74</v>
      </c>
      <c r="Z422" s="4" t="str">
        <f t="shared" si="30"/>
        <v>🟢 Muy Cerca (0-1 km)</v>
      </c>
      <c r="AA422" s="4"/>
      <c r="AB422" s="4"/>
      <c r="AC422" s="49">
        <v>-11.997563</v>
      </c>
      <c r="AD422" s="49">
        <v>-76.900062000000005</v>
      </c>
      <c r="AE422" s="19" t="str">
        <f>IFERROR(VLOOKUP(C422,tdcargo[],2,FALSE),"DESCONOCIDO")</f>
        <v>STAFF</v>
      </c>
    </row>
    <row r="423" spans="1:31" hidden="1" x14ac:dyDescent="0.35">
      <c r="A423" s="8">
        <v>48578913</v>
      </c>
      <c r="B423" s="4" t="s">
        <v>2735</v>
      </c>
      <c r="C423" s="4" t="s">
        <v>2070</v>
      </c>
      <c r="D423" s="5">
        <v>42110</v>
      </c>
      <c r="E423" s="4" t="s">
        <v>31</v>
      </c>
      <c r="F423" s="4" t="s">
        <v>82</v>
      </c>
      <c r="G423" s="4" t="s">
        <v>1520</v>
      </c>
      <c r="H423" s="4" t="s">
        <v>1956</v>
      </c>
      <c r="I423" s="4" t="s">
        <v>1968</v>
      </c>
      <c r="J423" s="4" t="s">
        <v>1968</v>
      </c>
      <c r="K423" s="4" t="s">
        <v>1968</v>
      </c>
      <c r="L423" s="4" t="s">
        <v>1968</v>
      </c>
      <c r="M423" s="4" t="s">
        <v>66</v>
      </c>
      <c r="N423" s="4" t="s">
        <v>2736</v>
      </c>
      <c r="O423" s="4" t="s">
        <v>37</v>
      </c>
      <c r="P423" s="4" t="s">
        <v>37</v>
      </c>
      <c r="Q423" s="10" t="s">
        <v>57</v>
      </c>
      <c r="R423" s="4" t="str">
        <f t="shared" si="27"/>
        <v>Calle Los Angeles, U.V. Unidad Vecinal Virgen Del Carmen, Ate, Lima, Lima, Perú</v>
      </c>
      <c r="S423" s="4">
        <v>-12.1468232</v>
      </c>
      <c r="T423" s="4">
        <v>-76.941560300000006</v>
      </c>
      <c r="U423" s="30">
        <f t="shared" si="28"/>
        <v>17.2</v>
      </c>
      <c r="V423" s="4" t="str">
        <f t="shared" si="29"/>
        <v>🟠 Moderada (10-20 km)</v>
      </c>
      <c r="W423" s="19" t="str" cm="1">
        <f t="array" ref="W423">_xlfn.LET(_xlpm.lat_emp,S423,_xlpm.lon_emp,T423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Juan</v>
      </c>
      <c r="X423" s="19" t="str">
        <f>_xlfn.LET(_xlpm.paradero,W423,INDEX(PARADEROS_VALIDOS!$A$2:$A$67,MATCH(_xlpm.paradero,PARADEROS_VALIDOS!$C$2:$C$67,0)))</f>
        <v>RUTA 5B</v>
      </c>
      <c r="Y423" s="29" cm="1">
        <f t="array" ref="Y423">_xlfn.LET(_xlpm.lat_emp,S423,_xlpm.lon_emp,T423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2.29</v>
      </c>
      <c r="Z423" s="4" t="str">
        <f t="shared" si="30"/>
        <v>🟡 Cerca (1-3 km)</v>
      </c>
      <c r="AA423" s="4"/>
      <c r="AB423" s="4"/>
      <c r="AC423" s="49">
        <v>-11.997563</v>
      </c>
      <c r="AD423" s="49">
        <v>-76.900062000000005</v>
      </c>
      <c r="AE423" s="19" t="str">
        <f>IFERROR(VLOOKUP(C423,tdcargo[],2,FALSE),"DESCONOCIDO")</f>
        <v>STAFF</v>
      </c>
    </row>
    <row r="424" spans="1:31" hidden="1" x14ac:dyDescent="0.35">
      <c r="A424" s="8">
        <v>45596276</v>
      </c>
      <c r="B424" s="4" t="s">
        <v>2745</v>
      </c>
      <c r="C424" s="4" t="s">
        <v>2746</v>
      </c>
      <c r="D424" s="5">
        <v>43510</v>
      </c>
      <c r="E424" s="4" t="s">
        <v>31</v>
      </c>
      <c r="F424" s="4" t="s">
        <v>1612</v>
      </c>
      <c r="G424" s="4" t="s">
        <v>2747</v>
      </c>
      <c r="H424" s="4" t="s">
        <v>2748</v>
      </c>
      <c r="I424" s="4" t="s">
        <v>1968</v>
      </c>
      <c r="J424" s="4" t="s">
        <v>2171</v>
      </c>
      <c r="K424" s="4" t="s">
        <v>1968</v>
      </c>
      <c r="L424" s="4" t="s">
        <v>1968</v>
      </c>
      <c r="M424" s="4" t="s">
        <v>186</v>
      </c>
      <c r="N424" s="4" t="s">
        <v>46</v>
      </c>
      <c r="O424" s="4" t="s">
        <v>37</v>
      </c>
      <c r="P424" s="4" t="s">
        <v>37</v>
      </c>
      <c r="Q424" s="10" t="s">
        <v>691</v>
      </c>
      <c r="R424" s="4" t="str">
        <f t="shared" si="27"/>
        <v>Parque Echenique 767, Int. 3, Urb. Urbanización Nd, Pueblo Libre, Lima, Lima, Perú</v>
      </c>
      <c r="S424" s="4">
        <v>-12.0751147</v>
      </c>
      <c r="T424" s="4">
        <v>-77.061159200000006</v>
      </c>
      <c r="U424" s="30">
        <f t="shared" si="28"/>
        <v>19.53</v>
      </c>
      <c r="V424" s="4" t="str">
        <f t="shared" si="29"/>
        <v>🟠 Moderada (10-20 km)</v>
      </c>
      <c r="W424" s="19" t="str" cm="1">
        <f t="array" ref="W424">_xlfn.LET(_xlpm.lat_emp,S424,_xlpm.lon_emp,T424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Universitaria con La Marina</v>
      </c>
      <c r="X424" s="19" t="str">
        <f>_xlfn.LET(_xlpm.paradero,W424,INDEX(PARADEROS_VALIDOS!$A$2:$A$67,MATCH(_xlpm.paradero,PARADEROS_VALIDOS!$C$2:$C$67,0)))</f>
        <v>RUTA 9</v>
      </c>
      <c r="Y424" s="29" cm="1">
        <f t="array" ref="Y424">_xlfn.LET(_xlpm.lat_emp,S424,_xlpm.lon_emp,T424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2.27</v>
      </c>
      <c r="Z424" s="4" t="str">
        <f t="shared" si="30"/>
        <v>🟡 Cerca (1-3 km)</v>
      </c>
      <c r="AA424" s="4"/>
      <c r="AB424" s="4"/>
      <c r="AC424" s="49">
        <v>-11.997563</v>
      </c>
      <c r="AD424" s="49">
        <v>-76.900062000000005</v>
      </c>
      <c r="AE424" s="19" t="str">
        <f>IFERROR(VLOOKUP(C424,tdcargo[],2,FALSE),"DESCONOCIDO")</f>
        <v>STAFF</v>
      </c>
    </row>
    <row r="425" spans="1:31" hidden="1" x14ac:dyDescent="0.35">
      <c r="A425" s="8">
        <v>41249915</v>
      </c>
      <c r="B425" s="4" t="s">
        <v>2749</v>
      </c>
      <c r="C425" s="4" t="s">
        <v>2750</v>
      </c>
      <c r="D425" s="5">
        <v>45614</v>
      </c>
      <c r="E425" s="4" t="s">
        <v>31</v>
      </c>
      <c r="F425" s="4" t="s">
        <v>34</v>
      </c>
      <c r="G425" s="4" t="s">
        <v>1737</v>
      </c>
      <c r="H425" s="4" t="s">
        <v>2751</v>
      </c>
      <c r="I425" s="4" t="s">
        <v>1968</v>
      </c>
      <c r="J425" s="4" t="s">
        <v>1968</v>
      </c>
      <c r="K425" s="4" t="s">
        <v>1968</v>
      </c>
      <c r="L425" s="4" t="s">
        <v>1968</v>
      </c>
      <c r="M425" s="4" t="s">
        <v>36</v>
      </c>
      <c r="N425" s="4" t="s">
        <v>1737</v>
      </c>
      <c r="O425" s="4" t="s">
        <v>37</v>
      </c>
      <c r="P425" s="4" t="s">
        <v>37</v>
      </c>
      <c r="Q425" s="10" t="s">
        <v>2752</v>
      </c>
      <c r="R425" s="4" t="str">
        <f t="shared" si="27"/>
        <v>Avenida Brasil 1055 Brasil, Jesus Maria, Lima, Lima, Perú</v>
      </c>
      <c r="S425" s="4">
        <v>-12.0824947</v>
      </c>
      <c r="T425" s="4">
        <v>-77.050609199999997</v>
      </c>
      <c r="U425" s="30">
        <f t="shared" si="28"/>
        <v>18.899999999999999</v>
      </c>
      <c r="V425" s="4" t="str">
        <f t="shared" si="29"/>
        <v>🟠 Moderada (10-20 km)</v>
      </c>
      <c r="W425" s="19" t="str" cm="1">
        <f t="array" ref="W425">_xlfn.LET(_xlpm.lat_emp,S425,_xlpm.lon_emp,T425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Universitaria con La Marina</v>
      </c>
      <c r="X425" s="19" t="str">
        <f>_xlfn.LET(_xlpm.paradero,W425,INDEX(PARADEROS_VALIDOS!$A$2:$A$67,MATCH(_xlpm.paradero,PARADEROS_VALIDOS!$C$2:$C$67,0)))</f>
        <v>RUTA 9</v>
      </c>
      <c r="Y425" s="29" cm="1">
        <f t="array" ref="Y425">_xlfn.LET(_xlpm.lat_emp,S425,_xlpm.lon_emp,T425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3.42</v>
      </c>
      <c r="Z425" s="4" t="str">
        <f t="shared" si="30"/>
        <v>🟠 Moderada (3-5 km)</v>
      </c>
      <c r="AA425" s="4"/>
      <c r="AB425" s="4"/>
      <c r="AC425" s="49">
        <v>-11.997563</v>
      </c>
      <c r="AD425" s="49">
        <v>-76.900062000000005</v>
      </c>
      <c r="AE425" s="19" t="str">
        <f>IFERROR(VLOOKUP(C425,tdcargo[],2,FALSE),"DESCONOCIDO")</f>
        <v>STAFF</v>
      </c>
    </row>
    <row r="426" spans="1:31" hidden="1" x14ac:dyDescent="0.35">
      <c r="A426" s="8">
        <v>70687486</v>
      </c>
      <c r="B426" s="4" t="s">
        <v>2777</v>
      </c>
      <c r="C426" s="4" t="s">
        <v>2421</v>
      </c>
      <c r="D426" s="5">
        <v>44183</v>
      </c>
      <c r="E426" s="4" t="s">
        <v>31</v>
      </c>
      <c r="F426" s="4" t="s">
        <v>82</v>
      </c>
      <c r="G426" s="4" t="s">
        <v>1901</v>
      </c>
      <c r="H426" s="4" t="s">
        <v>2778</v>
      </c>
      <c r="I426" s="4" t="s">
        <v>1968</v>
      </c>
      <c r="J426" s="4" t="s">
        <v>1968</v>
      </c>
      <c r="K426" s="4" t="s">
        <v>1968</v>
      </c>
      <c r="L426" s="4" t="s">
        <v>1968</v>
      </c>
      <c r="M426" s="4" t="s">
        <v>186</v>
      </c>
      <c r="N426" s="4" t="s">
        <v>2779</v>
      </c>
      <c r="O426" s="4" t="s">
        <v>37</v>
      </c>
      <c r="P426" s="4" t="s">
        <v>37</v>
      </c>
      <c r="Q426" s="10" t="s">
        <v>367</v>
      </c>
      <c r="R426" s="4" t="str">
        <f t="shared" si="27"/>
        <v>Calle Los Chasquis 595, Urb. Urbanización Los Chancas De Andahualias, Santa Anita, Lima, Lima, Perú</v>
      </c>
      <c r="S426" s="4">
        <v>-12.0399779</v>
      </c>
      <c r="T426" s="4">
        <v>-76.963405899999998</v>
      </c>
      <c r="U426" s="30">
        <f t="shared" si="28"/>
        <v>8.35</v>
      </c>
      <c r="V426" s="4" t="str">
        <f t="shared" si="29"/>
        <v>🟡 Cerca (5-10 km)</v>
      </c>
      <c r="W426" s="19" t="str" cm="1">
        <f t="array" ref="W426">_xlfn.LET(_xlpm.lat_emp,S426,_xlpm.lon_emp,T426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Av. Colectora con Metropolitana</v>
      </c>
      <c r="X426" s="19" t="str">
        <f>_xlfn.LET(_xlpm.paradero,W426,INDEX(PARADEROS_VALIDOS!$A$2:$A$67,MATCH(_xlpm.paradero,PARADEROS_VALIDOS!$C$2:$C$67,0)))</f>
        <v>RUTA 4A</v>
      </c>
      <c r="Y426" s="29" cm="1">
        <f t="array" ref="Y426">_xlfn.LET(_xlpm.lat_emp,S426,_xlpm.lon_emp,T426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0.28999999999999998</v>
      </c>
      <c r="Z426" s="4" t="str">
        <f t="shared" si="30"/>
        <v>🟢 Muy Cerca (0-1 km)</v>
      </c>
      <c r="AA426" s="4"/>
      <c r="AB426" s="4"/>
      <c r="AC426" s="49">
        <v>-11.997563</v>
      </c>
      <c r="AD426" s="49">
        <v>-76.900062000000005</v>
      </c>
      <c r="AE426" s="19" t="str">
        <f>IFERROR(VLOOKUP(C426,tdcargo[],2,FALSE),"DESCONOCIDO")</f>
        <v>STAFF</v>
      </c>
    </row>
    <row r="427" spans="1:31" hidden="1" x14ac:dyDescent="0.35">
      <c r="A427" s="8">
        <v>42674515</v>
      </c>
      <c r="B427" s="4" t="s">
        <v>2786</v>
      </c>
      <c r="C427" s="4" t="s">
        <v>2787</v>
      </c>
      <c r="D427" s="5">
        <v>42205</v>
      </c>
      <c r="E427" s="4" t="s">
        <v>31</v>
      </c>
      <c r="F427" s="4" t="s">
        <v>82</v>
      </c>
      <c r="G427" s="4" t="s">
        <v>2788</v>
      </c>
      <c r="H427" s="4" t="s">
        <v>1956</v>
      </c>
      <c r="I427" s="4" t="s">
        <v>1968</v>
      </c>
      <c r="J427" s="4" t="s">
        <v>1968</v>
      </c>
      <c r="K427" s="4" t="s">
        <v>2203</v>
      </c>
      <c r="L427" s="4" t="s">
        <v>202</v>
      </c>
      <c r="M427" s="4" t="s">
        <v>88</v>
      </c>
      <c r="N427" s="4" t="s">
        <v>2789</v>
      </c>
      <c r="O427" s="4" t="s">
        <v>872</v>
      </c>
      <c r="P427" s="4" t="s">
        <v>873</v>
      </c>
      <c r="Q427" s="10" t="s">
        <v>874</v>
      </c>
      <c r="R427" s="4" t="str">
        <f t="shared" si="27"/>
        <v>Calle Tnte Cnel Aurelio Valentin, Lote 11, Mz. L, A.H. Asentamiento Humano Santa Rosa Pachacutec, Ventanilla, Callao, Const. Del Callao, Perú</v>
      </c>
      <c r="S427" s="4">
        <v>-11.846548500000001</v>
      </c>
      <c r="T427" s="4">
        <v>-77.1261236</v>
      </c>
      <c r="U427" s="30">
        <f t="shared" si="28"/>
        <v>29.78</v>
      </c>
      <c r="V427" s="4" t="str">
        <f t="shared" si="29"/>
        <v>🔴 Lejos (&gt;20 km)</v>
      </c>
      <c r="W427" s="19" t="str" cm="1">
        <f t="array" ref="W427">_xlfn.LET(_xlpm.lat_emp,S427,_xlpm.lon_emp,T427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Cesar Vallejo</v>
      </c>
      <c r="X427" s="19" t="str">
        <f>_xlfn.LET(_xlpm.paradero,W427,INDEX(PARADEROS_VALIDOS!$A$2:$A$67,MATCH(_xlpm.paradero,PARADEROS_VALIDOS!$C$2:$C$67,0)))</f>
        <v>RUTA 4B</v>
      </c>
      <c r="Y427" s="29" cm="1">
        <f t="array" ref="Y427">_xlfn.LET(_xlpm.lat_emp,S427,_xlpm.lon_emp,T427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13.58</v>
      </c>
      <c r="Z427" s="4" t="str">
        <f t="shared" si="30"/>
        <v>🔴 Lejos (&gt;5 km)</v>
      </c>
      <c r="AA427" s="4"/>
      <c r="AB427" s="4"/>
      <c r="AC427" s="49">
        <v>-11.997563</v>
      </c>
      <c r="AD427" s="49">
        <v>-76.900062000000005</v>
      </c>
      <c r="AE427" s="19" t="str">
        <f>IFERROR(VLOOKUP(C427,tdcargo[],2,FALSE),"DESCONOCIDO")</f>
        <v>STAFF</v>
      </c>
    </row>
    <row r="428" spans="1:31" x14ac:dyDescent="0.35">
      <c r="A428" s="8">
        <v>20115760</v>
      </c>
      <c r="B428" s="4" t="s">
        <v>2815</v>
      </c>
      <c r="C428" s="4" t="s">
        <v>2041</v>
      </c>
      <c r="D428" s="5">
        <v>40787</v>
      </c>
      <c r="E428" s="4" t="s">
        <v>31</v>
      </c>
      <c r="F428" s="4" t="s">
        <v>36</v>
      </c>
      <c r="G428" s="4" t="s">
        <v>1567</v>
      </c>
      <c r="H428" s="4" t="s">
        <v>1956</v>
      </c>
      <c r="I428" s="4" t="s">
        <v>1968</v>
      </c>
      <c r="J428" s="4" t="s">
        <v>1968</v>
      </c>
      <c r="K428" s="4" t="s">
        <v>1968</v>
      </c>
      <c r="L428" s="4" t="s">
        <v>1968</v>
      </c>
      <c r="M428" s="4" t="s">
        <v>88</v>
      </c>
      <c r="N428" s="4" t="s">
        <v>2816</v>
      </c>
      <c r="O428" s="4" t="s">
        <v>37</v>
      </c>
      <c r="P428" s="4" t="s">
        <v>37</v>
      </c>
      <c r="Q428" s="10" t="s">
        <v>310</v>
      </c>
      <c r="R428" s="4" t="str">
        <f t="shared" si="27"/>
        <v>Sector 7, A.H. Asentamiento Humano La Union, Villa El Salvador, Lima, Lima, Perú</v>
      </c>
      <c r="S428" s="4">
        <v>-12.204802600000001</v>
      </c>
      <c r="T428" s="4">
        <v>-76.933093</v>
      </c>
      <c r="U428" s="30">
        <f t="shared" si="28"/>
        <v>23.32</v>
      </c>
      <c r="V428" s="4" t="str">
        <f t="shared" si="29"/>
        <v>🔴 Lejos (&gt;20 km)</v>
      </c>
      <c r="W428" s="19" t="str" cm="1">
        <f t="array" ref="W428">_xlfn.LET(_xlpm.lat_emp,S428,_xlpm.lon_emp,T428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Av. Mariátegui con la Ruta C</v>
      </c>
      <c r="X428" s="19" t="str">
        <f>_xlfn.LET(_xlpm.paradero,W428,INDEX(PARADEROS_VALIDOS!$A$2:$A$67,MATCH(_xlpm.paradero,PARADEROS_VALIDOS!$C$2:$C$67,0)))</f>
        <v>RUTA 7</v>
      </c>
      <c r="Y428" s="29" cm="1">
        <f t="array" ref="Y428">_xlfn.LET(_xlpm.lat_emp,S428,_xlpm.lon_emp,T428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1.57</v>
      </c>
      <c r="Z428" s="4" t="str">
        <f t="shared" si="30"/>
        <v>🟡 Cerca (1-3 km)</v>
      </c>
      <c r="AA428" s="4"/>
      <c r="AB428" s="4"/>
      <c r="AC428" s="49">
        <v>-11.997563</v>
      </c>
      <c r="AD428" s="49">
        <v>-76.900062000000005</v>
      </c>
      <c r="AE428" s="19" t="str">
        <f>IFERROR(VLOOKUP(C428,tdcargo[],2,FALSE),"DESCONOCIDO")</f>
        <v>STAFF</v>
      </c>
    </row>
    <row r="429" spans="1:31" hidden="1" x14ac:dyDescent="0.35">
      <c r="A429" s="8">
        <v>75604760</v>
      </c>
      <c r="B429" s="4" t="s">
        <v>2817</v>
      </c>
      <c r="C429" s="4" t="s">
        <v>2236</v>
      </c>
      <c r="D429" s="5">
        <v>44095</v>
      </c>
      <c r="E429" s="4" t="s">
        <v>31</v>
      </c>
      <c r="F429" s="4" t="s">
        <v>36</v>
      </c>
      <c r="G429" s="4" t="s">
        <v>46</v>
      </c>
      <c r="H429" s="4" t="s">
        <v>1956</v>
      </c>
      <c r="I429" s="4" t="s">
        <v>1968</v>
      </c>
      <c r="J429" s="4" t="s">
        <v>1968</v>
      </c>
      <c r="K429" s="4" t="s">
        <v>1968</v>
      </c>
      <c r="L429" s="4" t="s">
        <v>1968</v>
      </c>
      <c r="M429" s="4" t="s">
        <v>36</v>
      </c>
      <c r="N429" s="4" t="s">
        <v>2818</v>
      </c>
      <c r="O429" s="4" t="s">
        <v>37</v>
      </c>
      <c r="P429" s="4" t="s">
        <v>37</v>
      </c>
      <c r="Q429" s="10" t="s">
        <v>76</v>
      </c>
      <c r="R429" s="4" t="str">
        <f t="shared" si="27"/>
        <v>Nd Asociacion De Vivienda, Lurigancho, Lima, Lima, Perú</v>
      </c>
      <c r="S429" s="4">
        <v>-12.0335944</v>
      </c>
      <c r="T429" s="4">
        <v>-76.931468699999996</v>
      </c>
      <c r="U429" s="30">
        <f t="shared" si="28"/>
        <v>5.26</v>
      </c>
      <c r="V429" s="4" t="str">
        <f t="shared" si="29"/>
        <v>🟡 Cerca (5-10 km)</v>
      </c>
      <c r="W429" s="19" t="str" cm="1">
        <f t="array" ref="W429">_xlfn.LET(_xlpm.lat_emp,S429,_xlpm.lon_emp,T429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Real Plaza Puruchuco (Grifo Primax)</v>
      </c>
      <c r="X429" s="19" t="str">
        <f>_xlfn.LET(_xlpm.paradero,W429,INDEX(PARADEROS_VALIDOS!$A$2:$A$67,MATCH(_xlpm.paradero,PARADEROS_VALIDOS!$C$2:$C$67,0)))</f>
        <v>RUTA 4A</v>
      </c>
      <c r="Y429" s="29" cm="1">
        <f t="array" ref="Y429">_xlfn.LET(_xlpm.lat_emp,S429,_xlpm.lon_emp,T429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0.87</v>
      </c>
      <c r="Z429" s="4" t="str">
        <f t="shared" si="30"/>
        <v>🟢 Muy Cerca (0-1 km)</v>
      </c>
      <c r="AA429" s="4"/>
      <c r="AB429" s="4"/>
      <c r="AC429" s="49">
        <v>-11.997563</v>
      </c>
      <c r="AD429" s="49">
        <v>-76.900062000000005</v>
      </c>
      <c r="AE429" s="19" t="str">
        <f>IFERROR(VLOOKUP(C429,tdcargo[],2,FALSE),"DESCONOCIDO")</f>
        <v>STAFF</v>
      </c>
    </row>
    <row r="430" spans="1:31" hidden="1" x14ac:dyDescent="0.35">
      <c r="A430" s="8">
        <v>70441830</v>
      </c>
      <c r="B430" s="4" t="s">
        <v>2832</v>
      </c>
      <c r="C430" s="4" t="s">
        <v>344</v>
      </c>
      <c r="D430" s="5">
        <v>45943</v>
      </c>
      <c r="E430" s="4" t="s">
        <v>31</v>
      </c>
      <c r="F430" s="4" t="s">
        <v>82</v>
      </c>
      <c r="G430" s="4" t="s">
        <v>2833</v>
      </c>
      <c r="H430" s="4" t="s">
        <v>2834</v>
      </c>
      <c r="I430" s="4" t="s">
        <v>1968</v>
      </c>
      <c r="J430" s="4" t="s">
        <v>2835</v>
      </c>
      <c r="K430" s="4" t="s">
        <v>1968</v>
      </c>
      <c r="L430" s="4" t="s">
        <v>1968</v>
      </c>
      <c r="M430" s="4" t="s">
        <v>36</v>
      </c>
      <c r="N430" s="4" t="s">
        <v>803</v>
      </c>
      <c r="O430" s="4" t="s">
        <v>872</v>
      </c>
      <c r="P430" s="4" t="s">
        <v>873</v>
      </c>
      <c r="Q430" s="10" t="s">
        <v>873</v>
      </c>
      <c r="R430" s="4" t="str">
        <f t="shared" si="27"/>
        <v>Calle Misionero Salas 529, Int. 104 Santa Rosa, Callao, Callao, Const. Del Callao, Perú</v>
      </c>
      <c r="S430" s="4">
        <v>-12.0125428</v>
      </c>
      <c r="T430" s="4">
        <v>-77.102220299999999</v>
      </c>
      <c r="U430" s="30">
        <f t="shared" si="28"/>
        <v>22.05</v>
      </c>
      <c r="V430" s="4" t="str">
        <f t="shared" si="29"/>
        <v>🔴 Lejos (&gt;20 km)</v>
      </c>
      <c r="W430" s="19" t="str" cm="1">
        <f t="array" ref="W430">_xlfn.LET(_xlpm.lat_emp,S430,_xlpm.lon_emp,T430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Universitaria con San German</v>
      </c>
      <c r="X430" s="19" t="str">
        <f>_xlfn.LET(_xlpm.paradero,W430,INDEX(PARADEROS_VALIDOS!$A$2:$A$67,MATCH(_xlpm.paradero,PARADEROS_VALIDOS!$C$2:$C$67,0)))</f>
        <v>RUTA 8</v>
      </c>
      <c r="Y430" s="29" cm="1">
        <f t="array" ref="Y430">_xlfn.LET(_xlpm.lat_emp,S430,_xlpm.lon_emp,T430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2.2400000000000002</v>
      </c>
      <c r="Z430" s="4" t="str">
        <f t="shared" si="30"/>
        <v>🟡 Cerca (1-3 km)</v>
      </c>
      <c r="AA430" s="4"/>
      <c r="AB430" s="4"/>
      <c r="AC430" s="49">
        <v>-11.997563</v>
      </c>
      <c r="AD430" s="49">
        <v>-76.900062000000005</v>
      </c>
      <c r="AE430" s="19" t="str">
        <f>IFERROR(VLOOKUP(C430,tdcargo[],2,FALSE),"DESCONOCIDO")</f>
        <v>STAFF</v>
      </c>
    </row>
    <row r="431" spans="1:31" hidden="1" x14ac:dyDescent="0.35">
      <c r="A431" s="8">
        <v>74146139</v>
      </c>
      <c r="B431" s="4" t="s">
        <v>2836</v>
      </c>
      <c r="C431" s="4" t="s">
        <v>2031</v>
      </c>
      <c r="D431" s="5">
        <v>46069</v>
      </c>
      <c r="E431" s="4" t="s">
        <v>31</v>
      </c>
      <c r="F431" s="4" t="s">
        <v>36</v>
      </c>
      <c r="G431" s="4" t="s">
        <v>2837</v>
      </c>
      <c r="H431" s="4" t="s">
        <v>1956</v>
      </c>
      <c r="I431" s="4" t="s">
        <v>1968</v>
      </c>
      <c r="J431" s="4" t="s">
        <v>1968</v>
      </c>
      <c r="K431" s="4" t="s">
        <v>1968</v>
      </c>
      <c r="L431" s="4" t="s">
        <v>2838</v>
      </c>
      <c r="M431" s="4" t="s">
        <v>36</v>
      </c>
      <c r="N431" s="4" t="s">
        <v>1352</v>
      </c>
      <c r="O431" s="4" t="s">
        <v>37</v>
      </c>
      <c r="P431" s="4" t="s">
        <v>37</v>
      </c>
      <c r="Q431" s="10" t="s">
        <v>76</v>
      </c>
      <c r="R431" s="4" t="str">
        <f t="shared" si="27"/>
        <v>Las Tunas, Mz. H3 JICAMARCA ANEXO 8, Lurigancho, Lima, Lima, Perú</v>
      </c>
      <c r="S431" s="4">
        <v>-11.9750692</v>
      </c>
      <c r="T431" s="4">
        <v>-76.943717300000003</v>
      </c>
      <c r="U431" s="30">
        <f t="shared" si="28"/>
        <v>5.37</v>
      </c>
      <c r="V431" s="4" t="str">
        <f t="shared" si="29"/>
        <v>🟡 Cerca (5-10 km)</v>
      </c>
      <c r="W431" s="19" t="str" cm="1">
        <f t="array" ref="W431">_xlfn.LET(_xlpm.lat_emp,S431,_xlpm.lon_emp,T431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431" s="19" t="str">
        <f>_xlfn.LET(_xlpm.paradero,W431,INDEX(PARADEROS_VALIDOS!$A$2:$A$67,MATCH(_xlpm.paradero,PARADEROS_VALIDOS!$C$2:$C$67,0)))</f>
        <v>RUTA 2</v>
      </c>
      <c r="Y431" s="29" cm="1">
        <f t="array" ref="Y431">_xlfn.LET(_xlpm.lat_emp,S431,_xlpm.lon_emp,T431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4.87</v>
      </c>
      <c r="Z431" s="4" t="str">
        <f t="shared" si="30"/>
        <v>🟠 Moderada (3-5 km)</v>
      </c>
      <c r="AA431" s="4"/>
      <c r="AB431" s="4"/>
      <c r="AC431" s="49">
        <v>-11.997563</v>
      </c>
      <c r="AD431" s="49">
        <v>-76.900062000000005</v>
      </c>
      <c r="AE431" s="19" t="str">
        <f>IFERROR(VLOOKUP(C431,tdcargo[],2,FALSE),"DESCONOCIDO")</f>
        <v>STAFF</v>
      </c>
    </row>
    <row r="432" spans="1:31" x14ac:dyDescent="0.35">
      <c r="A432" s="8">
        <v>74413157</v>
      </c>
      <c r="B432" s="4" t="s">
        <v>2858</v>
      </c>
      <c r="C432" s="4" t="s">
        <v>2859</v>
      </c>
      <c r="D432" s="5">
        <v>45978</v>
      </c>
      <c r="E432" s="4" t="s">
        <v>31</v>
      </c>
      <c r="F432" s="4" t="s">
        <v>36</v>
      </c>
      <c r="G432" s="4" t="s">
        <v>2860</v>
      </c>
      <c r="H432" s="4" t="s">
        <v>2861</v>
      </c>
      <c r="I432" s="4" t="s">
        <v>1968</v>
      </c>
      <c r="J432" s="4" t="s">
        <v>2171</v>
      </c>
      <c r="K432" s="4" t="s">
        <v>1968</v>
      </c>
      <c r="L432" s="4" t="s">
        <v>1968</v>
      </c>
      <c r="M432" s="4" t="s">
        <v>36</v>
      </c>
      <c r="N432" s="4" t="s">
        <v>2862</v>
      </c>
      <c r="O432" s="4" t="s">
        <v>37</v>
      </c>
      <c r="P432" s="4" t="s">
        <v>37</v>
      </c>
      <c r="Q432" s="10" t="s">
        <v>2034</v>
      </c>
      <c r="R432" s="4" t="str">
        <f t="shared" si="27"/>
        <v>Oscar De La Barrera 458, Int. 3 Zona Urbana, Chorrillos, Lima, Lima, Perú</v>
      </c>
      <c r="S432" s="4">
        <v>-12.170033200000001</v>
      </c>
      <c r="T432" s="4">
        <v>-77.024762999999993</v>
      </c>
      <c r="U432" s="30">
        <f t="shared" si="28"/>
        <v>23.49</v>
      </c>
      <c r="V432" s="4" t="str">
        <f t="shared" si="29"/>
        <v>🔴 Lejos (&gt;20 km)</v>
      </c>
      <c r="W432" s="19" t="str" cm="1">
        <f t="array" ref="W432">_xlfn.LET(_xlpm.lat_emp,S432,_xlpm.lon_emp,T432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Amauta</v>
      </c>
      <c r="X432" s="19" t="str">
        <f>_xlfn.LET(_xlpm.paradero,W432,INDEX(PARADEROS_VALIDOS!$A$2:$A$67,MATCH(_xlpm.paradero,PARADEROS_VALIDOS!$C$2:$C$67,0)))</f>
        <v>RUTA 7</v>
      </c>
      <c r="Y432" s="29" cm="1">
        <f t="array" ref="Y432">_xlfn.LET(_xlpm.lat_emp,S432,_xlpm.lon_emp,T432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4.75</v>
      </c>
      <c r="Z432" s="4" t="str">
        <f t="shared" si="30"/>
        <v>🟠 Moderada (3-5 km)</v>
      </c>
      <c r="AA432" s="4"/>
      <c r="AB432" s="4"/>
      <c r="AC432" s="49">
        <v>-11.997563</v>
      </c>
      <c r="AD432" s="49">
        <v>-76.900062000000005</v>
      </c>
      <c r="AE432" s="19" t="str">
        <f>IFERROR(VLOOKUP(C432,tdcargo[],2,FALSE),"DESCONOCIDO")</f>
        <v>STAFF</v>
      </c>
    </row>
    <row r="433" spans="1:31" hidden="1" x14ac:dyDescent="0.35">
      <c r="A433" s="8">
        <v>48295316</v>
      </c>
      <c r="B433" s="4" t="s">
        <v>2888</v>
      </c>
      <c r="C433" s="4" t="s">
        <v>1977</v>
      </c>
      <c r="D433" s="5">
        <v>44238</v>
      </c>
      <c r="E433" s="4" t="s">
        <v>31</v>
      </c>
      <c r="F433" s="4" t="s">
        <v>2889</v>
      </c>
      <c r="G433" s="4" t="s">
        <v>4608</v>
      </c>
      <c r="H433" s="4" t="s">
        <v>2890</v>
      </c>
      <c r="I433" s="4" t="s">
        <v>1968</v>
      </c>
      <c r="J433" s="4" t="s">
        <v>1968</v>
      </c>
      <c r="K433" s="4" t="s">
        <v>1968</v>
      </c>
      <c r="L433" s="4" t="s">
        <v>1968</v>
      </c>
      <c r="M433" s="4" t="s">
        <v>36</v>
      </c>
      <c r="N433" s="4" t="s">
        <v>46</v>
      </c>
      <c r="O433" s="4" t="s">
        <v>872</v>
      </c>
      <c r="P433" s="4" t="s">
        <v>873</v>
      </c>
      <c r="Q433" s="10" t="s">
        <v>873</v>
      </c>
      <c r="R433" s="4" t="str">
        <f t="shared" si="27"/>
        <v>Prolongación Av Peru 50 Nd, Callao, Callao, Const. Del Callao, Perú</v>
      </c>
      <c r="S433" s="4">
        <v>-12.022936</v>
      </c>
      <c r="T433" s="4">
        <v>-77.101860000000002</v>
      </c>
      <c r="U433" s="30">
        <f t="shared" si="28"/>
        <v>22.13</v>
      </c>
      <c r="V433" s="4" t="str">
        <f t="shared" si="29"/>
        <v>🔴 Lejos (&gt;20 km)</v>
      </c>
      <c r="W433" s="19" t="str" cm="1">
        <f t="array" ref="W433">_xlfn.LET(_xlpm.lat_emp,S433,_xlpm.lon_emp,T433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Universitaria con San German</v>
      </c>
      <c r="X433" s="19" t="str">
        <f>_xlfn.LET(_xlpm.paradero,W433,INDEX(PARADEROS_VALIDOS!$A$2:$A$67,MATCH(_xlpm.paradero,PARADEROS_VALIDOS!$C$2:$C$67,0)))</f>
        <v>RUTA 8</v>
      </c>
      <c r="Y433" s="29" cm="1">
        <f t="array" ref="Y433">_xlfn.LET(_xlpm.lat_emp,S433,_xlpm.lon_emp,T433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2.68</v>
      </c>
      <c r="Z433" s="4" t="str">
        <f t="shared" si="30"/>
        <v>🟡 Cerca (1-3 km)</v>
      </c>
      <c r="AA433" s="4"/>
      <c r="AB433" s="4"/>
      <c r="AC433" s="49">
        <v>-11.997563</v>
      </c>
      <c r="AD433" s="49">
        <v>-76.900062000000005</v>
      </c>
      <c r="AE433" s="19" t="str">
        <f>IFERROR(VLOOKUP(C433,tdcargo[],2,FALSE),"DESCONOCIDO")</f>
        <v>STAFF</v>
      </c>
    </row>
    <row r="434" spans="1:31" hidden="1" x14ac:dyDescent="0.35">
      <c r="A434" s="8">
        <v>45261226</v>
      </c>
      <c r="B434" s="4" t="s">
        <v>2917</v>
      </c>
      <c r="C434" s="4" t="s">
        <v>2130</v>
      </c>
      <c r="D434" s="5">
        <v>44473</v>
      </c>
      <c r="E434" s="4" t="s">
        <v>31</v>
      </c>
      <c r="F434" s="4" t="s">
        <v>82</v>
      </c>
      <c r="G434" s="4" t="s">
        <v>2918</v>
      </c>
      <c r="H434" s="4" t="s">
        <v>1973</v>
      </c>
      <c r="I434" s="4" t="s">
        <v>1968</v>
      </c>
      <c r="J434" s="4" t="s">
        <v>1968</v>
      </c>
      <c r="K434" s="4" t="s">
        <v>1968</v>
      </c>
      <c r="L434" s="4" t="s">
        <v>1968</v>
      </c>
      <c r="M434" s="4" t="s">
        <v>186</v>
      </c>
      <c r="N434" s="4" t="s">
        <v>2919</v>
      </c>
      <c r="O434" s="4" t="s">
        <v>37</v>
      </c>
      <c r="P434" s="4" t="s">
        <v>37</v>
      </c>
      <c r="Q434" s="10" t="s">
        <v>118</v>
      </c>
      <c r="R434" s="4" t="str">
        <f t="shared" si="27"/>
        <v>Calle Calle Paraíso 15, Urb. Urbanización Ñaña Paraíso, Chaclacayo, Lima, Lima, Perú</v>
      </c>
      <c r="S434" s="4">
        <v>-11.9848661</v>
      </c>
      <c r="T434" s="4">
        <v>-76.821247400000004</v>
      </c>
      <c r="U434" s="30">
        <f t="shared" si="28"/>
        <v>8.69</v>
      </c>
      <c r="V434" s="4" t="str">
        <f t="shared" si="29"/>
        <v>🟡 Cerca (5-10 km)</v>
      </c>
      <c r="W434" s="19" t="str" cm="1">
        <f t="array" ref="W434">_xlfn.LET(_xlpm.lat_emp,S434,_xlpm.lon_emp,T434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Ñaña</v>
      </c>
      <c r="X434" s="19" t="str">
        <f>_xlfn.LET(_xlpm.paradero,W434,INDEX(PARADEROS_VALIDOS!$A$2:$A$67,MATCH(_xlpm.paradero,PARADEROS_VALIDOS!$C$2:$C$67,0)))</f>
        <v>RUTA 5A</v>
      </c>
      <c r="Y434" s="29" cm="1">
        <f t="array" ref="Y434">_xlfn.LET(_xlpm.lat_emp,S434,_xlpm.lon_emp,T434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0.56999999999999995</v>
      </c>
      <c r="Z434" s="4" t="str">
        <f t="shared" si="30"/>
        <v>🟢 Muy Cerca (0-1 km)</v>
      </c>
      <c r="AA434" s="4"/>
      <c r="AB434" s="4"/>
      <c r="AC434" s="49">
        <v>-11.997563</v>
      </c>
      <c r="AD434" s="49">
        <v>-76.900062000000005</v>
      </c>
      <c r="AE434" s="19" t="str">
        <f>IFERROR(VLOOKUP(C434,tdcargo[],2,FALSE),"DESCONOCIDO")</f>
        <v>STAFF</v>
      </c>
    </row>
    <row r="435" spans="1:31" x14ac:dyDescent="0.35">
      <c r="A435" s="8">
        <v>41182541</v>
      </c>
      <c r="B435" s="4" t="s">
        <v>2925</v>
      </c>
      <c r="C435" s="4" t="s">
        <v>2926</v>
      </c>
      <c r="D435" s="5">
        <v>38169</v>
      </c>
      <c r="E435" s="4" t="s">
        <v>31</v>
      </c>
      <c r="F435" s="4" t="s">
        <v>82</v>
      </c>
      <c r="G435" s="4" t="s">
        <v>2927</v>
      </c>
      <c r="H435" s="4" t="s">
        <v>2928</v>
      </c>
      <c r="I435" s="4" t="s">
        <v>1968</v>
      </c>
      <c r="J435" s="4" t="s">
        <v>1968</v>
      </c>
      <c r="K435" s="4" t="s">
        <v>1968</v>
      </c>
      <c r="L435" s="4" t="s">
        <v>1968</v>
      </c>
      <c r="M435" s="4" t="s">
        <v>186</v>
      </c>
      <c r="N435" s="4" t="s">
        <v>46</v>
      </c>
      <c r="O435" s="4" t="s">
        <v>37</v>
      </c>
      <c r="P435" s="4" t="s">
        <v>37</v>
      </c>
      <c r="Q435" s="10" t="s">
        <v>1372</v>
      </c>
      <c r="R435" s="4" t="str">
        <f t="shared" si="27"/>
        <v>Calle Orejuelas 229, Urb. Urbanización Nd, Santiago De Surco, Lima, Lima, Perú</v>
      </c>
      <c r="S435" s="4">
        <v>-12.1311427</v>
      </c>
      <c r="T435" s="4">
        <v>-76.986536400000006</v>
      </c>
      <c r="U435" s="30">
        <f t="shared" si="28"/>
        <v>17.579999999999998</v>
      </c>
      <c r="V435" s="4" t="str">
        <f t="shared" si="29"/>
        <v>🟠 Moderada (10-20 km)</v>
      </c>
      <c r="W435" s="19" t="str" cm="1">
        <f t="array" ref="W435">_xlfn.LET(_xlpm.lat_emp,S435,_xlpm.lon_emp,T435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Tottus Atocongo (Auxiliar)</v>
      </c>
      <c r="X435" s="19" t="str">
        <f>_xlfn.LET(_xlpm.paradero,W435,INDEX(PARADEROS_VALIDOS!$A$2:$A$67,MATCH(_xlpm.paradero,PARADEROS_VALIDOS!$C$2:$C$67,0)))</f>
        <v>RUTA 7</v>
      </c>
      <c r="Y435" s="29" cm="1">
        <f t="array" ref="Y435">_xlfn.LET(_xlpm.lat_emp,S435,_xlpm.lon_emp,T435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1.87</v>
      </c>
      <c r="Z435" s="4" t="str">
        <f t="shared" si="30"/>
        <v>🟡 Cerca (1-3 km)</v>
      </c>
      <c r="AA435" s="4"/>
      <c r="AB435" s="4"/>
      <c r="AC435" s="49">
        <v>-11.997563</v>
      </c>
      <c r="AD435" s="49">
        <v>-76.900062000000005</v>
      </c>
      <c r="AE435" s="19" t="str">
        <f>IFERROR(VLOOKUP(C435,tdcargo[],2,FALSE),"DESCONOCIDO")</f>
        <v>STAFF</v>
      </c>
    </row>
    <row r="436" spans="1:31" hidden="1" x14ac:dyDescent="0.35">
      <c r="A436" s="8">
        <v>72901369</v>
      </c>
      <c r="B436" s="4" t="s">
        <v>2937</v>
      </c>
      <c r="C436" s="4" t="s">
        <v>2938</v>
      </c>
      <c r="D436" s="5">
        <v>43818</v>
      </c>
      <c r="E436" s="4" t="s">
        <v>31</v>
      </c>
      <c r="F436" s="4" t="s">
        <v>36</v>
      </c>
      <c r="G436" s="4" t="s">
        <v>2939</v>
      </c>
      <c r="H436" s="4" t="s">
        <v>1956</v>
      </c>
      <c r="I436" s="4" t="s">
        <v>1968</v>
      </c>
      <c r="J436" s="4" t="s">
        <v>1968</v>
      </c>
      <c r="K436" s="4" t="s">
        <v>1968</v>
      </c>
      <c r="L436" s="4" t="s">
        <v>1968</v>
      </c>
      <c r="M436" s="4" t="s">
        <v>643</v>
      </c>
      <c r="N436" s="4" t="s">
        <v>2939</v>
      </c>
      <c r="O436" s="4" t="s">
        <v>37</v>
      </c>
      <c r="P436" s="4" t="s">
        <v>37</v>
      </c>
      <c r="Q436" s="10" t="s">
        <v>57</v>
      </c>
      <c r="R436" s="4" t="str">
        <f t="shared" si="27"/>
        <v>Pariachi, Res. Residencial Pariachi, Ate, Lima, Lima, Perú</v>
      </c>
      <c r="S436" s="4">
        <v>-12.0056691</v>
      </c>
      <c r="T436" s="4">
        <v>-76.844038299999994</v>
      </c>
      <c r="U436" s="30">
        <f t="shared" si="28"/>
        <v>6.16</v>
      </c>
      <c r="V436" s="4" t="str">
        <f t="shared" si="29"/>
        <v>🟡 Cerca (5-10 km)</v>
      </c>
      <c r="W436" s="19" t="str" cm="1">
        <f t="array" ref="W436">_xlfn.LET(_xlpm.lat_emp,S436,_xlpm.lon_emp,T436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Horacio</v>
      </c>
      <c r="X436" s="19" t="str">
        <f>_xlfn.LET(_xlpm.paradero,W436,INDEX(PARADEROS_VALIDOS!$A$2:$A$67,MATCH(_xlpm.paradero,PARADEROS_VALIDOS!$C$2:$C$67,0)))</f>
        <v>RUTA 5B</v>
      </c>
      <c r="Y436" s="29" cm="1">
        <f t="array" ref="Y436">_xlfn.LET(_xlpm.lat_emp,S436,_xlpm.lon_emp,T436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0.37</v>
      </c>
      <c r="Z436" s="4" t="str">
        <f t="shared" si="30"/>
        <v>🟢 Muy Cerca (0-1 km)</v>
      </c>
      <c r="AA436" s="4"/>
      <c r="AB436" s="4"/>
      <c r="AC436" s="49">
        <v>-11.997563</v>
      </c>
      <c r="AD436" s="49">
        <v>-76.900062000000005</v>
      </c>
      <c r="AE436" s="19" t="str">
        <f>IFERROR(VLOOKUP(C436,tdcargo[],2,FALSE),"DESCONOCIDO")</f>
        <v>STAFF</v>
      </c>
    </row>
    <row r="437" spans="1:31" hidden="1" x14ac:dyDescent="0.35">
      <c r="A437" s="8">
        <v>70873686</v>
      </c>
      <c r="B437" s="4" t="s">
        <v>2940</v>
      </c>
      <c r="C437" s="4" t="s">
        <v>2236</v>
      </c>
      <c r="D437" s="5">
        <v>45043</v>
      </c>
      <c r="E437" s="4" t="s">
        <v>31</v>
      </c>
      <c r="F437" s="4" t="s">
        <v>82</v>
      </c>
      <c r="G437" s="4" t="s">
        <v>751</v>
      </c>
      <c r="H437" s="4" t="s">
        <v>2835</v>
      </c>
      <c r="I437" s="4" t="s">
        <v>1968</v>
      </c>
      <c r="J437" s="4" t="s">
        <v>1968</v>
      </c>
      <c r="K437" s="4" t="s">
        <v>1968</v>
      </c>
      <c r="L437" s="4" t="s">
        <v>1968</v>
      </c>
      <c r="M437" s="4" t="s">
        <v>186</v>
      </c>
      <c r="N437" s="4" t="s">
        <v>149</v>
      </c>
      <c r="O437" s="4" t="s">
        <v>37</v>
      </c>
      <c r="P437" s="4" t="s">
        <v>37</v>
      </c>
      <c r="Q437" s="10" t="s">
        <v>38</v>
      </c>
      <c r="R437" s="4" t="str">
        <f t="shared" si="27"/>
        <v>Calle Las Dalias 104, Urb. Urbanización Los Jazmines, San Juan De Lurigancho, Lima, Lima, Perú</v>
      </c>
      <c r="S437" s="4">
        <v>-11.970449800000001</v>
      </c>
      <c r="T437" s="4">
        <v>-77.005092500000003</v>
      </c>
      <c r="U437" s="30">
        <f t="shared" si="28"/>
        <v>11.82</v>
      </c>
      <c r="V437" s="4" t="str">
        <f t="shared" si="29"/>
        <v>🟠 Moderada (10-20 km)</v>
      </c>
      <c r="W437" s="19" t="str" cm="1">
        <f t="array" ref="W437">_xlfn.LET(_xlpm.lat_emp,S437,_xlpm.lon_emp,T437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Acho</v>
      </c>
      <c r="X437" s="19" t="str">
        <f>_xlfn.LET(_xlpm.paradero,W437,INDEX(PARADEROS_VALIDOS!$A$2:$A$67,MATCH(_xlpm.paradero,PARADEROS_VALIDOS!$C$2:$C$67,0)))</f>
        <v>RUTA 8</v>
      </c>
      <c r="Y437" s="29" cm="1">
        <f t="array" ref="Y437">_xlfn.LET(_xlpm.lat_emp,S437,_xlpm.lon_emp,T437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0.24</v>
      </c>
      <c r="Z437" s="4" t="str">
        <f t="shared" si="30"/>
        <v>🟢 Muy Cerca (0-1 km)</v>
      </c>
      <c r="AA437" s="4"/>
      <c r="AB437" s="4"/>
      <c r="AC437" s="49">
        <v>-11.997563</v>
      </c>
      <c r="AD437" s="49">
        <v>-76.900062000000005</v>
      </c>
      <c r="AE437" s="19" t="str">
        <f>IFERROR(VLOOKUP(C437,tdcargo[],2,FALSE),"DESCONOCIDO")</f>
        <v>STAFF</v>
      </c>
    </row>
    <row r="438" spans="1:31" hidden="1" x14ac:dyDescent="0.35">
      <c r="A438" s="8">
        <v>47420458</v>
      </c>
      <c r="B438" s="4" t="s">
        <v>2941</v>
      </c>
      <c r="C438" s="4" t="s">
        <v>2557</v>
      </c>
      <c r="D438" s="5">
        <v>44494</v>
      </c>
      <c r="E438" s="4" t="s">
        <v>31</v>
      </c>
      <c r="F438" s="4" t="s">
        <v>53</v>
      </c>
      <c r="G438" s="4" t="s">
        <v>2942</v>
      </c>
      <c r="H438" s="4" t="s">
        <v>2943</v>
      </c>
      <c r="I438" s="4" t="s">
        <v>1968</v>
      </c>
      <c r="J438" s="4" t="s">
        <v>1968</v>
      </c>
      <c r="K438" s="4" t="s">
        <v>1968</v>
      </c>
      <c r="L438" s="4" t="s">
        <v>1968</v>
      </c>
      <c r="M438" s="4" t="s">
        <v>186</v>
      </c>
      <c r="N438" s="4" t="s">
        <v>2944</v>
      </c>
      <c r="O438" s="4" t="s">
        <v>37</v>
      </c>
      <c r="P438" s="4" t="s">
        <v>37</v>
      </c>
      <c r="Q438" s="10" t="s">
        <v>38</v>
      </c>
      <c r="R438" s="4" t="str">
        <f t="shared" si="27"/>
        <v>Jirón Moxocos 356, Urb. Urbanización Mangomarca, San Juan De Lurigancho, Lima, Lima, Perú</v>
      </c>
      <c r="S438" s="4">
        <v>-12.017012299999999</v>
      </c>
      <c r="T438" s="4">
        <v>-76.985549899999995</v>
      </c>
      <c r="U438" s="30">
        <f t="shared" si="28"/>
        <v>9.5500000000000007</v>
      </c>
      <c r="V438" s="4" t="str">
        <f t="shared" si="29"/>
        <v>🟡 Cerca (5-10 km)</v>
      </c>
      <c r="W438" s="19" t="str" cm="1">
        <f t="array" ref="W438">_xlfn.LET(_xlpm.lat_emp,S438,_xlpm.lon_emp,T438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Pajatén (Pajatén/Av. Malecón Checa)</v>
      </c>
      <c r="X438" s="19" t="str">
        <f>_xlfn.LET(_xlpm.paradero,W438,INDEX(PARADEROS_VALIDOS!$A$2:$A$67,MATCH(_xlpm.paradero,PARADEROS_VALIDOS!$C$2:$C$67,0)))</f>
        <v>RUTA 6C</v>
      </c>
      <c r="Y438" s="29" cm="1">
        <f t="array" ref="Y438">_xlfn.LET(_xlpm.lat_emp,S438,_xlpm.lon_emp,T438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0.51</v>
      </c>
      <c r="Z438" s="4" t="str">
        <f t="shared" si="30"/>
        <v>🟢 Muy Cerca (0-1 km)</v>
      </c>
      <c r="AA438" s="4"/>
      <c r="AB438" s="4"/>
      <c r="AC438" s="49">
        <v>-11.997563</v>
      </c>
      <c r="AD438" s="49">
        <v>-76.900062000000005</v>
      </c>
      <c r="AE438" s="19" t="str">
        <f>IFERROR(VLOOKUP(C438,tdcargo[],2,FALSE),"DESCONOCIDO")</f>
        <v>STAFF</v>
      </c>
    </row>
    <row r="439" spans="1:31" x14ac:dyDescent="0.35">
      <c r="A439" s="8">
        <v>42262608</v>
      </c>
      <c r="B439" s="4" t="s">
        <v>2982</v>
      </c>
      <c r="C439" s="4" t="s">
        <v>2983</v>
      </c>
      <c r="D439" s="5">
        <v>41045</v>
      </c>
      <c r="E439" s="4" t="s">
        <v>31</v>
      </c>
      <c r="F439" s="4" t="s">
        <v>148</v>
      </c>
      <c r="G439" s="4" t="s">
        <v>2984</v>
      </c>
      <c r="H439" s="4" t="s">
        <v>1956</v>
      </c>
      <c r="I439" s="4" t="s">
        <v>1968</v>
      </c>
      <c r="J439" s="4" t="s">
        <v>1968</v>
      </c>
      <c r="K439" s="4" t="s">
        <v>1968</v>
      </c>
      <c r="L439" s="4" t="s">
        <v>1968</v>
      </c>
      <c r="M439" s="4" t="s">
        <v>88</v>
      </c>
      <c r="N439" s="4" t="s">
        <v>2985</v>
      </c>
      <c r="O439" s="4" t="s">
        <v>37</v>
      </c>
      <c r="P439" s="4" t="s">
        <v>37</v>
      </c>
      <c r="Q439" s="10" t="s">
        <v>858</v>
      </c>
      <c r="R439" s="4" t="str">
        <f t="shared" si="27"/>
        <v>Pasaje San Francisco De La Cruz, A.H. Asentamiento Humano Pamplona Alta, San Juan De Miraflores, Lima, Lima, Perú</v>
      </c>
      <c r="S439" s="4">
        <v>-12.1513572</v>
      </c>
      <c r="T439" s="4">
        <v>-76.9630303</v>
      </c>
      <c r="U439" s="30">
        <f t="shared" si="28"/>
        <v>18.420000000000002</v>
      </c>
      <c r="V439" s="4" t="str">
        <f t="shared" si="29"/>
        <v>🟠 Moderada (10-20 km)</v>
      </c>
      <c r="W439" s="19" t="str" cm="1">
        <f t="array" ref="W439">_xlfn.LET(_xlpm.lat_emp,S439,_xlpm.lon_emp,T439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Tottus Atocongo (Auxiliar)</v>
      </c>
      <c r="X439" s="19" t="str">
        <f>_xlfn.LET(_xlpm.paradero,W439,INDEX(PARADEROS_VALIDOS!$A$2:$A$67,MATCH(_xlpm.paradero,PARADEROS_VALIDOS!$C$2:$C$67,0)))</f>
        <v>RUTA 7</v>
      </c>
      <c r="Y439" s="29" cm="1">
        <f t="array" ref="Y439">_xlfn.LET(_xlpm.lat_emp,S439,_xlpm.lon_emp,T439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2.08</v>
      </c>
      <c r="Z439" s="4" t="str">
        <f t="shared" si="30"/>
        <v>🟡 Cerca (1-3 km)</v>
      </c>
      <c r="AA439" s="4"/>
      <c r="AB439" s="4"/>
      <c r="AC439" s="49">
        <v>-11.997563</v>
      </c>
      <c r="AD439" s="49">
        <v>-76.900062000000005</v>
      </c>
      <c r="AE439" s="19" t="str">
        <f>IFERROR(VLOOKUP(C439,tdcargo[],2,FALSE),"DESCONOCIDO")</f>
        <v>STAFF</v>
      </c>
    </row>
    <row r="440" spans="1:31" hidden="1" x14ac:dyDescent="0.35">
      <c r="A440" s="8">
        <v>71413029</v>
      </c>
      <c r="B440" s="4" t="s">
        <v>3001</v>
      </c>
      <c r="C440" s="4" t="s">
        <v>237</v>
      </c>
      <c r="D440" s="5">
        <v>45761</v>
      </c>
      <c r="E440" s="4" t="s">
        <v>31</v>
      </c>
      <c r="F440" s="4" t="s">
        <v>34</v>
      </c>
      <c r="G440" s="4" t="s">
        <v>1376</v>
      </c>
      <c r="H440" s="4" t="s">
        <v>3002</v>
      </c>
      <c r="I440" s="4" t="s">
        <v>1968</v>
      </c>
      <c r="J440" s="4" t="s">
        <v>1968</v>
      </c>
      <c r="K440" s="4" t="s">
        <v>1968</v>
      </c>
      <c r="L440" s="4" t="s">
        <v>1968</v>
      </c>
      <c r="M440" s="4" t="s">
        <v>36</v>
      </c>
      <c r="N440" s="4" t="s">
        <v>3241</v>
      </c>
      <c r="O440" s="4" t="s">
        <v>37</v>
      </c>
      <c r="P440" s="4" t="s">
        <v>37</v>
      </c>
      <c r="Q440" s="10" t="s">
        <v>76</v>
      </c>
      <c r="R440" s="4" t="str">
        <f t="shared" ref="R440:R455" si="31">_xlfn.LET(_xlpm.parte1,TRIM(IF(F440="Otros / No aplica","",F440&amp;" ")&amp;G440&amp;IF(AND(H440&lt;&gt;"",H440&lt;&gt;"0",H440&lt;&gt;0)," "&amp;H440,"")&amp;IF(I440&lt;&gt;"",", Apt. "&amp;I440,"")&amp;IF(J440&lt;&gt;"",", Int. "&amp;J440,"")&amp;IF(AND(K440&lt;&gt;"",K440&lt;&gt;0),", Lote "&amp;K440,"")&amp;IF(L440&lt;&gt;"",", Mz. "&amp;L440,"")&amp;IF(AND(M440&lt;&gt;"",M440&lt;&gt;"Otros / No aplica"),", "&amp;M440,"")&amp;IF(AND(N440&lt;&gt;"",N440&lt;&gt;"0",N440&lt;&gt;0)," "&amp;N440,"")),_xlpm.parte2,Q440&amp;", "&amp;P440&amp;", "&amp;O440&amp;", Perú",IF(LEFT(_xlpm.parte1,1)=",",TRIM(MID(_xlpm.parte1,2,255))&amp;", "&amp;_xlpm.parte2,IF(_xlpm.parte1="",_xlpm.parte2,_xlpm.parte1&amp;", "&amp;_xlpm.parte2)))</f>
        <v>Avenida Lima Sur 978 SIN ZONA, Lurigancho, Lima, Lima, Perú</v>
      </c>
      <c r="S440" s="4">
        <v>-11.941728700000001</v>
      </c>
      <c r="T440" s="4">
        <v>-76.701915099999994</v>
      </c>
      <c r="U440" s="30">
        <f t="shared" si="28"/>
        <v>22.43</v>
      </c>
      <c r="V440" s="4" t="str">
        <f t="shared" si="29"/>
        <v>🔴 Lejos (&gt;20 km)</v>
      </c>
      <c r="W440" s="19" t="str" cm="1">
        <f t="array" ref="W440">_xlfn.LET(_xlpm.lat_emp,S440,_xlpm.lon_emp,T440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Girasoles - Chaclacayo</v>
      </c>
      <c r="X440" s="19" t="str">
        <f>_xlfn.LET(_xlpm.paradero,W440,INDEX(PARADEROS_VALIDOS!$A$2:$A$67,MATCH(_xlpm.paradero,PARADEROS_VALIDOS!$C$2:$C$67,0)))</f>
        <v>RUTA 5A</v>
      </c>
      <c r="Y440" s="29" cm="1">
        <f t="array" ref="Y440">_xlfn.LET(_xlpm.lat_emp,S440,_xlpm.lon_emp,T440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8.59</v>
      </c>
      <c r="Z440" s="4" t="str">
        <f t="shared" si="30"/>
        <v>🔴 Lejos (&gt;5 km)</v>
      </c>
      <c r="AA440" s="4"/>
      <c r="AB440" s="4"/>
      <c r="AC440" s="49">
        <v>-11.997563</v>
      </c>
      <c r="AD440" s="49">
        <v>-76.900062000000005</v>
      </c>
      <c r="AE440" s="19" t="str">
        <f>IFERROR(VLOOKUP(C440,tdcargo[],2,FALSE),"DESCONOCIDO")</f>
        <v>STAFF</v>
      </c>
    </row>
    <row r="441" spans="1:31" hidden="1" x14ac:dyDescent="0.35">
      <c r="A441" s="8">
        <v>76851034</v>
      </c>
      <c r="B441" s="4" t="s">
        <v>3006</v>
      </c>
      <c r="C441" s="4" t="s">
        <v>2421</v>
      </c>
      <c r="D441" s="5">
        <v>42800</v>
      </c>
      <c r="E441" s="4" t="s">
        <v>31</v>
      </c>
      <c r="F441" s="4" t="s">
        <v>36</v>
      </c>
      <c r="G441" s="4" t="s">
        <v>1466</v>
      </c>
      <c r="H441" s="4" t="s">
        <v>1956</v>
      </c>
      <c r="I441" s="4" t="s">
        <v>1968</v>
      </c>
      <c r="J441" s="4" t="s">
        <v>1968</v>
      </c>
      <c r="K441" s="4" t="s">
        <v>1968</v>
      </c>
      <c r="L441" s="4" t="s">
        <v>1968</v>
      </c>
      <c r="M441" s="4" t="s">
        <v>36</v>
      </c>
      <c r="N441" s="4" t="s">
        <v>1466</v>
      </c>
      <c r="O441" s="4" t="s">
        <v>37</v>
      </c>
      <c r="P441" s="4" t="s">
        <v>37</v>
      </c>
      <c r="Q441" s="10" t="s">
        <v>57</v>
      </c>
      <c r="R441" s="4" t="str">
        <f t="shared" si="31"/>
        <v>Horacio Zevallos Horacio Zevallos, Ate, Lima, Lima, Perú</v>
      </c>
      <c r="S441" s="4">
        <v>-12.007670900000001</v>
      </c>
      <c r="T441" s="4">
        <v>-76.842274500000002</v>
      </c>
      <c r="U441" s="30">
        <f t="shared" si="28"/>
        <v>6.38</v>
      </c>
      <c r="V441" s="4" t="str">
        <f t="shared" si="29"/>
        <v>🟡 Cerca (5-10 km)</v>
      </c>
      <c r="W441" s="19" t="str" cm="1">
        <f t="array" ref="W441">_xlfn.LET(_xlpm.lat_emp,S441,_xlpm.lon_emp,T441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Entrada Horacio</v>
      </c>
      <c r="X441" s="19" t="str">
        <f>_xlfn.LET(_xlpm.paradero,W441,INDEX(PARADEROS_VALIDOS!$A$2:$A$67,MATCH(_xlpm.paradero,PARADEROS_VALIDOS!$C$2:$C$67,0)))</f>
        <v>RUTA 5B</v>
      </c>
      <c r="Y441" s="29" cm="1">
        <f t="array" ref="Y441">_xlfn.LET(_xlpm.lat_emp,S441,_xlpm.lon_emp,T441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0.08</v>
      </c>
      <c r="Z441" s="4" t="str">
        <f t="shared" si="30"/>
        <v>🟢 Muy Cerca (0-1 km)</v>
      </c>
      <c r="AA441" s="4"/>
      <c r="AB441" s="4"/>
      <c r="AC441" s="49">
        <v>-11.997563</v>
      </c>
      <c r="AD441" s="49">
        <v>-76.900062000000005</v>
      </c>
      <c r="AE441" s="19" t="str">
        <f>IFERROR(VLOOKUP(C441,tdcargo[],2,FALSE),"DESCONOCIDO")</f>
        <v>STAFF</v>
      </c>
    </row>
    <row r="442" spans="1:31" hidden="1" x14ac:dyDescent="0.35">
      <c r="A442" s="8">
        <v>43356262</v>
      </c>
      <c r="B442" s="4" t="s">
        <v>3028</v>
      </c>
      <c r="C442" s="4" t="s">
        <v>3029</v>
      </c>
      <c r="D442" s="5">
        <v>45026</v>
      </c>
      <c r="E442" s="4" t="s">
        <v>31</v>
      </c>
      <c r="F442" s="4" t="s">
        <v>82</v>
      </c>
      <c r="G442" s="4" t="s">
        <v>3030</v>
      </c>
      <c r="H442" s="4" t="s">
        <v>1956</v>
      </c>
      <c r="I442" s="4" t="s">
        <v>1968</v>
      </c>
      <c r="J442" s="4" t="s">
        <v>1968</v>
      </c>
      <c r="K442" s="4" t="s">
        <v>1968</v>
      </c>
      <c r="L442" s="4" t="s">
        <v>1968</v>
      </c>
      <c r="M442" s="4" t="s">
        <v>186</v>
      </c>
      <c r="N442" s="4" t="s">
        <v>3031</v>
      </c>
      <c r="O442" s="4" t="s">
        <v>37</v>
      </c>
      <c r="P442" s="4" t="s">
        <v>37</v>
      </c>
      <c r="Q442" s="10" t="s">
        <v>57</v>
      </c>
      <c r="R442" s="4" t="str">
        <f t="shared" si="31"/>
        <v>Calle Londres, Urb. Urbanización Los Portales De Javier Prado, Ate, Lima, Lima, Perú</v>
      </c>
      <c r="S442" s="4">
        <v>-12.040852900000001</v>
      </c>
      <c r="T442" s="4">
        <v>-76.9298644</v>
      </c>
      <c r="U442" s="30">
        <f t="shared" si="28"/>
        <v>5.8</v>
      </c>
      <c r="V442" s="4" t="str">
        <f t="shared" si="29"/>
        <v>🟡 Cerca (5-10 km)</v>
      </c>
      <c r="W442" s="19" t="str" cm="1">
        <f t="array" ref="W442">_xlfn.LET(_xlpm.lat_emp,S442,_xlpm.lon_emp,T442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Real Plaza Puruchuco (Grifo Primax)</v>
      </c>
      <c r="X442" s="19" t="str">
        <f>_xlfn.LET(_xlpm.paradero,W442,INDEX(PARADEROS_VALIDOS!$A$2:$A$67,MATCH(_xlpm.paradero,PARADEROS_VALIDOS!$C$2:$C$67,0)))</f>
        <v>RUTA 4A</v>
      </c>
      <c r="Y442" s="29" cm="1">
        <f t="array" ref="Y442">_xlfn.LET(_xlpm.lat_emp,S442,_xlpm.lon_emp,T442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0.24</v>
      </c>
      <c r="Z442" s="4" t="str">
        <f t="shared" si="30"/>
        <v>🟢 Muy Cerca (0-1 km)</v>
      </c>
      <c r="AA442" s="4"/>
      <c r="AB442" s="4"/>
      <c r="AC442" s="49">
        <v>-11.997563</v>
      </c>
      <c r="AD442" s="49">
        <v>-76.900062000000005</v>
      </c>
      <c r="AE442" s="19" t="str">
        <f>IFERROR(VLOOKUP(C442,tdcargo[],2,FALSE),"DESCONOCIDO")</f>
        <v>STAFF</v>
      </c>
    </row>
    <row r="443" spans="1:31" hidden="1" x14ac:dyDescent="0.35">
      <c r="A443" s="8">
        <v>44694979</v>
      </c>
      <c r="B443" s="4" t="s">
        <v>3032</v>
      </c>
      <c r="C443" s="4" t="s">
        <v>2031</v>
      </c>
      <c r="D443" s="5">
        <v>41765</v>
      </c>
      <c r="E443" s="4" t="s">
        <v>31</v>
      </c>
      <c r="F443" s="4" t="s">
        <v>82</v>
      </c>
      <c r="G443" s="4" t="s">
        <v>46</v>
      </c>
      <c r="H443" s="4" t="s">
        <v>1956</v>
      </c>
      <c r="I443" s="4" t="s">
        <v>1968</v>
      </c>
      <c r="J443" s="4" t="s">
        <v>1968</v>
      </c>
      <c r="K443" s="4" t="s">
        <v>1968</v>
      </c>
      <c r="L443" s="4" t="s">
        <v>1968</v>
      </c>
      <c r="M443" s="4" t="s">
        <v>88</v>
      </c>
      <c r="N443" s="4" t="s">
        <v>57</v>
      </c>
      <c r="O443" s="4" t="s">
        <v>37</v>
      </c>
      <c r="P443" s="4" t="s">
        <v>37</v>
      </c>
      <c r="Q443" s="10" t="s">
        <v>57</v>
      </c>
      <c r="R443" s="4" t="str">
        <f t="shared" si="31"/>
        <v>Calle Nd, A.H. Asentamiento Humano Ate, Ate, Lima, Lima, Perú</v>
      </c>
      <c r="S443" s="4">
        <v>-12.055927000000001</v>
      </c>
      <c r="T443" s="4">
        <v>-76.925144399999994</v>
      </c>
      <c r="U443" s="30">
        <f t="shared" si="28"/>
        <v>7.04</v>
      </c>
      <c r="V443" s="4" t="str">
        <f t="shared" si="29"/>
        <v>🟡 Cerca (5-10 km)</v>
      </c>
      <c r="W443" s="19" t="str" cm="1">
        <f t="array" ref="W443">_xlfn.LET(_xlpm.lat_emp,S443,_xlpm.lon_emp,T443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Real Plaza Puruchuco (Grifo Primax)</v>
      </c>
      <c r="X443" s="19" t="str">
        <f>_xlfn.LET(_xlpm.paradero,W443,INDEX(PARADEROS_VALIDOS!$A$2:$A$67,MATCH(_xlpm.paradero,PARADEROS_VALIDOS!$C$2:$C$67,0)))</f>
        <v>RUTA 4A</v>
      </c>
      <c r="Y443" s="29" cm="1">
        <f t="array" ref="Y443">_xlfn.LET(_xlpm.lat_emp,S443,_xlpm.lon_emp,T443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1.78</v>
      </c>
      <c r="Z443" s="4" t="str">
        <f t="shared" si="30"/>
        <v>🟡 Cerca (1-3 km)</v>
      </c>
      <c r="AA443" s="4"/>
      <c r="AB443" s="4"/>
      <c r="AC443" s="49">
        <v>-11.997563</v>
      </c>
      <c r="AD443" s="49">
        <v>-76.900062000000005</v>
      </c>
      <c r="AE443" s="19" t="str">
        <f>IFERROR(VLOOKUP(C443,tdcargo[],2,FALSE),"DESCONOCIDO")</f>
        <v>STAFF</v>
      </c>
    </row>
    <row r="444" spans="1:31" hidden="1" x14ac:dyDescent="0.35">
      <c r="A444" s="8">
        <v>47177927</v>
      </c>
      <c r="B444" s="4" t="s">
        <v>3044</v>
      </c>
      <c r="C444" s="4" t="s">
        <v>2787</v>
      </c>
      <c r="D444" s="5">
        <v>44599</v>
      </c>
      <c r="E444" s="4" t="s">
        <v>31</v>
      </c>
      <c r="F444" s="4" t="s">
        <v>34</v>
      </c>
      <c r="G444" s="4" t="s">
        <v>3045</v>
      </c>
      <c r="H444" s="4" t="s">
        <v>3046</v>
      </c>
      <c r="I444" s="4" t="s">
        <v>1968</v>
      </c>
      <c r="J444" s="4" t="s">
        <v>1968</v>
      </c>
      <c r="K444" s="4" t="s">
        <v>1968</v>
      </c>
      <c r="L444" s="4" t="s">
        <v>1968</v>
      </c>
      <c r="M444" s="4" t="s">
        <v>186</v>
      </c>
      <c r="N444" s="4" t="s">
        <v>521</v>
      </c>
      <c r="O444" s="4" t="s">
        <v>37</v>
      </c>
      <c r="P444" s="4" t="s">
        <v>37</v>
      </c>
      <c r="Q444" s="10" t="s">
        <v>347</v>
      </c>
      <c r="R444" s="4" t="str">
        <f t="shared" si="31"/>
        <v>Avenida Locumba 718, Urb. Urbanización Santoyo, El Agustino, Lima, Lima, Perú</v>
      </c>
      <c r="S444" s="4">
        <v>-12.0483286</v>
      </c>
      <c r="T444" s="4">
        <v>-77.009322299999994</v>
      </c>
      <c r="U444" s="30">
        <f t="shared" si="28"/>
        <v>13.16</v>
      </c>
      <c r="V444" s="4" t="str">
        <f t="shared" si="29"/>
        <v>🟠 Moderada (10-20 km)</v>
      </c>
      <c r="W444" s="19" t="str" cm="1">
        <f t="array" ref="W444">_xlfn.LET(_xlpm.lat_emp,S444,_xlpm.lon_emp,T444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Villa Hermosa</v>
      </c>
      <c r="X444" s="19" t="str">
        <f>_xlfn.LET(_xlpm.paradero,W444,INDEX(PARADEROS_VALIDOS!$A$2:$A$67,MATCH(_xlpm.paradero,PARADEROS_VALIDOS!$C$2:$C$67,0)))</f>
        <v>RUTA 3</v>
      </c>
      <c r="Y444" s="29" cm="1">
        <f t="array" ref="Y444">_xlfn.LET(_xlpm.lat_emp,S444,_xlpm.lon_emp,T444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2.52</v>
      </c>
      <c r="Z444" s="4" t="str">
        <f t="shared" si="30"/>
        <v>🟡 Cerca (1-3 km)</v>
      </c>
      <c r="AA444" s="4"/>
      <c r="AB444" s="4"/>
      <c r="AC444" s="49">
        <v>-11.997563</v>
      </c>
      <c r="AD444" s="49">
        <v>-76.900062000000005</v>
      </c>
      <c r="AE444" s="19" t="str">
        <f>IFERROR(VLOOKUP(C444,tdcargo[],2,FALSE),"DESCONOCIDO")</f>
        <v>STAFF</v>
      </c>
    </row>
    <row r="445" spans="1:31" hidden="1" x14ac:dyDescent="0.35">
      <c r="A445" s="8">
        <v>73215540</v>
      </c>
      <c r="B445" s="4" t="s">
        <v>3047</v>
      </c>
      <c r="C445" s="4" t="s">
        <v>1235</v>
      </c>
      <c r="D445" s="5">
        <v>46006</v>
      </c>
      <c r="E445" s="4" t="s">
        <v>31</v>
      </c>
      <c r="F445" s="4" t="s">
        <v>82</v>
      </c>
      <c r="G445" s="4" t="s">
        <v>3048</v>
      </c>
      <c r="H445" s="4" t="s">
        <v>1956</v>
      </c>
      <c r="I445" s="4" t="s">
        <v>1968</v>
      </c>
      <c r="J445" s="4" t="s">
        <v>1968</v>
      </c>
      <c r="K445" s="4" t="s">
        <v>3049</v>
      </c>
      <c r="L445" s="4" t="s">
        <v>1968</v>
      </c>
      <c r="M445" s="4" t="s">
        <v>36</v>
      </c>
      <c r="N445" s="4" t="s">
        <v>2555</v>
      </c>
      <c r="O445" s="4" t="s">
        <v>37</v>
      </c>
      <c r="P445" s="4" t="s">
        <v>37</v>
      </c>
      <c r="Q445" s="10" t="s">
        <v>76</v>
      </c>
      <c r="R445" s="4" t="str">
        <f t="shared" si="31"/>
        <v>Calle San Antonio Carapong, Lote 4566 Carapongo, Lurigancho, Lima, Lima, Perú</v>
      </c>
      <c r="S445" s="4">
        <v>-12.00717</v>
      </c>
      <c r="T445" s="4">
        <v>-76.885959099999994</v>
      </c>
      <c r="U445" s="30">
        <f t="shared" si="28"/>
        <v>1.87</v>
      </c>
      <c r="V445" s="4" t="str">
        <f t="shared" si="29"/>
        <v>🟢 Muy Cerca (0-5 km)</v>
      </c>
      <c r="W445" s="19" t="str" cm="1">
        <f t="array" ref="W445">_xlfn.LET(_xlpm.lat_emp,S445,_xlpm.lon_emp,T445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la Cruz</v>
      </c>
      <c r="X445" s="19" t="str">
        <f>_xlfn.LET(_xlpm.paradero,W445,INDEX(PARADEROS_VALIDOS!$A$2:$A$67,MATCH(_xlpm.paradero,PARADEROS_VALIDOS!$C$2:$C$67,0)))</f>
        <v>RUTA 4B</v>
      </c>
      <c r="Y445" s="29" cm="1">
        <f t="array" ref="Y445">_xlfn.LET(_xlpm.lat_emp,S445,_xlpm.lon_emp,T445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0.85</v>
      </c>
      <c r="Z445" s="4" t="str">
        <f t="shared" si="30"/>
        <v>🟢 Muy Cerca (0-1 km)</v>
      </c>
      <c r="AA445" s="4"/>
      <c r="AB445" s="4"/>
      <c r="AC445" s="49">
        <v>-11.997563</v>
      </c>
      <c r="AD445" s="49">
        <v>-76.900062000000005</v>
      </c>
      <c r="AE445" s="19" t="str">
        <f>IFERROR(VLOOKUP(C445,tdcargo[],2,FALSE),"DESCONOCIDO")</f>
        <v>STAFF</v>
      </c>
    </row>
    <row r="446" spans="1:31" hidden="1" x14ac:dyDescent="0.35">
      <c r="A446" s="8">
        <v>74232164</v>
      </c>
      <c r="B446" s="4" t="s">
        <v>3066</v>
      </c>
      <c r="C446" s="4" t="s">
        <v>2859</v>
      </c>
      <c r="D446" s="5">
        <v>45978</v>
      </c>
      <c r="E446" s="4" t="s">
        <v>31</v>
      </c>
      <c r="F446" s="4" t="s">
        <v>82</v>
      </c>
      <c r="G446" s="4" t="s">
        <v>3067</v>
      </c>
      <c r="H446" s="4" t="s">
        <v>1956</v>
      </c>
      <c r="I446" s="4" t="s">
        <v>1968</v>
      </c>
      <c r="J446" s="4" t="s">
        <v>1968</v>
      </c>
      <c r="K446" s="4" t="s">
        <v>2279</v>
      </c>
      <c r="L446" s="4" t="s">
        <v>3068</v>
      </c>
      <c r="M446" s="4" t="s">
        <v>36</v>
      </c>
      <c r="N446" s="4" t="s">
        <v>3069</v>
      </c>
      <c r="O446" s="4" t="s">
        <v>37</v>
      </c>
      <c r="P446" s="4" t="s">
        <v>37</v>
      </c>
      <c r="Q446" s="10" t="s">
        <v>686</v>
      </c>
      <c r="R446" s="4" t="str">
        <f t="shared" si="31"/>
        <v>Calle Calle 2 W-34, Lote 34, Mz. W Villa Club, Carabayllo, Lima, Lima, Perú</v>
      </c>
      <c r="S446" s="4">
        <v>-11.833678000000001</v>
      </c>
      <c r="T446" s="4">
        <v>-77.053098199999994</v>
      </c>
      <c r="U446" s="30">
        <f t="shared" si="28"/>
        <v>24.68</v>
      </c>
      <c r="V446" s="4" t="str">
        <f t="shared" si="29"/>
        <v>🔴 Lejos (&gt;20 km)</v>
      </c>
      <c r="W446" s="19" t="str" cm="1">
        <f t="array" ref="W446">_xlfn.LET(_xlpm.lat_emp,S446,_xlpm.lon_emp,T446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Cesar Vallejo</v>
      </c>
      <c r="X446" s="19" t="str">
        <f>_xlfn.LET(_xlpm.paradero,W446,INDEX(PARADEROS_VALIDOS!$A$2:$A$67,MATCH(_xlpm.paradero,PARADEROS_VALIDOS!$C$2:$C$67,0)))</f>
        <v>RUTA 4B</v>
      </c>
      <c r="Y446" s="29" cm="1">
        <f t="array" ref="Y446">_xlfn.LET(_xlpm.lat_emp,S446,_xlpm.lon_emp,T446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5.88</v>
      </c>
      <c r="Z446" s="4" t="str">
        <f t="shared" si="30"/>
        <v>🔴 Lejos (&gt;5 km)</v>
      </c>
      <c r="AA446" s="4"/>
      <c r="AB446" s="4"/>
      <c r="AC446" s="49">
        <v>-11.997563</v>
      </c>
      <c r="AD446" s="49">
        <v>-76.900062000000005</v>
      </c>
      <c r="AE446" s="19" t="str">
        <f>IFERROR(VLOOKUP(C446,tdcargo[],2,FALSE),"DESCONOCIDO")</f>
        <v>STAFF</v>
      </c>
    </row>
    <row r="447" spans="1:31" x14ac:dyDescent="0.35">
      <c r="A447" s="8">
        <v>74080838</v>
      </c>
      <c r="B447" s="4" t="s">
        <v>3085</v>
      </c>
      <c r="C447" s="4" t="s">
        <v>1977</v>
      </c>
      <c r="D447" s="5">
        <v>45978</v>
      </c>
      <c r="E447" s="4" t="s">
        <v>31</v>
      </c>
      <c r="F447" s="4" t="s">
        <v>82</v>
      </c>
      <c r="G447" s="4" t="s">
        <v>480</v>
      </c>
      <c r="H447" s="4" t="s">
        <v>1956</v>
      </c>
      <c r="I447" s="4" t="s">
        <v>1968</v>
      </c>
      <c r="J447" s="4" t="s">
        <v>1968</v>
      </c>
      <c r="K447" s="4" t="s">
        <v>3078</v>
      </c>
      <c r="L447" s="4" t="s">
        <v>1968</v>
      </c>
      <c r="M447" s="4" t="s">
        <v>36</v>
      </c>
      <c r="N447" s="4" t="s">
        <v>3086</v>
      </c>
      <c r="O447" s="4" t="s">
        <v>37</v>
      </c>
      <c r="P447" s="4" t="s">
        <v>37</v>
      </c>
      <c r="Q447" s="10" t="s">
        <v>858</v>
      </c>
      <c r="R447" s="4" t="str">
        <f t="shared" si="31"/>
        <v>Calle Los Pinos, Lote 30 Sector San Francisco, San Juan De Miraflores, Lima, Lima, Perú</v>
      </c>
      <c r="S447" s="4">
        <v>-12.1497823</v>
      </c>
      <c r="T447" s="4">
        <v>-76.964277899999999</v>
      </c>
      <c r="U447" s="30">
        <f t="shared" si="28"/>
        <v>18.309999999999999</v>
      </c>
      <c r="V447" s="4" t="str">
        <f t="shared" si="29"/>
        <v>🟠 Moderada (10-20 km)</v>
      </c>
      <c r="W447" s="19" t="str" cm="1">
        <f t="array" ref="W447">_xlfn.LET(_xlpm.lat_emp,S447,_xlpm.lon_emp,T447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Tottus Atocongo (Auxiliar)</v>
      </c>
      <c r="X447" s="19" t="str">
        <f>_xlfn.LET(_xlpm.paradero,W447,INDEX(PARADEROS_VALIDOS!$A$2:$A$67,MATCH(_xlpm.paradero,PARADEROS_VALIDOS!$C$2:$C$67,0)))</f>
        <v>RUTA 7</v>
      </c>
      <c r="Y447" s="29" cm="1">
        <f t="array" ref="Y447">_xlfn.LET(_xlpm.lat_emp,S447,_xlpm.lon_emp,T447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1.92</v>
      </c>
      <c r="Z447" s="4" t="str">
        <f t="shared" si="30"/>
        <v>🟡 Cerca (1-3 km)</v>
      </c>
      <c r="AA447" s="4" t="s">
        <v>4316</v>
      </c>
      <c r="AB447" s="4" t="s">
        <v>4326</v>
      </c>
      <c r="AC447" s="49">
        <v>-11.997563</v>
      </c>
      <c r="AD447" s="49">
        <v>-76.900062000000005</v>
      </c>
      <c r="AE447" s="19" t="str">
        <f>IFERROR(VLOOKUP(C447,tdcargo[],2,FALSE),"DESCONOCIDO")</f>
        <v>STAFF</v>
      </c>
    </row>
    <row r="448" spans="1:31" x14ac:dyDescent="0.35">
      <c r="A448" s="8">
        <v>47458379</v>
      </c>
      <c r="B448" s="4" t="s">
        <v>3106</v>
      </c>
      <c r="C448" s="4" t="s">
        <v>2130</v>
      </c>
      <c r="D448" s="5">
        <v>43906</v>
      </c>
      <c r="E448" s="4" t="s">
        <v>31</v>
      </c>
      <c r="F448" s="4" t="s">
        <v>36</v>
      </c>
      <c r="G448" s="4" t="s">
        <v>3107</v>
      </c>
      <c r="H448" s="4" t="s">
        <v>1956</v>
      </c>
      <c r="I448" s="4" t="s">
        <v>1968</v>
      </c>
      <c r="J448" s="4" t="s">
        <v>1968</v>
      </c>
      <c r="K448" s="4" t="s">
        <v>1968</v>
      </c>
      <c r="L448" s="4" t="s">
        <v>1968</v>
      </c>
      <c r="M448" s="4" t="s">
        <v>66</v>
      </c>
      <c r="N448" s="4" t="s">
        <v>3107</v>
      </c>
      <c r="O448" s="4" t="s">
        <v>37</v>
      </c>
      <c r="P448" s="4" t="s">
        <v>37</v>
      </c>
      <c r="Q448" s="10" t="s">
        <v>57</v>
      </c>
      <c r="R448" s="4" t="str">
        <f t="shared" si="31"/>
        <v>Virgen De La Asuncion, U.V. Unidad Vecinal Virgen De La Asuncion, Ate, Lima, Lima, Perú</v>
      </c>
      <c r="S448" s="4">
        <v>-12.0681782</v>
      </c>
      <c r="T448" s="4">
        <v>-76.976598499999994</v>
      </c>
      <c r="U448" s="30">
        <f t="shared" si="28"/>
        <v>11.44</v>
      </c>
      <c r="V448" s="4" t="str">
        <f t="shared" si="29"/>
        <v>🟠 Moderada (10-20 km)</v>
      </c>
      <c r="W448" s="19" t="str" cm="1">
        <f t="array" ref="W448">_xlfn.LET(_xlpm.lat_emp,S448,_xlpm.lon_emp,T448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Puente Santa Anita</v>
      </c>
      <c r="X448" s="19" t="str">
        <f>_xlfn.LET(_xlpm.paradero,W448,INDEX(PARADEROS_VALIDOS!$A$2:$A$67,MATCH(_xlpm.paradero,PARADEROS_VALIDOS!$C$2:$C$67,0)))</f>
        <v>RUTA 7</v>
      </c>
      <c r="Y448" s="29" cm="1">
        <f t="array" ref="Y448">_xlfn.LET(_xlpm.lat_emp,S448,_xlpm.lon_emp,T448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1.2</v>
      </c>
      <c r="Z448" s="4" t="str">
        <f t="shared" si="30"/>
        <v>🟡 Cerca (1-3 km)</v>
      </c>
      <c r="AA448" s="4"/>
      <c r="AB448" s="4"/>
      <c r="AC448" s="49">
        <v>-11.997563</v>
      </c>
      <c r="AD448" s="49">
        <v>-76.900062000000005</v>
      </c>
      <c r="AE448" s="19" t="str">
        <f>IFERROR(VLOOKUP(C448,tdcargo[],2,FALSE),"DESCONOCIDO")</f>
        <v>STAFF</v>
      </c>
    </row>
    <row r="449" spans="1:31" hidden="1" x14ac:dyDescent="0.35">
      <c r="A449" s="8">
        <v>47979470</v>
      </c>
      <c r="B449" s="4" t="s">
        <v>3137</v>
      </c>
      <c r="C449" s="4" t="s">
        <v>3138</v>
      </c>
      <c r="D449" s="5">
        <v>42999</v>
      </c>
      <c r="E449" s="4" t="s">
        <v>31</v>
      </c>
      <c r="F449" s="4" t="s">
        <v>36</v>
      </c>
      <c r="G449" s="4" t="s">
        <v>3139</v>
      </c>
      <c r="H449" s="4" t="s">
        <v>1956</v>
      </c>
      <c r="I449" s="4" t="s">
        <v>1968</v>
      </c>
      <c r="J449" s="4" t="s">
        <v>1968</v>
      </c>
      <c r="K449" s="4" t="s">
        <v>1968</v>
      </c>
      <c r="L449" s="4" t="s">
        <v>1968</v>
      </c>
      <c r="M449" s="4" t="s">
        <v>88</v>
      </c>
      <c r="N449" s="4" t="s">
        <v>3139</v>
      </c>
      <c r="O449" s="4" t="s">
        <v>37</v>
      </c>
      <c r="P449" s="4" t="s">
        <v>37</v>
      </c>
      <c r="Q449" s="10" t="s">
        <v>57</v>
      </c>
      <c r="R449" s="4" t="str">
        <f t="shared" si="31"/>
        <v>Las Lomas De Horacio Zevallos, A.H. Asentamiento Humano Las Lomas De Horacio Zevallos, Ate, Lima, Lima, Perú</v>
      </c>
      <c r="S449" s="4">
        <v>-11.8225277</v>
      </c>
      <c r="T449" s="4">
        <v>-77.100332300000005</v>
      </c>
      <c r="U449" s="30">
        <f t="shared" si="28"/>
        <v>29.22</v>
      </c>
      <c r="V449" s="4" t="str">
        <f t="shared" si="29"/>
        <v>🔴 Lejos (&gt;20 km)</v>
      </c>
      <c r="W449" s="19" t="str" cm="1">
        <f t="array" ref="W449">_xlfn.LET(_xlpm.lat_emp,S449,_xlpm.lon_emp,T449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Cesar Vallejo</v>
      </c>
      <c r="X449" s="19" t="str">
        <f>_xlfn.LET(_xlpm.paradero,W449,INDEX(PARADEROS_VALIDOS!$A$2:$A$67,MATCH(_xlpm.paradero,PARADEROS_VALIDOS!$C$2:$C$67,0)))</f>
        <v>RUTA 4B</v>
      </c>
      <c r="Y449" s="29" cm="1">
        <f t="array" ref="Y449">_xlfn.LET(_xlpm.lat_emp,S449,_xlpm.lon_emp,T449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10.09</v>
      </c>
      <c r="Z449" s="4" t="str">
        <f t="shared" si="30"/>
        <v>🔴 Lejos (&gt;5 km)</v>
      </c>
      <c r="AA449" s="4"/>
      <c r="AB449" s="4"/>
      <c r="AC449" s="49">
        <v>-11.997563</v>
      </c>
      <c r="AD449" s="49">
        <v>-76.900062000000005</v>
      </c>
      <c r="AE449" s="19" t="str">
        <f>IFERROR(VLOOKUP(C449,tdcargo[],2,FALSE),"DESCONOCIDO")</f>
        <v>STAFF</v>
      </c>
    </row>
    <row r="450" spans="1:31" hidden="1" x14ac:dyDescent="0.35">
      <c r="A450" s="8">
        <v>70091936</v>
      </c>
      <c r="B450" s="4" t="s">
        <v>3140</v>
      </c>
      <c r="C450" s="4" t="s">
        <v>2031</v>
      </c>
      <c r="D450" s="5">
        <v>44301</v>
      </c>
      <c r="E450" s="4" t="s">
        <v>31</v>
      </c>
      <c r="F450" s="4" t="s">
        <v>36</v>
      </c>
      <c r="G450" s="4" t="s">
        <v>448</v>
      </c>
      <c r="H450" s="4" t="s">
        <v>1956</v>
      </c>
      <c r="I450" s="4" t="s">
        <v>1968</v>
      </c>
      <c r="J450" s="4" t="s">
        <v>1968</v>
      </c>
      <c r="K450" s="4" t="s">
        <v>1968</v>
      </c>
      <c r="L450" s="4" t="s">
        <v>1968</v>
      </c>
      <c r="M450" s="4" t="s">
        <v>36</v>
      </c>
      <c r="N450" s="4" t="s">
        <v>448</v>
      </c>
      <c r="O450" s="4" t="s">
        <v>37</v>
      </c>
      <c r="P450" s="4" t="s">
        <v>37</v>
      </c>
      <c r="Q450" s="10" t="s">
        <v>76</v>
      </c>
      <c r="R450" s="4" t="str">
        <f t="shared" si="31"/>
        <v>Villa Leticia Villa Leticia, Lurigancho, Lima, Lima, Perú</v>
      </c>
      <c r="S450" s="4">
        <v>-11.9928296</v>
      </c>
      <c r="T450" s="4">
        <v>-76.902914600000003</v>
      </c>
      <c r="U450" s="30">
        <f t="shared" ref="U450:U455" si="32">IF(OR(S450="",T450=""),"Sin coordenadas",ROUND(6371*ACOS(COS(RADIANS(90-S450))*COS(RADIANS(90-(-11.997563)))+SIN(RADIANS(90-S450))*SIN(RADIANS(90-(-11.997563)))*COS(RADIANS(T450-(-76.900062)))),2))</f>
        <v>0.61</v>
      </c>
      <c r="V450" s="4" t="str">
        <f t="shared" ref="V450:V455" si="33">IF(U450="Sin coordenadas","N/A",IF(U450&lt;=5,"🟢 Muy Cerca (0-5 km)",IF(U450&lt;=10,"🟡 Cerca (5-10 km)",IF(U450&lt;=20,"🟠 Moderada (10-20 km)","🔴 Lejos (&gt;20 km)"))))</f>
        <v>🟢 Muy Cerca (0-5 km)</v>
      </c>
      <c r="W450" s="19" t="str" cm="1">
        <f t="array" ref="W450">_xlfn.LET(_xlpm.lat_emp,S450,_xlpm.lon_emp,T450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450" s="19" t="str">
        <f>_xlfn.LET(_xlpm.paradero,W450,INDEX(PARADEROS_VALIDOS!$A$2:$A$67,MATCH(_xlpm.paradero,PARADEROS_VALIDOS!$C$2:$C$67,0)))</f>
        <v>RUTA 2</v>
      </c>
      <c r="Y450" s="29" cm="1">
        <f t="array" ref="Y450">_xlfn.LET(_xlpm.lat_emp,S450,_xlpm.lon_emp,T450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0.08</v>
      </c>
      <c r="Z450" s="4" t="str">
        <f t="shared" ref="Z450:Z455" si="34">IF(Y450&lt;=1,"🟢 Muy Cerca (0-1 km)",IF(Y450&lt;=3,"🟡 Cerca (1-3 km)",IF(Y450&lt;=5,"🟠 Moderada (3-5 km)","🔴 Lejos (&gt;5 km)")))</f>
        <v>🟢 Muy Cerca (0-1 km)</v>
      </c>
      <c r="AA450" s="4"/>
      <c r="AB450" s="4"/>
      <c r="AC450" s="49">
        <v>-11.997563</v>
      </c>
      <c r="AD450" s="49">
        <v>-76.900062000000005</v>
      </c>
      <c r="AE450" s="19" t="str">
        <f>IFERROR(VLOOKUP(C450,tdcargo[],2,FALSE),"DESCONOCIDO")</f>
        <v>STAFF</v>
      </c>
    </row>
    <row r="451" spans="1:31" hidden="1" x14ac:dyDescent="0.35">
      <c r="A451" s="8">
        <v>71622265</v>
      </c>
      <c r="B451" s="4" t="s">
        <v>3163</v>
      </c>
      <c r="C451" s="4" t="s">
        <v>1977</v>
      </c>
      <c r="D451" s="5">
        <v>45789</v>
      </c>
      <c r="E451" s="4" t="s">
        <v>31</v>
      </c>
      <c r="F451" s="4" t="s">
        <v>34</v>
      </c>
      <c r="G451" s="4" t="s">
        <v>3164</v>
      </c>
      <c r="H451" s="4" t="s">
        <v>3165</v>
      </c>
      <c r="I451" s="4" t="s">
        <v>1968</v>
      </c>
      <c r="J451" s="4" t="s">
        <v>1968</v>
      </c>
      <c r="K451" s="4" t="s">
        <v>1968</v>
      </c>
      <c r="L451" s="4" t="s">
        <v>1968</v>
      </c>
      <c r="M451" s="4" t="s">
        <v>36</v>
      </c>
      <c r="N451" s="4" t="s">
        <v>3164</v>
      </c>
      <c r="O451" s="4" t="s">
        <v>37</v>
      </c>
      <c r="P451" s="4" t="s">
        <v>37</v>
      </c>
      <c r="Q451" s="10" t="s">
        <v>38</v>
      </c>
      <c r="R451" s="4" t="str">
        <f t="shared" si="31"/>
        <v>Avenida San Hilarion 366 San Hilarion, San Juan De Lurigancho, Lima, Lima, Perú</v>
      </c>
      <c r="S451" s="4">
        <v>-11.994605699999999</v>
      </c>
      <c r="T451" s="4">
        <v>-77.012673800000002</v>
      </c>
      <c r="U451" s="30">
        <f t="shared" si="32"/>
        <v>12.25</v>
      </c>
      <c r="V451" s="4" t="str">
        <f t="shared" si="33"/>
        <v>🟠 Moderada (10-20 km)</v>
      </c>
      <c r="W451" s="19" t="str" cm="1">
        <f t="array" ref="W451">_xlfn.LET(_xlpm.lat_emp,S451,_xlpm.lon_emp,T451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San Carlos</v>
      </c>
      <c r="X451" s="19" t="str">
        <f>_xlfn.LET(_xlpm.paradero,W451,INDEX(PARADEROS_VALIDOS!$A$2:$A$67,MATCH(_xlpm.paradero,PARADEROS_VALIDOS!$C$2:$C$67,0)))</f>
        <v>RUTA 6B</v>
      </c>
      <c r="Y451" s="29" cm="1">
        <f t="array" ref="Y451">_xlfn.LET(_xlpm.lat_emp,S451,_xlpm.lon_emp,T451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0.66</v>
      </c>
      <c r="Z451" s="4" t="str">
        <f t="shared" si="34"/>
        <v>🟢 Muy Cerca (0-1 km)</v>
      </c>
      <c r="AA451" s="4"/>
      <c r="AB451" s="4"/>
      <c r="AC451" s="49">
        <v>-11.997563</v>
      </c>
      <c r="AD451" s="49">
        <v>-76.900062000000005</v>
      </c>
      <c r="AE451" s="19" t="str">
        <f>IFERROR(VLOOKUP(C451,tdcargo[],2,FALSE),"DESCONOCIDO")</f>
        <v>STAFF</v>
      </c>
    </row>
    <row r="452" spans="1:31" x14ac:dyDescent="0.35">
      <c r="A452" s="8">
        <v>9957295</v>
      </c>
      <c r="B452" s="4" t="s">
        <v>3201</v>
      </c>
      <c r="C452" s="4" t="s">
        <v>2130</v>
      </c>
      <c r="D452" s="5">
        <v>41352</v>
      </c>
      <c r="E452" s="4" t="s">
        <v>31</v>
      </c>
      <c r="F452" s="4" t="s">
        <v>82</v>
      </c>
      <c r="G452" s="4" t="s">
        <v>3202</v>
      </c>
      <c r="H452" s="4" t="s">
        <v>1968</v>
      </c>
      <c r="I452" s="4" t="s">
        <v>1968</v>
      </c>
      <c r="J452" s="4" t="s">
        <v>1968</v>
      </c>
      <c r="K452" s="4" t="s">
        <v>3203</v>
      </c>
      <c r="L452" s="4" t="s">
        <v>3204</v>
      </c>
      <c r="M452" s="4" t="s">
        <v>186</v>
      </c>
      <c r="N452" s="4" t="s">
        <v>46</v>
      </c>
      <c r="O452" s="4" t="s">
        <v>37</v>
      </c>
      <c r="P452" s="4" t="s">
        <v>37</v>
      </c>
      <c r="Q452" s="10" t="s">
        <v>1372</v>
      </c>
      <c r="R452" s="4" t="str">
        <f t="shared" si="31"/>
        <v>Calle Las Viñas de San Antonio, Lote Lt10, Mz. MZ G, Urb. Urbanización Nd, Santiago De Surco, Lima, Lima, Perú</v>
      </c>
      <c r="S452" s="4">
        <v>-12.1678891</v>
      </c>
      <c r="T452" s="4">
        <v>-76.989867599999997</v>
      </c>
      <c r="U452" s="30">
        <f t="shared" si="32"/>
        <v>21.31</v>
      </c>
      <c r="V452" s="4" t="str">
        <f t="shared" si="33"/>
        <v>🔴 Lejos (&gt;20 km)</v>
      </c>
      <c r="W452" s="19" t="str" cm="1">
        <f t="array" ref="W452">_xlfn.LET(_xlpm.lat_emp,S452,_xlpm.lon_emp,T452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Amauta</v>
      </c>
      <c r="X452" s="19" t="str">
        <f>_xlfn.LET(_xlpm.paradero,W452,INDEX(PARADEROS_VALIDOS!$A$2:$A$67,MATCH(_xlpm.paradero,PARADEROS_VALIDOS!$C$2:$C$67,0)))</f>
        <v>RUTA 7</v>
      </c>
      <c r="Y452" s="29" cm="1">
        <f t="array" ref="Y452">_xlfn.LET(_xlpm.lat_emp,S452,_xlpm.lon_emp,T452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1.1000000000000001</v>
      </c>
      <c r="Z452" s="4" t="str">
        <f t="shared" si="34"/>
        <v>🟡 Cerca (1-3 km)</v>
      </c>
      <c r="AA452" s="4"/>
      <c r="AB452" s="4"/>
      <c r="AC452" s="49">
        <v>-11.997563</v>
      </c>
      <c r="AD452" s="49">
        <v>-76.900062000000005</v>
      </c>
      <c r="AE452" s="19" t="str">
        <f>IFERROR(VLOOKUP(C452,tdcargo[],2,FALSE),"DESCONOCIDO")</f>
        <v>STAFF</v>
      </c>
    </row>
    <row r="453" spans="1:31" x14ac:dyDescent="0.35">
      <c r="A453" s="8">
        <v>47757299</v>
      </c>
      <c r="B453" s="4" t="s">
        <v>3205</v>
      </c>
      <c r="C453" s="4" t="s">
        <v>3029</v>
      </c>
      <c r="D453" s="5">
        <v>44956</v>
      </c>
      <c r="E453" s="4" t="s">
        <v>31</v>
      </c>
      <c r="F453" s="4" t="s">
        <v>36</v>
      </c>
      <c r="G453" s="4" t="s">
        <v>46</v>
      </c>
      <c r="H453" s="4" t="s">
        <v>1956</v>
      </c>
      <c r="I453" s="4" t="s">
        <v>1968</v>
      </c>
      <c r="J453" s="4" t="s">
        <v>1968</v>
      </c>
      <c r="K453" s="4" t="s">
        <v>1968</v>
      </c>
      <c r="L453" s="4" t="s">
        <v>1968</v>
      </c>
      <c r="M453" s="4" t="s">
        <v>66</v>
      </c>
      <c r="N453" s="4" t="s">
        <v>3206</v>
      </c>
      <c r="O453" s="4" t="s">
        <v>37</v>
      </c>
      <c r="P453" s="4" t="s">
        <v>37</v>
      </c>
      <c r="Q453" s="10" t="s">
        <v>37</v>
      </c>
      <c r="R453" s="4" t="str">
        <f t="shared" si="31"/>
        <v>Nd, U.V. Unidad Vecinal Maria Auxiliadora, Lima, Lima, Lima, Perú</v>
      </c>
      <c r="S453" s="4">
        <v>-12.166341900000001</v>
      </c>
      <c r="T453" s="4">
        <v>-76.979427599999994</v>
      </c>
      <c r="U453" s="30">
        <f t="shared" si="32"/>
        <v>20.66</v>
      </c>
      <c r="V453" s="4" t="str">
        <f t="shared" si="33"/>
        <v>🔴 Lejos (&gt;20 km)</v>
      </c>
      <c r="W453" s="19" t="str" cm="1">
        <f t="array" ref="W453">_xlfn.LET(_xlpm.lat_emp,S453,_xlpm.lon_emp,T453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Puente Alipio</v>
      </c>
      <c r="X453" s="19" t="str">
        <f>_xlfn.LET(_xlpm.paradero,W453,INDEX(PARADEROS_VALIDOS!$A$2:$A$67,MATCH(_xlpm.paradero,PARADEROS_VALIDOS!$C$2:$C$67,0)))</f>
        <v>RUTA 7</v>
      </c>
      <c r="Y453" s="29" cm="1">
        <f t="array" ref="Y453">_xlfn.LET(_xlpm.lat_emp,S453,_xlpm.lon_emp,T453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0.26</v>
      </c>
      <c r="Z453" s="4" t="str">
        <f t="shared" si="34"/>
        <v>🟢 Muy Cerca (0-1 km)</v>
      </c>
      <c r="AA453" s="4"/>
      <c r="AB453" s="4"/>
      <c r="AC453" s="49">
        <v>-11.997563</v>
      </c>
      <c r="AD453" s="49">
        <v>-76.900062000000005</v>
      </c>
      <c r="AE453" s="19" t="str">
        <f>IFERROR(VLOOKUP(C453,tdcargo[],2,FALSE),"DESCONOCIDO")</f>
        <v>STAFF</v>
      </c>
    </row>
    <row r="454" spans="1:31" hidden="1" x14ac:dyDescent="0.35">
      <c r="A454" s="8">
        <v>42129146</v>
      </c>
      <c r="B454" s="4" t="s">
        <v>3208</v>
      </c>
      <c r="C454" s="4" t="s">
        <v>641</v>
      </c>
      <c r="D454" s="5">
        <v>44557</v>
      </c>
      <c r="E454" s="4" t="s">
        <v>31</v>
      </c>
      <c r="F454" s="4" t="s">
        <v>82</v>
      </c>
      <c r="G454" s="4" t="s">
        <v>3209</v>
      </c>
      <c r="H454" s="4" t="s">
        <v>3210</v>
      </c>
      <c r="I454" s="4" t="s">
        <v>1968</v>
      </c>
      <c r="J454" s="4" t="s">
        <v>1968</v>
      </c>
      <c r="K454" s="4" t="s">
        <v>1968</v>
      </c>
      <c r="L454" s="4" t="s">
        <v>1968</v>
      </c>
      <c r="M454" s="4" t="s">
        <v>186</v>
      </c>
      <c r="N454" s="4" t="s">
        <v>3211</v>
      </c>
      <c r="O454" s="4" t="s">
        <v>37</v>
      </c>
      <c r="P454" s="4" t="s">
        <v>37</v>
      </c>
      <c r="Q454" s="10" t="s">
        <v>37</v>
      </c>
      <c r="R454" s="4" t="str">
        <f t="shared" si="31"/>
        <v>Calle Los Rubies 212, Urb. Urbanización Balconcillo, Lima, Lima, Lima, Perú</v>
      </c>
      <c r="S454" s="4">
        <v>-12.077869400000001</v>
      </c>
      <c r="T454" s="4">
        <v>-77.025775800000005</v>
      </c>
      <c r="U454" s="30">
        <f t="shared" si="32"/>
        <v>16.329999999999998</v>
      </c>
      <c r="V454" s="4" t="str">
        <f t="shared" si="33"/>
        <v>🟠 Moderada (10-20 km)</v>
      </c>
      <c r="W454" s="19" t="str" cm="1">
        <f t="array" ref="W454">_xlfn.LET(_xlpm.lat_emp,S454,_xlpm.lon_emp,T454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Berlín con Javier prado (cruzando el semáforo) aplica solo al ingreso.</v>
      </c>
      <c r="X454" s="19" t="str">
        <f>_xlfn.LET(_xlpm.paradero,W454,INDEX(PARADEROS_VALIDOS!$A$2:$A$67,MATCH(_xlpm.paradero,PARADEROS_VALIDOS!$C$2:$C$67,0)))</f>
        <v>RUTA 4A</v>
      </c>
      <c r="Y454" s="29" cm="1">
        <f t="array" ref="Y454">_xlfn.LET(_xlpm.lat_emp,S454,_xlpm.lon_emp,T454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1.65</v>
      </c>
      <c r="Z454" s="4" t="str">
        <f t="shared" si="34"/>
        <v>🟡 Cerca (1-3 km)</v>
      </c>
      <c r="AA454" s="4"/>
      <c r="AB454" s="4"/>
      <c r="AC454" s="49">
        <v>-11.997563</v>
      </c>
      <c r="AD454" s="49">
        <v>-76.900062000000005</v>
      </c>
      <c r="AE454" s="19" t="str">
        <f>IFERROR(VLOOKUP(C454,tdcargo[],2,FALSE),"DESCONOCIDO")</f>
        <v>STAFF</v>
      </c>
    </row>
    <row r="455" spans="1:31" hidden="1" x14ac:dyDescent="0.35">
      <c r="A455" s="9">
        <v>76873832</v>
      </c>
      <c r="B455" s="6" t="s">
        <v>3214</v>
      </c>
      <c r="C455" s="6" t="s">
        <v>2236</v>
      </c>
      <c r="D455" s="7">
        <v>44854</v>
      </c>
      <c r="E455" s="6" t="s">
        <v>31</v>
      </c>
      <c r="F455" s="6" t="s">
        <v>34</v>
      </c>
      <c r="G455" s="6" t="s">
        <v>3215</v>
      </c>
      <c r="H455" s="6" t="s">
        <v>1956</v>
      </c>
      <c r="I455" s="6" t="s">
        <v>1968</v>
      </c>
      <c r="J455" s="6" t="s">
        <v>1968</v>
      </c>
      <c r="K455" s="6" t="s">
        <v>1968</v>
      </c>
      <c r="L455" s="6" t="s">
        <v>1968</v>
      </c>
      <c r="M455" s="6" t="s">
        <v>186</v>
      </c>
      <c r="N455" s="6" t="s">
        <v>116</v>
      </c>
      <c r="O455" s="6" t="s">
        <v>37</v>
      </c>
      <c r="P455" s="6" t="s">
        <v>195</v>
      </c>
      <c r="Q455" s="11" t="s">
        <v>196</v>
      </c>
      <c r="R455" s="6" t="str">
        <f t="shared" si="31"/>
        <v>Avenida Nueva Media Luna, Urb. Urbanización Los Olivos, San Antonio, Huarochiri, Lima, Perú</v>
      </c>
      <c r="S455" s="6">
        <v>-11.960239899999999</v>
      </c>
      <c r="T455" s="6">
        <v>-76.933224699999997</v>
      </c>
      <c r="U455" s="31">
        <f t="shared" si="32"/>
        <v>5.5</v>
      </c>
      <c r="V455" s="4" t="str">
        <f t="shared" si="33"/>
        <v>🟡 Cerca (5-10 km)</v>
      </c>
      <c r="W455" s="19" t="str" cm="1">
        <f t="array" ref="W455">_xlfn.LET(_xlpm.lat_emp,S455,_xlpm.lon_emp,T455,_xlpm.paraderos,PARADEROS_VALIDOS!$C$2:$C$67,_xlpm.lats,PARADEROS_VALIDOS!$E$2:$E$67,_xlpm.lons,PARADEROS_VALIDOS!$F$2:$F$67,_xlpm.distancias,6371*ACOS(COS(RADIANS(90-_xlpm.lat_emp))*COS(RADIANS(90-_xlpm.lats))+SIN(RADIANS(90-_xlpm.lat_emp))*SIN(RADIANS(90-_xlpm.lats))*COS(RADIANS(_xlpm.lon_emp-_xlpm.lons))),_xlpm.min_dist,MIN(_xlpm.distancias),INDEX(_xlpm.paraderos,MATCH(_xlpm.min_dist,_xlpm.distancias,0)))</f>
        <v>Paradero Arco San Antonio</v>
      </c>
      <c r="X455" s="19" t="str">
        <f>_xlfn.LET(_xlpm.paradero,W455,INDEX(PARADEROS_VALIDOS!$A$2:$A$67,MATCH(_xlpm.paradero,PARADEROS_VALIDOS!$C$2:$C$67,0)))</f>
        <v>RUTA 2</v>
      </c>
      <c r="Y455" s="29" cm="1">
        <f t="array" ref="Y455">_xlfn.LET(_xlpm.lat_emp,S455,_xlpm.lon_emp,T455,_xlpm.lats,PARADEROS_VALIDOS!$E$2:$E$67,_xlpm.lons,PARADEROS_VALIDOS!$F$2:$F$67,_xlpm.distancias,6371*ACOS(COS(RADIANS(90-_xlpm.lat_emp))*COS(RADIANS(90-_xlpm.lats))+SIN(RADIANS(90-_xlpm.lat_emp))*SIN(RADIANS(90-_xlpm.lats))*COS(RADIANS(_xlpm.lon_emp-_xlpm.lons))),ROUND(MIN(_xlpm.distancias),2))</f>
        <v>4.9400000000000004</v>
      </c>
      <c r="Z455" s="6" t="str">
        <f t="shared" si="34"/>
        <v>🟠 Moderada (3-5 km)</v>
      </c>
      <c r="AA455" s="6"/>
      <c r="AB455" s="6"/>
      <c r="AC455" s="50">
        <v>-11.997563</v>
      </c>
      <c r="AD455" s="50">
        <v>-76.900062000000005</v>
      </c>
      <c r="AE455" s="19" t="str">
        <f>IFERROR(VLOOKUP(C455,tdcargo[],2,FALSE),"DESCONOCIDO")</f>
        <v>STAFF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A6F7E-E158-4B1D-B081-E28554993F01}">
  <dimension ref="A1:AK236"/>
  <sheetViews>
    <sheetView workbookViewId="0">
      <selection activeCell="F1" sqref="F1"/>
    </sheetView>
  </sheetViews>
  <sheetFormatPr baseColWidth="10" defaultRowHeight="14.5" x14ac:dyDescent="0.35"/>
  <cols>
    <col min="1" max="1" width="9.7265625" bestFit="1" customWidth="1"/>
    <col min="2" max="2" width="14.08984375" bestFit="1" customWidth="1"/>
    <col min="3" max="3" width="14.1796875" bestFit="1" customWidth="1"/>
    <col min="4" max="4" width="15.26953125" bestFit="1" customWidth="1"/>
    <col min="5" max="5" width="8.08984375" bestFit="1" customWidth="1"/>
    <col min="6" max="6" width="17.90625" bestFit="1" customWidth="1"/>
    <col min="7" max="7" width="16.36328125" bestFit="1" customWidth="1"/>
    <col min="8" max="8" width="21.81640625" bestFit="1" customWidth="1"/>
    <col min="9" max="9" width="15.08984375" bestFit="1" customWidth="1"/>
    <col min="10" max="10" width="17.08984375" bestFit="1" customWidth="1"/>
    <col min="11" max="11" width="18" bestFit="1" customWidth="1"/>
    <col min="12" max="12" width="18.36328125" bestFit="1" customWidth="1"/>
    <col min="13" max="13" width="17" bestFit="1" customWidth="1"/>
    <col min="14" max="14" width="11.54296875" bestFit="1" customWidth="1"/>
    <col min="15" max="15" width="31.36328125" bestFit="1" customWidth="1"/>
    <col min="16" max="16" width="17" bestFit="1" customWidth="1"/>
    <col min="17" max="17" width="24.08984375" bestFit="1" customWidth="1"/>
    <col min="18" max="18" width="13.1796875" bestFit="1" customWidth="1"/>
    <col min="19" max="19" width="13.7265625" bestFit="1" customWidth="1"/>
    <col min="20" max="20" width="10.7265625" bestFit="1" customWidth="1"/>
    <col min="21" max="21" width="14.36328125" bestFit="1" customWidth="1"/>
    <col min="22" max="22" width="15.1796875" bestFit="1" customWidth="1"/>
    <col min="23" max="23" width="19.453125" bestFit="1" customWidth="1"/>
    <col min="24" max="24" width="63.6328125" customWidth="1"/>
    <col min="25" max="26" width="18.1796875" customWidth="1"/>
    <col min="27" max="27" width="15.453125" customWidth="1"/>
    <col min="28" max="28" width="27.26953125" customWidth="1"/>
    <col min="29" max="29" width="36.36328125" customWidth="1"/>
    <col min="30" max="30" width="16.36328125" customWidth="1"/>
    <col min="31" max="31" width="20" customWidth="1"/>
    <col min="32" max="32" width="27.26953125" customWidth="1"/>
    <col min="33" max="33" width="18.1796875" customWidth="1"/>
    <col min="34" max="34" width="23.6328125" customWidth="1"/>
  </cols>
  <sheetData>
    <row r="1" spans="1:37" x14ac:dyDescent="0.3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7</v>
      </c>
      <c r="G1" s="2" t="s">
        <v>8</v>
      </c>
      <c r="H1" s="2" t="s">
        <v>9</v>
      </c>
      <c r="I1" s="3" t="s">
        <v>10</v>
      </c>
      <c r="J1" s="2" t="s">
        <v>11</v>
      </c>
      <c r="K1" s="3" t="s">
        <v>3250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3" t="s">
        <v>22</v>
      </c>
      <c r="W1" s="2" t="s">
        <v>23</v>
      </c>
      <c r="X1" s="21" t="s">
        <v>4231</v>
      </c>
      <c r="Y1" s="21" t="s">
        <v>4232</v>
      </c>
      <c r="Z1" s="21" t="s">
        <v>4233</v>
      </c>
      <c r="AA1" s="21" t="s">
        <v>4355</v>
      </c>
      <c r="AB1" s="21" t="s">
        <v>4356</v>
      </c>
      <c r="AC1" s="21" t="s">
        <v>4357</v>
      </c>
      <c r="AD1" s="21" t="s">
        <v>4358</v>
      </c>
      <c r="AE1" s="21" t="s">
        <v>4359</v>
      </c>
      <c r="AF1" s="21" t="s">
        <v>4360</v>
      </c>
      <c r="AG1" s="21" t="s">
        <v>4451</v>
      </c>
      <c r="AH1" s="21" t="s">
        <v>4457</v>
      </c>
      <c r="AI1" s="21" t="s">
        <v>4469</v>
      </c>
      <c r="AJ1" s="21" t="s">
        <v>4470</v>
      </c>
      <c r="AK1" s="1" t="s">
        <v>4537</v>
      </c>
    </row>
    <row r="2" spans="1:37" x14ac:dyDescent="0.35">
      <c r="A2" s="2" t="s">
        <v>3251</v>
      </c>
      <c r="B2" s="2" t="s">
        <v>3252</v>
      </c>
      <c r="C2" s="2" t="s">
        <v>3253</v>
      </c>
      <c r="D2" s="2" t="s">
        <v>3254</v>
      </c>
      <c r="E2" s="2">
        <v>24</v>
      </c>
      <c r="F2" s="2" t="s">
        <v>3255</v>
      </c>
      <c r="G2" s="2">
        <v>20507992</v>
      </c>
      <c r="H2" s="2" t="s">
        <v>1971</v>
      </c>
      <c r="I2" s="3">
        <v>46024</v>
      </c>
      <c r="J2" s="2" t="s">
        <v>31</v>
      </c>
      <c r="K2" s="3" t="s">
        <v>1968</v>
      </c>
      <c r="L2" s="2" t="s">
        <v>3256</v>
      </c>
      <c r="M2" s="2" t="s">
        <v>3257</v>
      </c>
      <c r="N2" s="2" t="s">
        <v>36</v>
      </c>
      <c r="O2" s="2" t="s">
        <v>3258</v>
      </c>
      <c r="P2" s="2" t="s">
        <v>36</v>
      </c>
      <c r="Q2" s="2" t="s">
        <v>3259</v>
      </c>
      <c r="R2" s="2" t="s">
        <v>3260</v>
      </c>
      <c r="S2" s="2" t="s">
        <v>37</v>
      </c>
      <c r="T2" s="2" t="s">
        <v>37</v>
      </c>
      <c r="U2" s="2" t="s">
        <v>38</v>
      </c>
      <c r="V2" s="3">
        <v>46024</v>
      </c>
      <c r="W2" s="2" t="s">
        <v>135</v>
      </c>
      <c r="X2" s="2" t="str">
        <f t="shared" ref="X2:X65" si="0">_xlfn.LET(_xlpm.parte1,TRIM(IF(OR(N2="Otros / No aplica",N2=""),"",N2&amp;" ")&amp;O2&amp;IF(AND(P2&lt;&gt;"",P2&lt;&gt;"Otros / No aplica"),", "&amp;P2,"")&amp;IF(AND(Q2&lt;&gt;"",Q2&lt;&gt;"Nd",Q2&lt;&gt;0,Q2&lt;&gt;"0")," "&amp;Q2,"")),_xlpm.parte2,U2&amp;", "&amp;T2&amp;", "&amp;S2&amp;", Perú",IF(LEFT(_xlpm.parte1,1)=",",TRIM(MID(_xlpm.parte1,2,255))&amp;", "&amp;_xlpm.parte2,IF(_xlpm.parte1="",_xlpm.parte2,_xlpm.parte1&amp;", "&amp;_xlpm.parte2)))</f>
        <v>Jose Carlos JOSE CARLOS MARIATE, San Juan De Lurigancho, Lima, Lima, Perú</v>
      </c>
      <c r="Y2" s="22">
        <v>-11.9476478</v>
      </c>
      <c r="Z2" s="22">
        <v>-76.982250300000004</v>
      </c>
      <c r="AA2" s="33">
        <f t="shared" ref="AA2:AA65" si="1">ROUND(6371*ACOS(COS(RADIANS(-11.997563))*COS(RADIANS(Y2))*COS(RADIANS(Z2)-RADIANS(-76.900062))+SIN(RADIANS(-11.997563))*SIN(RADIANS(Y2))),2)</f>
        <v>10.52</v>
      </c>
      <c r="AB2" s="2" t="str">
        <f t="shared" ref="AB2:AB65" si="2">IF(AA2&lt;=5,"🟢 Muy Cerca (0-5 km)",IF(AA2&lt;=10,"🟡 Cerca (5-10 km)",IF(AA2&lt;=20,"🟠 Moderada (10-20 km)","🔴 Lejos (&gt;20 km)")))</f>
        <v>🟠 Moderada (10-20 km)</v>
      </c>
      <c r="AC2" s="2" t="str" cm="1">
        <f t="array" ref="AC2">INDEX(PARADEROS_VALIDOS!$C$2:$C$68,MATCH(MIN(6371*ACOS(COS(RADIANS(Y2))*COS(RADIANS(PARADEROS_VALIDOS!$E$2:$E$68))*COS(RADIANS(PARADEROS_VALIDOS!$F$2:$F$68)-RADIANS(Z2))+SIN(RADIANS(Y2))*SIN(RADIANS(PARADEROS_VALIDOS!$E$2:$E$68)))),6371*ACOS(COS(RADIANS(Y2))*COS(RADIANS(PARADEROS_VALIDOS!$E$2:$E$68))*COS(RADIANS(PARADEROS_VALIDOS!$F$2:$F$68)-RADIANS(Z2))+SIN(RADIANS(Y2))*SIN(RADIANS(PARADEROS_VALIDOS!$E$2:$E$68))),0))</f>
        <v>Paradero San Martin</v>
      </c>
      <c r="AD2" s="2" t="str">
        <f>IFERROR(INDEX(PARADEROS_VALIDOS!$A$2:$A$68,MATCH(AC2,PARADEROS_VALIDOS!$C$2:$C$68,0)),"")</f>
        <v>RUTA 6A</v>
      </c>
      <c r="AE2" s="33" cm="1">
        <f t="array" ref="AE2">ROUND(MIN(6371*ACOS(COS(RADIANS(Y2))*COS(RADIANS(PARADEROS_VALIDOS!$E$2:$E$68))*COS(RADIANS(PARADEROS_VALIDOS!$F$2:$F$68)-RADIANS(Z2))+SIN(RADIANS(Y2))*SIN(RADIANS(PARADEROS_VALIDOS!$E$2:$E$68)))),2)</f>
        <v>3.61</v>
      </c>
      <c r="AF2" s="2" t="str">
        <f t="shared" ref="AF2:AF65" si="3">IF(AE2&lt;=1,"🟢 Muy Cerca (0-1 km)",IF(AE2&lt;=3,"🟡 Cerca (1-3 km)",IF(AE2&lt;=5,"🟠 Moderada (3-5 km)","🔴 Lejos (&gt;5 km)")))</f>
        <v>🟠 Moderada (3-5 km)</v>
      </c>
      <c r="AG2" s="2"/>
      <c r="AH2" s="2"/>
      <c r="AI2" s="51">
        <v>-11.997563</v>
      </c>
      <c r="AJ2" s="51">
        <v>-76.900062000000005</v>
      </c>
      <c r="AK2" s="2" t="str">
        <f>IFERROR(VLOOKUP(H2,tdcargo[],2,FALSE),"DESCONOCIDO")</f>
        <v>OPERARIO</v>
      </c>
    </row>
    <row r="3" spans="1:37" x14ac:dyDescent="0.35">
      <c r="A3" s="2" t="s">
        <v>3261</v>
      </c>
      <c r="B3" s="2" t="s">
        <v>3262</v>
      </c>
      <c r="C3" s="2" t="s">
        <v>760</v>
      </c>
      <c r="D3" s="2" t="s">
        <v>842</v>
      </c>
      <c r="E3" s="2">
        <v>53</v>
      </c>
      <c r="F3" s="2" t="s">
        <v>3255</v>
      </c>
      <c r="G3" s="2">
        <v>20508096</v>
      </c>
      <c r="H3" s="2" t="s">
        <v>1971</v>
      </c>
      <c r="I3" s="3">
        <v>41218</v>
      </c>
      <c r="J3" s="2" t="s">
        <v>31</v>
      </c>
      <c r="K3" s="3" t="s">
        <v>1968</v>
      </c>
      <c r="L3" s="2" t="s">
        <v>3263</v>
      </c>
      <c r="M3" s="2" t="s">
        <v>3264</v>
      </c>
      <c r="N3" s="2" t="s">
        <v>82</v>
      </c>
      <c r="O3" s="2" t="s">
        <v>3265</v>
      </c>
      <c r="P3" s="2" t="s">
        <v>609</v>
      </c>
      <c r="Q3" s="2" t="s">
        <v>3266</v>
      </c>
      <c r="R3" s="2" t="s">
        <v>3267</v>
      </c>
      <c r="S3" s="2" t="s">
        <v>37</v>
      </c>
      <c r="T3" s="2" t="s">
        <v>37</v>
      </c>
      <c r="U3" s="2" t="s">
        <v>1505</v>
      </c>
      <c r="V3" s="3">
        <v>41218</v>
      </c>
      <c r="W3" s="2" t="s">
        <v>48</v>
      </c>
      <c r="X3" s="2" t="str">
        <f t="shared" si="0"/>
        <v>Calle Inca Garcilazo De La Vega, P.J. Pueblo Joven San Gabriel, Villa Maria Del Triunfo, Lima, Lima, Perú</v>
      </c>
      <c r="Y3" s="22">
        <v>-12.153777399999999</v>
      </c>
      <c r="Z3" s="22">
        <v>-76.959007900000003</v>
      </c>
      <c r="AA3" s="33">
        <f t="shared" si="1"/>
        <v>18.52</v>
      </c>
      <c r="AB3" s="2" t="str">
        <f t="shared" si="2"/>
        <v>🟠 Moderada (10-20 km)</v>
      </c>
      <c r="AC3" s="2" t="str" cm="1">
        <f t="array" ref="AC3">INDEX(PARADEROS_VALIDOS!$C$2:$C$68,MATCH(MIN(6371*ACOS(COS(RADIANS(Y3))*COS(RADIANS(PARADEROS_VALIDOS!$E$2:$E$68))*COS(RADIANS(PARADEROS_VALIDOS!$F$2:$F$68)-RADIANS(Z3))+SIN(RADIANS(Y3))*SIN(RADIANS(PARADEROS_VALIDOS!$E$2:$E$68)))),6371*ACOS(COS(RADIANS(Y3))*COS(RADIANS(PARADEROS_VALIDOS!$E$2:$E$68))*COS(RADIANS(PARADEROS_VALIDOS!$F$2:$F$68)-RADIANS(Z3))+SIN(RADIANS(Y3))*SIN(RADIANS(PARADEROS_VALIDOS!$E$2:$E$68))),0))</f>
        <v>Paradero San Juan</v>
      </c>
      <c r="AD3" s="2" t="str">
        <f>IFERROR(INDEX(PARADEROS_VALIDOS!$A$2:$A$68,MATCH(AC3,PARADEROS_VALIDOS!$C$2:$C$68,0)),"")</f>
        <v>RUTA 5B</v>
      </c>
      <c r="AE3" s="33" cm="1">
        <f t="array" ref="AE3">ROUND(MIN(6371*ACOS(COS(RADIANS(Y3))*COS(RADIANS(PARADEROS_VALIDOS!$E$2:$E$68))*COS(RADIANS(PARADEROS_VALIDOS!$F$2:$F$68)-RADIANS(Z3))+SIN(RADIANS(Y3))*SIN(RADIANS(PARADEROS_VALIDOS!$E$2:$E$68)))),2)</f>
        <v>2.34</v>
      </c>
      <c r="AF3" s="2" t="str">
        <f t="shared" si="3"/>
        <v>🟡 Cerca (1-3 km)</v>
      </c>
      <c r="AG3" s="2"/>
      <c r="AH3" s="2"/>
      <c r="AI3" s="51">
        <v>-11.997563</v>
      </c>
      <c r="AJ3" s="51">
        <v>-76.900062000000005</v>
      </c>
      <c r="AK3" s="2" t="str">
        <f>IFERROR(VLOOKUP(H3,tdcargo[],2,FALSE),"DESCONOCIDO")</f>
        <v>OPERARIO</v>
      </c>
    </row>
    <row r="4" spans="1:37" x14ac:dyDescent="0.35">
      <c r="A4" s="2" t="s">
        <v>3268</v>
      </c>
      <c r="B4" s="2" t="s">
        <v>3269</v>
      </c>
      <c r="C4" s="2" t="s">
        <v>295</v>
      </c>
      <c r="D4" s="2" t="s">
        <v>3270</v>
      </c>
      <c r="E4" s="2">
        <v>22</v>
      </c>
      <c r="F4" s="2" t="s">
        <v>3255</v>
      </c>
      <c r="G4" s="2">
        <v>20511989</v>
      </c>
      <c r="H4" s="2" t="s">
        <v>1971</v>
      </c>
      <c r="I4" s="3">
        <v>45908</v>
      </c>
      <c r="J4" s="2" t="s">
        <v>31</v>
      </c>
      <c r="K4" s="3" t="s">
        <v>1968</v>
      </c>
      <c r="L4" s="2" t="s">
        <v>3271</v>
      </c>
      <c r="M4" s="2" t="s">
        <v>3272</v>
      </c>
      <c r="N4" s="2" t="s">
        <v>34</v>
      </c>
      <c r="O4" s="2" t="s">
        <v>1017</v>
      </c>
      <c r="P4" s="2" t="s">
        <v>36</v>
      </c>
      <c r="Q4" s="2" t="s">
        <v>3273</v>
      </c>
      <c r="R4" s="2" t="s">
        <v>3274</v>
      </c>
      <c r="S4" s="2" t="s">
        <v>37</v>
      </c>
      <c r="T4" s="2" t="s">
        <v>37</v>
      </c>
      <c r="U4" s="2" t="s">
        <v>76</v>
      </c>
      <c r="V4" s="3">
        <v>45908</v>
      </c>
      <c r="W4" s="2" t="s">
        <v>39</v>
      </c>
      <c r="X4" s="2" t="str">
        <f t="shared" si="0"/>
        <v>Avenida Cajamarquilla Hubert Lanssier, Lurigancho, Lima, Lima, Perú</v>
      </c>
      <c r="Y4" s="22">
        <v>-12.022152999999999</v>
      </c>
      <c r="Z4" s="22">
        <v>-76.993319900000003</v>
      </c>
      <c r="AA4" s="33">
        <f t="shared" si="1"/>
        <v>10.5</v>
      </c>
      <c r="AB4" s="2" t="str">
        <f t="shared" si="2"/>
        <v>🟠 Moderada (10-20 km)</v>
      </c>
      <c r="AC4" s="2" t="str" cm="1">
        <f t="array" ref="AC4">INDEX(PARADEROS_VALIDOS!$C$2:$C$68,MATCH(MIN(6371*ACOS(COS(RADIANS(Y4))*COS(RADIANS(PARADEROS_VALIDOS!$E$2:$E$68))*COS(RADIANS(PARADEROS_VALIDOS!$F$2:$F$68)-RADIANS(Z4))+SIN(RADIANS(Y4))*SIN(RADIANS(PARADEROS_VALIDOS!$E$2:$E$68)))),6371*ACOS(COS(RADIANS(Y4))*COS(RADIANS(PARADEROS_VALIDOS!$E$2:$E$68))*COS(RADIANS(PARADEROS_VALIDOS!$F$2:$F$68)-RADIANS(Z4))+SIN(RADIANS(Y4))*SIN(RADIANS(PARADEROS_VALIDOS!$E$2:$E$68))),0))</f>
        <v>Puente Nuevo (Av. Chinchaysuyo &amp; Av. Malecón Checa)</v>
      </c>
      <c r="AD4" s="2" t="str">
        <f>IFERROR(INDEX(PARADEROS_VALIDOS!$A$2:$A$68,MATCH(AC4,PARADEROS_VALIDOS!$C$2:$C$68,0)),"")</f>
        <v>RUTA 6C</v>
      </c>
      <c r="AE4" s="33" cm="1">
        <f t="array" ref="AE4">ROUND(MIN(6371*ACOS(COS(RADIANS(Y4))*COS(RADIANS(PARADEROS_VALIDOS!$E$2:$E$68))*COS(RADIANS(PARADEROS_VALIDOS!$F$2:$F$68)-RADIANS(Z4))+SIN(RADIANS(Y4))*SIN(RADIANS(PARADEROS_VALIDOS!$E$2:$E$68)))),2)</f>
        <v>0.72</v>
      </c>
      <c r="AF4" s="2" t="str">
        <f t="shared" si="3"/>
        <v>🟢 Muy Cerca (0-1 km)</v>
      </c>
      <c r="AG4" s="2"/>
      <c r="AH4" s="2"/>
      <c r="AI4" s="51">
        <v>-11.997563</v>
      </c>
      <c r="AJ4" s="51">
        <v>-76.900062000000005</v>
      </c>
      <c r="AK4" s="2" t="str">
        <f>IFERROR(VLOOKUP(H4,tdcargo[],2,FALSE),"DESCONOCIDO")</f>
        <v>OPERARIO</v>
      </c>
    </row>
    <row r="5" spans="1:37" x14ac:dyDescent="0.35">
      <c r="A5" s="2" t="s">
        <v>3275</v>
      </c>
      <c r="B5" s="2" t="s">
        <v>3276</v>
      </c>
      <c r="C5" s="2" t="s">
        <v>3277</v>
      </c>
      <c r="D5" s="2" t="s">
        <v>1821</v>
      </c>
      <c r="E5" s="2">
        <v>20</v>
      </c>
      <c r="F5" s="2" t="s">
        <v>3255</v>
      </c>
      <c r="G5" s="2">
        <v>20508024</v>
      </c>
      <c r="H5" s="2" t="s">
        <v>1971</v>
      </c>
      <c r="I5" s="3">
        <v>46045</v>
      </c>
      <c r="J5" s="2" t="s">
        <v>31</v>
      </c>
      <c r="K5" s="3" t="s">
        <v>1968</v>
      </c>
      <c r="L5" s="2" t="s">
        <v>3278</v>
      </c>
      <c r="M5" s="2" t="s">
        <v>3279</v>
      </c>
      <c r="N5" s="2" t="s">
        <v>36</v>
      </c>
      <c r="O5" s="2" t="s">
        <v>3280</v>
      </c>
      <c r="P5" s="2" t="s">
        <v>36</v>
      </c>
      <c r="Q5" s="2" t="s">
        <v>3281</v>
      </c>
      <c r="R5" s="2" t="s">
        <v>3282</v>
      </c>
      <c r="S5" s="2" t="s">
        <v>37</v>
      </c>
      <c r="T5" s="2" t="s">
        <v>37</v>
      </c>
      <c r="U5" s="2" t="s">
        <v>118</v>
      </c>
      <c r="V5" s="3">
        <v>46045</v>
      </c>
      <c r="W5" s="2" t="s">
        <v>135</v>
      </c>
      <c r="X5" s="2" t="str">
        <f t="shared" si="0"/>
        <v>Mirasol De Huampani MIRASOL DE HUAMPANI, Chaclacayo, Lima, Lima, Perú</v>
      </c>
      <c r="Y5" s="22">
        <v>-11.973605299999999</v>
      </c>
      <c r="Z5" s="22">
        <v>-76.8083788</v>
      </c>
      <c r="AA5" s="33">
        <f t="shared" si="1"/>
        <v>10.32</v>
      </c>
      <c r="AB5" s="2" t="str">
        <f t="shared" si="2"/>
        <v>🟠 Moderada (10-20 km)</v>
      </c>
      <c r="AC5" s="2" t="str" cm="1">
        <f t="array" ref="AC5">INDEX(PARADEROS_VALIDOS!$C$2:$C$68,MATCH(MIN(6371*ACOS(COS(RADIANS(Y5))*COS(RADIANS(PARADEROS_VALIDOS!$E$2:$E$68))*COS(RADIANS(PARADEROS_VALIDOS!$F$2:$F$68)-RADIANS(Z5))+SIN(RADIANS(Y5))*SIN(RADIANS(PARADEROS_VALIDOS!$E$2:$E$68)))),6371*ACOS(COS(RADIANS(Y5))*COS(RADIANS(PARADEROS_VALIDOS!$E$2:$E$68))*COS(RADIANS(PARADEROS_VALIDOS!$F$2:$F$68)-RADIANS(Z5))+SIN(RADIANS(Y5))*SIN(RADIANS(PARADEROS_VALIDOS!$E$2:$E$68))),0))</f>
        <v>Entrada Ñaña</v>
      </c>
      <c r="AD5" s="2" t="str">
        <f>IFERROR(INDEX(PARADEROS_VALIDOS!$A$2:$A$68,MATCH(AC5,PARADEROS_VALIDOS!$C$2:$C$68,0)),"")</f>
        <v>RUTA 5A</v>
      </c>
      <c r="AE5" s="33" cm="1">
        <f t="array" ref="AE5">ROUND(MIN(6371*ACOS(COS(RADIANS(Y5))*COS(RADIANS(PARADEROS_VALIDOS!$E$2:$E$68))*COS(RADIANS(PARADEROS_VALIDOS!$F$2:$F$68)-RADIANS(Z5))+SIN(RADIANS(Y5))*SIN(RADIANS(PARADEROS_VALIDOS!$E$2:$E$68)))),2)</f>
        <v>2.0499999999999998</v>
      </c>
      <c r="AF5" s="2" t="str">
        <f t="shared" si="3"/>
        <v>🟡 Cerca (1-3 km)</v>
      </c>
      <c r="AG5" s="2"/>
      <c r="AH5" s="2"/>
      <c r="AI5" s="51">
        <v>-11.997563</v>
      </c>
      <c r="AJ5" s="51">
        <v>-76.900062000000005</v>
      </c>
      <c r="AK5" s="2" t="str">
        <f>IFERROR(VLOOKUP(H5,tdcargo[],2,FALSE),"DESCONOCIDO")</f>
        <v>OPERARIO</v>
      </c>
    </row>
    <row r="6" spans="1:37" x14ac:dyDescent="0.35">
      <c r="A6" s="2" t="s">
        <v>3283</v>
      </c>
      <c r="B6" s="2" t="s">
        <v>3284</v>
      </c>
      <c r="C6" s="2" t="s">
        <v>3285</v>
      </c>
      <c r="D6" s="2" t="s">
        <v>3286</v>
      </c>
      <c r="E6" s="2">
        <v>25</v>
      </c>
      <c r="F6" s="2" t="s">
        <v>3255</v>
      </c>
      <c r="G6" s="2">
        <v>20511999</v>
      </c>
      <c r="H6" s="2" t="s">
        <v>2031</v>
      </c>
      <c r="I6" s="3">
        <v>46055</v>
      </c>
      <c r="J6" s="2" t="s">
        <v>31</v>
      </c>
      <c r="K6" s="3" t="s">
        <v>1968</v>
      </c>
      <c r="L6" s="2" t="s">
        <v>3287</v>
      </c>
      <c r="M6" s="2" t="s">
        <v>3288</v>
      </c>
      <c r="N6" s="2" t="s">
        <v>148</v>
      </c>
      <c r="O6" s="2" t="s">
        <v>3289</v>
      </c>
      <c r="P6" s="2" t="s">
        <v>36</v>
      </c>
      <c r="Q6" s="2" t="s">
        <v>3290</v>
      </c>
      <c r="R6" s="2" t="s">
        <v>3291</v>
      </c>
      <c r="S6" s="2" t="s">
        <v>37</v>
      </c>
      <c r="T6" s="2" t="s">
        <v>37</v>
      </c>
      <c r="U6" s="2" t="s">
        <v>57</v>
      </c>
      <c r="V6" s="3">
        <v>46055</v>
      </c>
      <c r="W6" s="2" t="s">
        <v>135</v>
      </c>
      <c r="X6" s="2" t="str">
        <f t="shared" si="0"/>
        <v>Pasaje Jorge Chavez LOS PROGRESISTAS B, Ate, Lima, Lima, Perú</v>
      </c>
      <c r="Y6" s="22">
        <v>-12.0361788</v>
      </c>
      <c r="Z6" s="22">
        <v>-76.906395099999997</v>
      </c>
      <c r="AA6" s="33">
        <f t="shared" si="1"/>
        <v>4.3499999999999996</v>
      </c>
      <c r="AB6" s="2" t="str">
        <f t="shared" si="2"/>
        <v>🟢 Muy Cerca (0-5 km)</v>
      </c>
      <c r="AC6" s="2" t="str" cm="1">
        <f t="array" ref="AC6">INDEX(PARADEROS_VALIDOS!$C$2:$C$68,MATCH(MIN(6371*ACOS(COS(RADIANS(Y6))*COS(RADIANS(PARADEROS_VALIDOS!$E$2:$E$68))*COS(RADIANS(PARADEROS_VALIDOS!$F$2:$F$68)-RADIANS(Z6))+SIN(RADIANS(Y6))*SIN(RADIANS(PARADEROS_VALIDOS!$E$2:$E$68)))),6371*ACOS(COS(RADIANS(Y6))*COS(RADIANS(PARADEROS_VALIDOS!$E$2:$E$68))*COS(RADIANS(PARADEROS_VALIDOS!$F$2:$F$68)-RADIANS(Z6))+SIN(RADIANS(Y6))*SIN(RADIANS(PARADEROS_VALIDOS!$E$2:$E$68))),0))</f>
        <v>Paradero Esperanza</v>
      </c>
      <c r="AD6" s="2" t="str">
        <f>IFERROR(INDEX(PARADEROS_VALIDOS!$A$2:$A$68,MATCH(AC6,PARADEROS_VALIDOS!$C$2:$C$68,0)),"")</f>
        <v>RUTA 4B</v>
      </c>
      <c r="AE6" s="33" cm="1">
        <f t="array" ref="AE6">ROUND(MIN(6371*ACOS(COS(RADIANS(Y6))*COS(RADIANS(PARADEROS_VALIDOS!$E$2:$E$68))*COS(RADIANS(PARADEROS_VALIDOS!$F$2:$F$68)-RADIANS(Z6))+SIN(RADIANS(Y6))*SIN(RADIANS(PARADEROS_VALIDOS!$E$2:$E$68)))),2)</f>
        <v>1.6</v>
      </c>
      <c r="AF6" s="2" t="str">
        <f t="shared" si="3"/>
        <v>🟡 Cerca (1-3 km)</v>
      </c>
      <c r="AG6" s="2"/>
      <c r="AH6" s="2"/>
      <c r="AI6" s="51">
        <v>-11.997563</v>
      </c>
      <c r="AJ6" s="51">
        <v>-76.900062000000005</v>
      </c>
      <c r="AK6" s="2" t="str">
        <f>IFERROR(VLOOKUP(H6,tdcargo[],2,FALSE),"DESCONOCIDO")</f>
        <v>STAFF</v>
      </c>
    </row>
    <row r="7" spans="1:37" x14ac:dyDescent="0.35">
      <c r="A7" s="2" t="s">
        <v>3292</v>
      </c>
      <c r="B7" s="2" t="s">
        <v>3293</v>
      </c>
      <c r="C7" s="2" t="s">
        <v>1561</v>
      </c>
      <c r="D7" s="2" t="s">
        <v>3294</v>
      </c>
      <c r="E7" s="2">
        <v>35</v>
      </c>
      <c r="F7" s="2" t="s">
        <v>3255</v>
      </c>
      <c r="G7" s="2">
        <v>20511998</v>
      </c>
      <c r="H7" s="2" t="s">
        <v>2130</v>
      </c>
      <c r="I7" s="3">
        <v>43409</v>
      </c>
      <c r="J7" s="2" t="s">
        <v>31</v>
      </c>
      <c r="K7" s="3" t="s">
        <v>1968</v>
      </c>
      <c r="L7" s="2" t="s">
        <v>3287</v>
      </c>
      <c r="M7" s="2" t="s">
        <v>3288</v>
      </c>
      <c r="N7" s="2" t="s">
        <v>34</v>
      </c>
      <c r="O7" s="2" t="s">
        <v>3295</v>
      </c>
      <c r="P7" s="2" t="s">
        <v>186</v>
      </c>
      <c r="Q7" s="2" t="s">
        <v>580</v>
      </c>
      <c r="R7" s="2" t="s">
        <v>3291</v>
      </c>
      <c r="S7" s="2" t="s">
        <v>37</v>
      </c>
      <c r="T7" s="2" t="s">
        <v>37</v>
      </c>
      <c r="U7" s="2" t="s">
        <v>57</v>
      </c>
      <c r="V7" s="3">
        <v>43409</v>
      </c>
      <c r="W7" s="2" t="s">
        <v>48</v>
      </c>
      <c r="X7" s="2" t="str">
        <f t="shared" si="0"/>
        <v>Avenida Nicolaz Ayllon, Urb. Urbanización Santa Clara, Ate, Lima, Lima, Perú</v>
      </c>
      <c r="Y7" s="22">
        <v>-12.0149948</v>
      </c>
      <c r="Z7" s="22">
        <v>-76.886318099999997</v>
      </c>
      <c r="AA7" s="33">
        <f t="shared" si="1"/>
        <v>2.4500000000000002</v>
      </c>
      <c r="AB7" s="2" t="str">
        <f t="shared" si="2"/>
        <v>🟢 Muy Cerca (0-5 km)</v>
      </c>
      <c r="AC7" s="2" t="str" cm="1">
        <f t="array" ref="AC7">INDEX(PARADEROS_VALIDOS!$C$2:$C$68,MATCH(MIN(6371*ACOS(COS(RADIANS(Y7))*COS(RADIANS(PARADEROS_VALIDOS!$E$2:$E$68))*COS(RADIANS(PARADEROS_VALIDOS!$F$2:$F$68)-RADIANS(Z7))+SIN(RADIANS(Y7))*SIN(RADIANS(PARADEROS_VALIDOS!$E$2:$E$68)))),6371*ACOS(COS(RADIANS(Y7))*COS(RADIANS(PARADEROS_VALIDOS!$E$2:$E$68))*COS(RADIANS(PARADEROS_VALIDOS!$F$2:$F$68)-RADIANS(Z7))+SIN(RADIANS(Y7))*SIN(RADIANS(PARADEROS_VALIDOS!$E$2:$E$68))),0))</f>
        <v>Paradero Sta. Clara</v>
      </c>
      <c r="AD7" s="2" t="str">
        <f>IFERROR(INDEX(PARADEROS_VALIDOS!$A$2:$A$68,MATCH(AC7,PARADEROS_VALIDOS!$C$2:$C$68,0)),"")</f>
        <v>RUTA 5C</v>
      </c>
      <c r="AE7" s="33" cm="1">
        <f t="array" ref="AE7">ROUND(MIN(6371*ACOS(COS(RADIANS(Y7))*COS(RADIANS(PARADEROS_VALIDOS!$E$2:$E$68))*COS(RADIANS(PARADEROS_VALIDOS!$F$2:$F$68)-RADIANS(Z7))+SIN(RADIANS(Y7))*SIN(RADIANS(PARADEROS_VALIDOS!$E$2:$E$68)))),2)</f>
        <v>0.12</v>
      </c>
      <c r="AF7" s="2" t="str">
        <f t="shared" si="3"/>
        <v>🟢 Muy Cerca (0-1 km)</v>
      </c>
      <c r="AG7" s="2"/>
      <c r="AH7" s="2"/>
      <c r="AI7" s="51">
        <v>-11.997563</v>
      </c>
      <c r="AJ7" s="51">
        <v>-76.900062000000005</v>
      </c>
      <c r="AK7" s="2" t="str">
        <f>IFERROR(VLOOKUP(H7,tdcargo[],2,FALSE),"DESCONOCIDO")</f>
        <v>STAFF</v>
      </c>
    </row>
    <row r="8" spans="1:37" x14ac:dyDescent="0.35">
      <c r="A8" s="2" t="s">
        <v>3296</v>
      </c>
      <c r="B8" s="2" t="s">
        <v>876</v>
      </c>
      <c r="C8" s="2" t="s">
        <v>3297</v>
      </c>
      <c r="D8" s="2" t="s">
        <v>3298</v>
      </c>
      <c r="E8" s="2">
        <v>31</v>
      </c>
      <c r="F8" s="2" t="s">
        <v>3255</v>
      </c>
      <c r="G8" s="2">
        <v>20508061</v>
      </c>
      <c r="H8" s="2" t="s">
        <v>1971</v>
      </c>
      <c r="I8" s="3">
        <v>46034</v>
      </c>
      <c r="J8" s="2" t="s">
        <v>31</v>
      </c>
      <c r="K8" s="3" t="s">
        <v>1968</v>
      </c>
      <c r="L8" s="2" t="s">
        <v>3299</v>
      </c>
      <c r="M8" s="2" t="s">
        <v>3300</v>
      </c>
      <c r="N8" s="2" t="s">
        <v>36</v>
      </c>
      <c r="O8" s="2" t="s">
        <v>3301</v>
      </c>
      <c r="P8" s="2" t="s">
        <v>36</v>
      </c>
      <c r="Q8" s="2" t="s">
        <v>1968</v>
      </c>
      <c r="R8" s="2" t="s">
        <v>3291</v>
      </c>
      <c r="S8" s="2" t="s">
        <v>37</v>
      </c>
      <c r="T8" s="2" t="s">
        <v>37</v>
      </c>
      <c r="U8" s="2" t="s">
        <v>57</v>
      </c>
      <c r="V8" s="3">
        <v>46034</v>
      </c>
      <c r="W8" s="2" t="s">
        <v>135</v>
      </c>
      <c r="X8" s="2" t="str">
        <f t="shared" si="0"/>
        <v>Los Hijos De Huaycan, Ate, Lima, Lima, Perú</v>
      </c>
      <c r="Y8" s="22">
        <v>-12.022281</v>
      </c>
      <c r="Z8" s="22">
        <v>-76.817205000000001</v>
      </c>
      <c r="AA8" s="33">
        <f t="shared" si="1"/>
        <v>9.42</v>
      </c>
      <c r="AB8" s="2" t="str">
        <f t="shared" si="2"/>
        <v>🟡 Cerca (5-10 km)</v>
      </c>
      <c r="AC8" s="2" t="str" cm="1">
        <f t="array" ref="AC8">INDEX(PARADEROS_VALIDOS!$C$2:$C$68,MATCH(MIN(6371*ACOS(COS(RADIANS(Y8))*COS(RADIANS(PARADEROS_VALIDOS!$E$2:$E$68))*COS(RADIANS(PARADEROS_VALIDOS!$F$2:$F$68)-RADIANS(Z8))+SIN(RADIANS(Y8))*SIN(RADIANS(PARADEROS_VALIDOS!$E$2:$E$68)))),6371*ACOS(COS(RADIANS(Y8))*COS(RADIANS(PARADEROS_VALIDOS!$E$2:$E$68))*COS(RADIANS(PARADEROS_VALIDOS!$F$2:$F$68)-RADIANS(Z8))+SIN(RADIANS(Y8))*SIN(RADIANS(PARADEROS_VALIDOS!$E$2:$E$68))),0))</f>
        <v>Paradero Aurora</v>
      </c>
      <c r="AD8" s="2" t="str">
        <f>IFERROR(INDEX(PARADEROS_VALIDOS!$A$2:$A$68,MATCH(AC8,PARADEROS_VALIDOS!$C$2:$C$68,0)),"")</f>
        <v>RUTA 3</v>
      </c>
      <c r="AE8" s="33" cm="1">
        <f t="array" ref="AE8">ROUND(MIN(6371*ACOS(COS(RADIANS(Y8))*COS(RADIANS(PARADEROS_VALIDOS!$E$2:$E$68))*COS(RADIANS(PARADEROS_VALIDOS!$F$2:$F$68)-RADIANS(Z8))+SIN(RADIANS(Y8))*SIN(RADIANS(PARADEROS_VALIDOS!$E$2:$E$68)))),2)</f>
        <v>0.71</v>
      </c>
      <c r="AF8" s="2" t="str">
        <f t="shared" si="3"/>
        <v>🟢 Muy Cerca (0-1 km)</v>
      </c>
      <c r="AG8" s="2"/>
      <c r="AH8" s="2"/>
      <c r="AI8" s="51">
        <v>-11.997563</v>
      </c>
      <c r="AJ8" s="51">
        <v>-76.900062000000005</v>
      </c>
      <c r="AK8" s="2" t="str">
        <f>IFERROR(VLOOKUP(H8,tdcargo[],2,FALSE),"DESCONOCIDO")</f>
        <v>OPERARIO</v>
      </c>
    </row>
    <row r="9" spans="1:37" x14ac:dyDescent="0.35">
      <c r="A9" s="2" t="s">
        <v>3302</v>
      </c>
      <c r="B9" s="2" t="s">
        <v>3303</v>
      </c>
      <c r="C9" s="2" t="s">
        <v>87</v>
      </c>
      <c r="D9" s="2" t="s">
        <v>445</v>
      </c>
      <c r="E9" s="2">
        <v>27</v>
      </c>
      <c r="F9" s="2" t="s">
        <v>3255</v>
      </c>
      <c r="G9" s="2">
        <v>20507981</v>
      </c>
      <c r="H9" s="2" t="s">
        <v>1971</v>
      </c>
      <c r="I9" s="3">
        <v>46097</v>
      </c>
      <c r="J9" s="2" t="s">
        <v>31</v>
      </c>
      <c r="K9" s="3" t="s">
        <v>1968</v>
      </c>
      <c r="L9" s="2" t="s">
        <v>3256</v>
      </c>
      <c r="M9" s="2" t="s">
        <v>3257</v>
      </c>
      <c r="N9" s="2" t="s">
        <v>82</v>
      </c>
      <c r="O9" s="2" t="s">
        <v>3304</v>
      </c>
      <c r="P9" s="2" t="s">
        <v>36</v>
      </c>
      <c r="Q9" s="2" t="s">
        <v>1286</v>
      </c>
      <c r="R9" s="2" t="s">
        <v>3274</v>
      </c>
      <c r="S9" s="2" t="s">
        <v>37</v>
      </c>
      <c r="T9" s="2" t="s">
        <v>37</v>
      </c>
      <c r="U9" s="2" t="s">
        <v>76</v>
      </c>
      <c r="V9" s="3">
        <v>46097</v>
      </c>
      <c r="W9" s="2" t="s">
        <v>135</v>
      </c>
      <c r="X9" s="2" t="str">
        <f t="shared" si="0"/>
        <v>Calle C.P Virgen Del Carme LA ERA, Lurigancho, Lima, Lima, Perú</v>
      </c>
      <c r="Y9" s="22">
        <v>-11.974058400000001</v>
      </c>
      <c r="Z9" s="22">
        <v>-76.838885300000001</v>
      </c>
      <c r="AA9" s="33">
        <f t="shared" si="1"/>
        <v>7.15</v>
      </c>
      <c r="AB9" s="2" t="str">
        <f t="shared" si="2"/>
        <v>🟡 Cerca (5-10 km)</v>
      </c>
      <c r="AC9" s="2" t="str" cm="1">
        <f t="array" ref="AC9">INDEX(PARADEROS_VALIDOS!$C$2:$C$68,MATCH(MIN(6371*ACOS(COS(RADIANS(Y9))*COS(RADIANS(PARADEROS_VALIDOS!$E$2:$E$68))*COS(RADIANS(PARADEROS_VALIDOS!$F$2:$F$68)-RADIANS(Z9))+SIN(RADIANS(Y9))*SIN(RADIANS(PARADEROS_VALIDOS!$E$2:$E$68)))),6371*ACOS(COS(RADIANS(Y9))*COS(RADIANS(PARADEROS_VALIDOS!$E$2:$E$68))*COS(RADIANS(PARADEROS_VALIDOS!$F$2:$F$68)-RADIANS(Z9))+SIN(RADIANS(Y9))*SIN(RADIANS(PARADEROS_VALIDOS!$E$2:$E$68))),0))</f>
        <v>Entrada Ñaña</v>
      </c>
      <c r="AD9" s="2" t="str">
        <f>IFERROR(INDEX(PARADEROS_VALIDOS!$A$2:$A$68,MATCH(AC9,PARADEROS_VALIDOS!$C$2:$C$68,0)),"")</f>
        <v>RUTA 5A</v>
      </c>
      <c r="AE9" s="33" cm="1">
        <f t="array" ref="AE9">ROUND(MIN(6371*ACOS(COS(RADIANS(Y9))*COS(RADIANS(PARADEROS_VALIDOS!$E$2:$E$68))*COS(RADIANS(PARADEROS_VALIDOS!$F$2:$F$68)-RADIANS(Z9))+SIN(RADIANS(Y9))*SIN(RADIANS(PARADEROS_VALIDOS!$E$2:$E$68)))),2)</f>
        <v>2.79</v>
      </c>
      <c r="AF9" s="2" t="str">
        <f t="shared" si="3"/>
        <v>🟡 Cerca (1-3 km)</v>
      </c>
      <c r="AG9" s="2"/>
      <c r="AH9" s="2"/>
      <c r="AI9" s="51">
        <v>-11.997563</v>
      </c>
      <c r="AJ9" s="51">
        <v>-76.900062000000005</v>
      </c>
      <c r="AK9" s="2" t="str">
        <f>IFERROR(VLOOKUP(H9,tdcargo[],2,FALSE),"DESCONOCIDO")</f>
        <v>OPERARIO</v>
      </c>
    </row>
    <row r="10" spans="1:37" x14ac:dyDescent="0.35">
      <c r="A10" s="2" t="s">
        <v>3305</v>
      </c>
      <c r="B10" s="2" t="s">
        <v>3306</v>
      </c>
      <c r="C10" s="2" t="s">
        <v>213</v>
      </c>
      <c r="D10" s="2" t="s">
        <v>3286</v>
      </c>
      <c r="E10" s="2">
        <v>33</v>
      </c>
      <c r="F10" s="2" t="s">
        <v>3255</v>
      </c>
      <c r="G10" s="2">
        <v>20513944</v>
      </c>
      <c r="H10" s="2" t="s">
        <v>378</v>
      </c>
      <c r="I10" s="3">
        <v>45978</v>
      </c>
      <c r="J10" s="2" t="s">
        <v>31</v>
      </c>
      <c r="K10" s="3" t="s">
        <v>1968</v>
      </c>
      <c r="L10" s="2" t="s">
        <v>3307</v>
      </c>
      <c r="M10" s="2" t="s">
        <v>3308</v>
      </c>
      <c r="N10" s="2" t="s">
        <v>82</v>
      </c>
      <c r="O10" s="2" t="s">
        <v>4603</v>
      </c>
      <c r="P10" s="2" t="s">
        <v>4601</v>
      </c>
      <c r="Q10" s="2" t="s">
        <v>4602</v>
      </c>
      <c r="R10" s="2" t="s">
        <v>3311</v>
      </c>
      <c r="S10" s="2" t="s">
        <v>37</v>
      </c>
      <c r="T10" s="2" t="s">
        <v>37</v>
      </c>
      <c r="U10" s="2" t="s">
        <v>76</v>
      </c>
      <c r="V10" s="3">
        <v>45978</v>
      </c>
      <c r="W10" s="2" t="s">
        <v>135</v>
      </c>
      <c r="X10" s="2" t="str">
        <f t="shared" si="0"/>
        <v>Calle Huanta, MZ F Lote 11, Centro Poblado Huachipa - Cajamarquilla, Lurigancho, Lima, Lima, Perú</v>
      </c>
      <c r="Y10" s="22">
        <v>-12.00666</v>
      </c>
      <c r="Z10" s="22">
        <v>-76.904602999999994</v>
      </c>
      <c r="AA10" s="33">
        <f t="shared" si="1"/>
        <v>1.1299999999999999</v>
      </c>
      <c r="AB10" s="2" t="str">
        <f t="shared" si="2"/>
        <v>🟢 Muy Cerca (0-5 km)</v>
      </c>
      <c r="AC10" s="2" t="str" cm="1">
        <f t="array" ref="AC10">INDEX(PARADEROS_VALIDOS!$C$2:$C$68,MATCH(MIN(6371*ACOS(COS(RADIANS(Y10))*COS(RADIANS(PARADEROS_VALIDOS!$E$2:$E$68))*COS(RADIANS(PARADEROS_VALIDOS!$F$2:$F$68)-RADIANS(Z10))+SIN(RADIANS(Y10))*SIN(RADIANS(PARADEROS_VALIDOS!$E$2:$E$68)))),6371*ACOS(COS(RADIANS(Y10))*COS(RADIANS(PARADEROS_VALIDOS!$E$2:$E$68))*COS(RADIANS(PARADEROS_VALIDOS!$F$2:$F$68)-RADIANS(Z10))+SIN(RADIANS(Y10))*SIN(RADIANS(PARADEROS_VALIDOS!$E$2:$E$68))),0))</f>
        <v>Tottus Huachipa</v>
      </c>
      <c r="AD10" s="2" t="str">
        <f>IFERROR(INDEX(PARADEROS_VALIDOS!$A$2:$A$68,MATCH(AC10,PARADEROS_VALIDOS!$C$2:$C$68,0)),"")</f>
        <v>RUTA 1</v>
      </c>
      <c r="AE10" s="33" cm="1">
        <f t="array" ref="AE10">ROUND(MIN(6371*ACOS(COS(RADIANS(Y10))*COS(RADIANS(PARADEROS_VALIDOS!$E$2:$E$68))*COS(RADIANS(PARADEROS_VALIDOS!$F$2:$F$68)-RADIANS(Z10))+SIN(RADIANS(Y10))*SIN(RADIANS(PARADEROS_VALIDOS!$E$2:$E$68)))),2)</f>
        <v>0.85</v>
      </c>
      <c r="AF10" s="2" t="str">
        <f t="shared" si="3"/>
        <v>🟢 Muy Cerca (0-1 km)</v>
      </c>
      <c r="AG10" s="2"/>
      <c r="AH10" s="2"/>
      <c r="AI10" s="51">
        <v>-11.997563</v>
      </c>
      <c r="AJ10" s="51">
        <v>-76.900062000000005</v>
      </c>
      <c r="AK10" s="2" t="str">
        <f>IFERROR(VLOOKUP(H10,tdcargo[],2,FALSE),"DESCONOCIDO")</f>
        <v>STAFF</v>
      </c>
    </row>
    <row r="11" spans="1:37" x14ac:dyDescent="0.35">
      <c r="A11" s="2" t="s">
        <v>3314</v>
      </c>
      <c r="B11" s="2" t="s">
        <v>3315</v>
      </c>
      <c r="C11" s="2" t="s">
        <v>364</v>
      </c>
      <c r="D11" s="2" t="s">
        <v>3316</v>
      </c>
      <c r="E11" s="2">
        <v>20</v>
      </c>
      <c r="F11" s="2" t="s">
        <v>3255</v>
      </c>
      <c r="G11" s="2">
        <v>20508089</v>
      </c>
      <c r="H11" s="2" t="s">
        <v>1971</v>
      </c>
      <c r="I11" s="3">
        <v>45901</v>
      </c>
      <c r="J11" s="2" t="s">
        <v>31</v>
      </c>
      <c r="K11" s="3" t="s">
        <v>1968</v>
      </c>
      <c r="L11" s="2" t="s">
        <v>3263</v>
      </c>
      <c r="M11" s="2" t="s">
        <v>3264</v>
      </c>
      <c r="N11" s="2" t="s">
        <v>34</v>
      </c>
      <c r="O11" s="2" t="s">
        <v>3317</v>
      </c>
      <c r="P11" s="2" t="s">
        <v>36</v>
      </c>
      <c r="Q11" s="2" t="s">
        <v>322</v>
      </c>
      <c r="R11" s="2" t="s">
        <v>3274</v>
      </c>
      <c r="S11" s="2" t="s">
        <v>37</v>
      </c>
      <c r="T11" s="2" t="s">
        <v>37</v>
      </c>
      <c r="U11" s="2" t="s">
        <v>76</v>
      </c>
      <c r="V11" s="3">
        <v>45901</v>
      </c>
      <c r="W11" s="2" t="s">
        <v>39</v>
      </c>
      <c r="X11" s="2" t="str">
        <f t="shared" si="0"/>
        <v>Avenida Asoc.Viv Proyecto 2 Cerro Camote, Lurigancho, Lima, Lima, Perú</v>
      </c>
      <c r="Y11" s="22">
        <v>-11.966666699999999</v>
      </c>
      <c r="Z11" s="22">
        <v>-76.933333300000001</v>
      </c>
      <c r="AA11" s="33">
        <f t="shared" si="1"/>
        <v>4.99</v>
      </c>
      <c r="AB11" s="2" t="str">
        <f t="shared" si="2"/>
        <v>🟢 Muy Cerca (0-5 km)</v>
      </c>
      <c r="AC11" s="2" t="str" cm="1">
        <f t="array" ref="AC11">INDEX(PARADEROS_VALIDOS!$C$2:$C$68,MATCH(MIN(6371*ACOS(COS(RADIANS(Y11))*COS(RADIANS(PARADEROS_VALIDOS!$E$2:$E$68))*COS(RADIANS(PARADEROS_VALIDOS!$F$2:$F$68)-RADIANS(Z11))+SIN(RADIANS(Y11))*SIN(RADIANS(PARADEROS_VALIDOS!$E$2:$E$68)))),6371*ACOS(COS(RADIANS(Y11))*COS(RADIANS(PARADEROS_VALIDOS!$E$2:$E$68))*COS(RADIANS(PARADEROS_VALIDOS!$F$2:$F$68)-RADIANS(Z11))+SIN(RADIANS(Y11))*SIN(RADIANS(PARADEROS_VALIDOS!$E$2:$E$68))),0))</f>
        <v>Paradero Arco San Antonio</v>
      </c>
      <c r="AD11" s="2" t="str">
        <f>IFERROR(INDEX(PARADEROS_VALIDOS!$A$2:$A$68,MATCH(AC11,PARADEROS_VALIDOS!$C$2:$C$68,0)),"")</f>
        <v>RUTA 2</v>
      </c>
      <c r="AE11" s="33" cm="1">
        <f t="array" ref="AE11">ROUND(MIN(6371*ACOS(COS(RADIANS(Y11))*COS(RADIANS(PARADEROS_VALIDOS!$E$2:$E$68))*COS(RADIANS(PARADEROS_VALIDOS!$F$2:$F$68)-RADIANS(Z11))+SIN(RADIANS(Y11))*SIN(RADIANS(PARADEROS_VALIDOS!$E$2:$E$68)))),2)</f>
        <v>4.4400000000000004</v>
      </c>
      <c r="AF11" s="2" t="str">
        <f t="shared" si="3"/>
        <v>🟠 Moderada (3-5 km)</v>
      </c>
      <c r="AG11" s="2"/>
      <c r="AH11" s="2"/>
      <c r="AI11" s="51">
        <v>-11.997563</v>
      </c>
      <c r="AJ11" s="51">
        <v>-76.900062000000005</v>
      </c>
      <c r="AK11" s="2" t="str">
        <f>IFERROR(VLOOKUP(H11,tdcargo[],2,FALSE),"DESCONOCIDO")</f>
        <v>OPERARIO</v>
      </c>
    </row>
    <row r="12" spans="1:37" x14ac:dyDescent="0.35">
      <c r="A12" s="2" t="s">
        <v>3318</v>
      </c>
      <c r="B12" s="2" t="s">
        <v>3319</v>
      </c>
      <c r="C12" s="2" t="s">
        <v>273</v>
      </c>
      <c r="D12" s="2" t="s">
        <v>51</v>
      </c>
      <c r="E12" s="2">
        <v>23</v>
      </c>
      <c r="F12" s="2" t="s">
        <v>3255</v>
      </c>
      <c r="G12" s="2">
        <v>20511213</v>
      </c>
      <c r="H12" s="2" t="s">
        <v>1971</v>
      </c>
      <c r="I12" s="3">
        <v>46062</v>
      </c>
      <c r="J12" s="2" t="s">
        <v>31</v>
      </c>
      <c r="K12" s="3" t="s">
        <v>1968</v>
      </c>
      <c r="L12" s="2" t="s">
        <v>3256</v>
      </c>
      <c r="M12" s="2" t="s">
        <v>3257</v>
      </c>
      <c r="N12" s="2" t="s">
        <v>82</v>
      </c>
      <c r="O12" s="2" t="s">
        <v>3320</v>
      </c>
      <c r="P12" s="2" t="s">
        <v>36</v>
      </c>
      <c r="Q12" s="2" t="s">
        <v>1278</v>
      </c>
      <c r="R12" s="2" t="s">
        <v>3291</v>
      </c>
      <c r="S12" s="2" t="s">
        <v>37</v>
      </c>
      <c r="T12" s="2" t="s">
        <v>37</v>
      </c>
      <c r="U12" s="2" t="s">
        <v>57</v>
      </c>
      <c r="V12" s="3">
        <v>46062</v>
      </c>
      <c r="W12" s="2" t="s">
        <v>135</v>
      </c>
      <c r="X12" s="2" t="str">
        <f t="shared" si="0"/>
        <v>Calle Av. 15 De Julio A, Ate, Lima, Lima, Perú</v>
      </c>
      <c r="Y12" s="22">
        <v>-12.033799</v>
      </c>
      <c r="Z12" s="22">
        <v>-76.938585500000002</v>
      </c>
      <c r="AA12" s="33">
        <f t="shared" si="1"/>
        <v>5.81</v>
      </c>
      <c r="AB12" s="2" t="str">
        <f t="shared" si="2"/>
        <v>🟡 Cerca (5-10 km)</v>
      </c>
      <c r="AC12" s="2" t="str" cm="1">
        <f t="array" ref="AC12">INDEX(PARADEROS_VALIDOS!$C$2:$C$68,MATCH(MIN(6371*ACOS(COS(RADIANS(Y12))*COS(RADIANS(PARADEROS_VALIDOS!$E$2:$E$68))*COS(RADIANS(PARADEROS_VALIDOS!$F$2:$F$68)-RADIANS(Z12))+SIN(RADIANS(Y12))*SIN(RADIANS(PARADEROS_VALIDOS!$E$2:$E$68)))),6371*ACOS(COS(RADIANS(Y12))*COS(RADIANS(PARADEROS_VALIDOS!$E$2:$E$68))*COS(RADIANS(PARADEROS_VALIDOS!$F$2:$F$68)-RADIANS(Z12))+SIN(RADIANS(Y12))*SIN(RADIANS(PARADEROS_VALIDOS!$E$2:$E$68))),0))</f>
        <v>Real Plaza Puruchuco (Grifo Primax)</v>
      </c>
      <c r="AD12" s="2" t="str">
        <f>IFERROR(INDEX(PARADEROS_VALIDOS!$A$2:$A$68,MATCH(AC12,PARADEROS_VALIDOS!$C$2:$C$68,0)),"")</f>
        <v>RUTA 4A</v>
      </c>
      <c r="AE12" s="33" cm="1">
        <f t="array" ref="AE12">ROUND(MIN(6371*ACOS(COS(RADIANS(Y12))*COS(RADIANS(PARADEROS_VALIDOS!$E$2:$E$68))*COS(RADIANS(PARADEROS_VALIDOS!$F$2:$F$68)-RADIANS(Z12))+SIN(RADIANS(Y12))*SIN(RADIANS(PARADEROS_VALIDOS!$E$2:$E$68)))),2)</f>
        <v>1.1100000000000001</v>
      </c>
      <c r="AF12" s="2" t="str">
        <f t="shared" si="3"/>
        <v>🟡 Cerca (1-3 km)</v>
      </c>
      <c r="AG12" s="2"/>
      <c r="AH12" s="2"/>
      <c r="AI12" s="51">
        <v>-11.997563</v>
      </c>
      <c r="AJ12" s="51">
        <v>-76.900062000000005</v>
      </c>
      <c r="AK12" s="2" t="str">
        <f>IFERROR(VLOOKUP(H12,tdcargo[],2,FALSE),"DESCONOCIDO")</f>
        <v>OPERARIO</v>
      </c>
    </row>
    <row r="13" spans="1:37" x14ac:dyDescent="0.35">
      <c r="A13" s="2" t="s">
        <v>3321</v>
      </c>
      <c r="B13" s="2" t="s">
        <v>3322</v>
      </c>
      <c r="C13" s="2" t="s">
        <v>3323</v>
      </c>
      <c r="D13" s="2" t="s">
        <v>1256</v>
      </c>
      <c r="E13" s="2">
        <v>34</v>
      </c>
      <c r="F13" s="2" t="s">
        <v>3255</v>
      </c>
      <c r="G13" s="2">
        <v>20508101</v>
      </c>
      <c r="H13" s="2" t="s">
        <v>1971</v>
      </c>
      <c r="I13" s="3">
        <v>46055</v>
      </c>
      <c r="J13" s="2" t="s">
        <v>31</v>
      </c>
      <c r="K13" s="3" t="s">
        <v>1968</v>
      </c>
      <c r="L13" s="2" t="s">
        <v>3263</v>
      </c>
      <c r="M13" s="2" t="s">
        <v>3264</v>
      </c>
      <c r="N13" s="2" t="s">
        <v>148</v>
      </c>
      <c r="O13" s="2" t="s">
        <v>3324</v>
      </c>
      <c r="P13" s="2" t="s">
        <v>88</v>
      </c>
      <c r="Q13" s="2" t="s">
        <v>3325</v>
      </c>
      <c r="R13" s="2" t="s">
        <v>3274</v>
      </c>
      <c r="S13" s="2" t="s">
        <v>37</v>
      </c>
      <c r="T13" s="2" t="s">
        <v>37</v>
      </c>
      <c r="U13" s="2" t="s">
        <v>76</v>
      </c>
      <c r="V13" s="3">
        <v>46055</v>
      </c>
      <c r="W13" s="2" t="s">
        <v>135</v>
      </c>
      <c r="X13" s="2" t="str">
        <f t="shared" si="0"/>
        <v>Pasaje MzG Lt11 Encantada, A.H. Asentamiento Humano LA ENCANTADA, Lurigancho, Lima, Lima, Perú</v>
      </c>
      <c r="Y13" s="22">
        <v>-12.009696699999999</v>
      </c>
      <c r="Z13" s="22">
        <v>-76.905361299999996</v>
      </c>
      <c r="AA13" s="33">
        <f t="shared" si="1"/>
        <v>1.47</v>
      </c>
      <c r="AB13" s="2" t="str">
        <f t="shared" si="2"/>
        <v>🟢 Muy Cerca (0-5 km)</v>
      </c>
      <c r="AC13" s="2" t="str" cm="1">
        <f t="array" ref="AC13">INDEX(PARADEROS_VALIDOS!$C$2:$C$68,MATCH(MIN(6371*ACOS(COS(RADIANS(Y13))*COS(RADIANS(PARADEROS_VALIDOS!$E$2:$E$68))*COS(RADIANS(PARADEROS_VALIDOS!$F$2:$F$68)-RADIANS(Z13))+SIN(RADIANS(Y13))*SIN(RADIANS(PARADEROS_VALIDOS!$E$2:$E$68)))),6371*ACOS(COS(RADIANS(Y13))*COS(RADIANS(PARADEROS_VALIDOS!$E$2:$E$68))*COS(RADIANS(PARADEROS_VALIDOS!$F$2:$F$68)-RADIANS(Z13))+SIN(RADIANS(Y13))*SIN(RADIANS(PARADEROS_VALIDOS!$E$2:$E$68))),0))</f>
        <v>Tottus Huachipa</v>
      </c>
      <c r="AD13" s="2" t="str">
        <f>IFERROR(INDEX(PARADEROS_VALIDOS!$A$2:$A$68,MATCH(AC13,PARADEROS_VALIDOS!$C$2:$C$68,0)),"")</f>
        <v>RUTA 1</v>
      </c>
      <c r="AE13" s="33" cm="1">
        <f t="array" ref="AE13">ROUND(MIN(6371*ACOS(COS(RADIANS(Y13))*COS(RADIANS(PARADEROS_VALIDOS!$E$2:$E$68))*COS(RADIANS(PARADEROS_VALIDOS!$F$2:$F$68)-RADIANS(Z13))+SIN(RADIANS(Y13))*SIN(RADIANS(PARADEROS_VALIDOS!$E$2:$E$68)))),2)</f>
        <v>1.18</v>
      </c>
      <c r="AF13" s="2" t="str">
        <f t="shared" si="3"/>
        <v>🟡 Cerca (1-3 km)</v>
      </c>
      <c r="AG13" s="2"/>
      <c r="AH13" s="2"/>
      <c r="AI13" s="51">
        <v>-11.997563</v>
      </c>
      <c r="AJ13" s="51">
        <v>-76.900062000000005</v>
      </c>
      <c r="AK13" s="2" t="str">
        <f>IFERROR(VLOOKUP(H13,tdcargo[],2,FALSE),"DESCONOCIDO")</f>
        <v>OPERARIO</v>
      </c>
    </row>
    <row r="14" spans="1:37" x14ac:dyDescent="0.35">
      <c r="A14" s="2" t="s">
        <v>3326</v>
      </c>
      <c r="B14" s="2" t="s">
        <v>3327</v>
      </c>
      <c r="C14" s="2" t="s">
        <v>3328</v>
      </c>
      <c r="D14" s="2" t="s">
        <v>3329</v>
      </c>
      <c r="E14" s="2">
        <v>24</v>
      </c>
      <c r="F14" s="2" t="s">
        <v>3255</v>
      </c>
      <c r="G14" s="2">
        <v>20515808</v>
      </c>
      <c r="H14" s="2" t="s">
        <v>1971</v>
      </c>
      <c r="I14" s="3">
        <v>46055</v>
      </c>
      <c r="J14" s="2" t="s">
        <v>31</v>
      </c>
      <c r="K14" s="3" t="s">
        <v>1968</v>
      </c>
      <c r="L14" s="2" t="s">
        <v>3256</v>
      </c>
      <c r="M14" s="2" t="s">
        <v>3257</v>
      </c>
      <c r="N14" s="2" t="s">
        <v>82</v>
      </c>
      <c r="O14" s="2" t="s">
        <v>2049</v>
      </c>
      <c r="P14" s="2" t="s">
        <v>186</v>
      </c>
      <c r="Q14" s="2" t="s">
        <v>3330</v>
      </c>
      <c r="R14" s="2" t="s">
        <v>3291</v>
      </c>
      <c r="S14" s="2" t="s">
        <v>37</v>
      </c>
      <c r="T14" s="2" t="s">
        <v>37</v>
      </c>
      <c r="U14" s="2" t="s">
        <v>57</v>
      </c>
      <c r="V14" s="3">
        <v>46055</v>
      </c>
      <c r="W14" s="2" t="s">
        <v>135</v>
      </c>
      <c r="X14" s="2" t="str">
        <f t="shared" si="0"/>
        <v>Calle 31, Urb. Urbanización HIJOS DE APURIMAC, Ate, Lima, Lima, Perú</v>
      </c>
      <c r="Y14" s="22">
        <v>-12.0064992</v>
      </c>
      <c r="Z14" s="22">
        <v>-76.878664799999996</v>
      </c>
      <c r="AA14" s="33">
        <f t="shared" si="1"/>
        <v>2.5299999999999998</v>
      </c>
      <c r="AB14" s="2" t="str">
        <f t="shared" si="2"/>
        <v>🟢 Muy Cerca (0-5 km)</v>
      </c>
      <c r="AC14" s="2" t="str" cm="1">
        <f t="array" ref="AC14">INDEX(PARADEROS_VALIDOS!$C$2:$C$68,MATCH(MIN(6371*ACOS(COS(RADIANS(Y14))*COS(RADIANS(PARADEROS_VALIDOS!$E$2:$E$68))*COS(RADIANS(PARADEROS_VALIDOS!$F$2:$F$68)-RADIANS(Z14))+SIN(RADIANS(Y14))*SIN(RADIANS(PARADEROS_VALIDOS!$E$2:$E$68)))),6371*ACOS(COS(RADIANS(Y14))*COS(RADIANS(PARADEROS_VALIDOS!$E$2:$E$68))*COS(RADIANS(PARADEROS_VALIDOS!$F$2:$F$68)-RADIANS(Z14))+SIN(RADIANS(Y14))*SIN(RADIANS(PARADEROS_VALIDOS!$E$2:$E$68))),0))</f>
        <v>Paradero la Cruz</v>
      </c>
      <c r="AD14" s="2" t="str">
        <f>IFERROR(INDEX(PARADEROS_VALIDOS!$A$2:$A$68,MATCH(AC14,PARADEROS_VALIDOS!$C$2:$C$68,0)),"")</f>
        <v>RUTA 4B</v>
      </c>
      <c r="AE14" s="33" cm="1">
        <f t="array" ref="AE14">ROUND(MIN(6371*ACOS(COS(RADIANS(Y14))*COS(RADIANS(PARADEROS_VALIDOS!$E$2:$E$68))*COS(RADIANS(PARADEROS_VALIDOS!$F$2:$F$68)-RADIANS(Z14))+SIN(RADIANS(Y14))*SIN(RADIANS(PARADEROS_VALIDOS!$E$2:$E$68)))),2)</f>
        <v>1.1499999999999999</v>
      </c>
      <c r="AF14" s="2" t="str">
        <f t="shared" si="3"/>
        <v>🟡 Cerca (1-3 km)</v>
      </c>
      <c r="AG14" s="2"/>
      <c r="AH14" s="2"/>
      <c r="AI14" s="51">
        <v>-11.997563</v>
      </c>
      <c r="AJ14" s="51">
        <v>-76.900062000000005</v>
      </c>
      <c r="AK14" s="2" t="str">
        <f>IFERROR(VLOOKUP(H14,tdcargo[],2,FALSE),"DESCONOCIDO")</f>
        <v>OPERARIO</v>
      </c>
    </row>
    <row r="15" spans="1:37" x14ac:dyDescent="0.35">
      <c r="A15" s="2" t="s">
        <v>3331</v>
      </c>
      <c r="B15" s="2" t="s">
        <v>3332</v>
      </c>
      <c r="C15" s="2" t="s">
        <v>517</v>
      </c>
      <c r="D15" s="2" t="s">
        <v>1577</v>
      </c>
      <c r="E15" s="2">
        <v>25</v>
      </c>
      <c r="F15" s="2" t="s">
        <v>3255</v>
      </c>
      <c r="G15" s="2">
        <v>20508074</v>
      </c>
      <c r="H15" s="2" t="s">
        <v>1971</v>
      </c>
      <c r="I15" s="3">
        <v>44095</v>
      </c>
      <c r="J15" s="2" t="s">
        <v>31</v>
      </c>
      <c r="K15" s="3" t="s">
        <v>1968</v>
      </c>
      <c r="L15" s="2" t="s">
        <v>3299</v>
      </c>
      <c r="M15" s="2" t="s">
        <v>3300</v>
      </c>
      <c r="N15" s="2" t="s">
        <v>53</v>
      </c>
      <c r="O15" s="2" t="s">
        <v>3333</v>
      </c>
      <c r="P15" s="2" t="s">
        <v>66</v>
      </c>
      <c r="Q15" s="2" t="s">
        <v>936</v>
      </c>
      <c r="R15" s="2" t="s">
        <v>3274</v>
      </c>
      <c r="S15" s="2" t="s">
        <v>37</v>
      </c>
      <c r="T15" s="2" t="s">
        <v>37</v>
      </c>
      <c r="U15" s="2" t="s">
        <v>76</v>
      </c>
      <c r="V15" s="3">
        <v>44095</v>
      </c>
      <c r="W15" s="2" t="s">
        <v>48</v>
      </c>
      <c r="X15" s="2" t="str">
        <f t="shared" si="0"/>
        <v>Jirón Huánuco, U.V. Unidad Vecinal Valle El Triunfo, Lurigancho, Lima, Lima, Perú</v>
      </c>
      <c r="Y15" s="22">
        <v>-11.9857522</v>
      </c>
      <c r="Z15" s="22">
        <v>-76.953562599999998</v>
      </c>
      <c r="AA15" s="33">
        <f t="shared" si="1"/>
        <v>5.97</v>
      </c>
      <c r="AB15" s="2" t="str">
        <f t="shared" si="2"/>
        <v>🟡 Cerca (5-10 km)</v>
      </c>
      <c r="AC15" s="2" t="str" cm="1">
        <f t="array" ref="AC15">INDEX(PARADEROS_VALIDOS!$C$2:$C$68,MATCH(MIN(6371*ACOS(COS(RADIANS(Y15))*COS(RADIANS(PARADEROS_VALIDOS!$E$2:$E$68))*COS(RADIANS(PARADEROS_VALIDOS!$F$2:$F$68)-RADIANS(Z15))+SIN(RADIANS(Y15))*SIN(RADIANS(PARADEROS_VALIDOS!$E$2:$E$68)))),6371*ACOS(COS(RADIANS(Y15))*COS(RADIANS(PARADEROS_VALIDOS!$E$2:$E$68))*COS(RADIANS(PARADEROS_VALIDOS!$F$2:$F$68)-RADIANS(Z15))+SIN(RADIANS(Y15))*SIN(RADIANS(PARADEROS_VALIDOS!$E$2:$E$68))),0))</f>
        <v>Paradero Saracoto</v>
      </c>
      <c r="AD15" s="2" t="str">
        <f>IFERROR(INDEX(PARADEROS_VALIDOS!$A$2:$A$68,MATCH(AC15,PARADEROS_VALIDOS!$C$2:$C$68,0)),"")</f>
        <v>RUTA 1</v>
      </c>
      <c r="AE15" s="33" cm="1">
        <f t="array" ref="AE15">ROUND(MIN(6371*ACOS(COS(RADIANS(Y15))*COS(RADIANS(PARADEROS_VALIDOS!$E$2:$E$68))*COS(RADIANS(PARADEROS_VALIDOS!$F$2:$F$68)-RADIANS(Z15))+SIN(RADIANS(Y15))*SIN(RADIANS(PARADEROS_VALIDOS!$E$2:$E$68)))),2)</f>
        <v>4.2300000000000004</v>
      </c>
      <c r="AF15" s="2" t="str">
        <f t="shared" si="3"/>
        <v>🟠 Moderada (3-5 km)</v>
      </c>
      <c r="AG15" s="2"/>
      <c r="AH15" s="2"/>
      <c r="AI15" s="51">
        <v>-11.997563</v>
      </c>
      <c r="AJ15" s="51">
        <v>-76.900062000000005</v>
      </c>
      <c r="AK15" s="2" t="str">
        <f>IFERROR(VLOOKUP(H15,tdcargo[],2,FALSE),"DESCONOCIDO")</f>
        <v>OPERARIO</v>
      </c>
    </row>
    <row r="16" spans="1:37" x14ac:dyDescent="0.35">
      <c r="A16" s="2" t="s">
        <v>3272</v>
      </c>
      <c r="B16" s="2" t="s">
        <v>3334</v>
      </c>
      <c r="C16" s="2" t="s">
        <v>3335</v>
      </c>
      <c r="D16" s="2" t="s">
        <v>43</v>
      </c>
      <c r="E16" s="2">
        <v>39</v>
      </c>
      <c r="F16" s="2" t="s">
        <v>3255</v>
      </c>
      <c r="G16" s="2">
        <v>20508112</v>
      </c>
      <c r="H16" s="2" t="s">
        <v>2130</v>
      </c>
      <c r="I16" s="3">
        <v>45442</v>
      </c>
      <c r="J16" s="2" t="s">
        <v>31</v>
      </c>
      <c r="K16" s="3" t="s">
        <v>1968</v>
      </c>
      <c r="L16" s="2" t="s">
        <v>3336</v>
      </c>
      <c r="M16" s="2" t="s">
        <v>3337</v>
      </c>
      <c r="N16" s="2" t="s">
        <v>53</v>
      </c>
      <c r="O16" s="2" t="s">
        <v>3338</v>
      </c>
      <c r="P16" s="2" t="s">
        <v>36</v>
      </c>
      <c r="Q16" s="2" t="s">
        <v>46</v>
      </c>
      <c r="R16" s="2" t="s">
        <v>3339</v>
      </c>
      <c r="S16" s="2" t="s">
        <v>37</v>
      </c>
      <c r="T16" s="2" t="s">
        <v>37</v>
      </c>
      <c r="U16" s="2" t="s">
        <v>188</v>
      </c>
      <c r="V16" s="3">
        <v>45442</v>
      </c>
      <c r="W16" s="2" t="s">
        <v>48</v>
      </c>
      <c r="X16" s="2" t="str">
        <f t="shared" si="0"/>
        <v>Jirón Italia, La Victoria, Lima, Lima, Perú</v>
      </c>
      <c r="Y16" s="22">
        <v>-12.069504999999999</v>
      </c>
      <c r="Z16" s="22">
        <v>-77.014537500000003</v>
      </c>
      <c r="AA16" s="33">
        <f t="shared" si="1"/>
        <v>14.8</v>
      </c>
      <c r="AB16" s="2" t="str">
        <f t="shared" si="2"/>
        <v>🟠 Moderada (10-20 km)</v>
      </c>
      <c r="AC16" s="2" t="str" cm="1">
        <f t="array" ref="AC16">INDEX(PARADEROS_VALIDOS!$C$2:$C$68,MATCH(MIN(6371*ACOS(COS(RADIANS(Y16))*COS(RADIANS(PARADEROS_VALIDOS!$E$2:$E$68))*COS(RADIANS(PARADEROS_VALIDOS!$F$2:$F$68)-RADIANS(Z16))+SIN(RADIANS(Y16))*SIN(RADIANS(PARADEROS_VALIDOS!$E$2:$E$68)))),6371*ACOS(COS(RADIANS(Y16))*COS(RADIANS(PARADEROS_VALIDOS!$E$2:$E$68))*COS(RADIANS(PARADEROS_VALIDOS!$F$2:$F$68)-RADIANS(Z16))+SIN(RADIANS(Y16))*SIN(RADIANS(PARADEROS_VALIDOS!$E$2:$E$68))),0))</f>
        <v>Paradero Berlín con Javier prado (cruzando el semáforo) aplica solo al ingreso.</v>
      </c>
      <c r="AD16" s="2" t="str">
        <f>IFERROR(INDEX(PARADEROS_VALIDOS!$A$2:$A$68,MATCH(AC16,PARADEROS_VALIDOS!$C$2:$C$68,0)),"")</f>
        <v>RUTA 4A</v>
      </c>
      <c r="AE16" s="33" cm="1">
        <f t="array" ref="AE16">ROUND(MIN(6371*ACOS(COS(RADIANS(Y16))*COS(RADIANS(PARADEROS_VALIDOS!$E$2:$E$68))*COS(RADIANS(PARADEROS_VALIDOS!$F$2:$F$68)-RADIANS(Z16))+SIN(RADIANS(Y16))*SIN(RADIANS(PARADEROS_VALIDOS!$E$2:$E$68)))),2)</f>
        <v>2.3199999999999998</v>
      </c>
      <c r="AF16" s="2" t="str">
        <f t="shared" si="3"/>
        <v>🟡 Cerca (1-3 km)</v>
      </c>
      <c r="AG16" s="2"/>
      <c r="AH16" s="2"/>
      <c r="AI16" s="51">
        <v>-11.997563</v>
      </c>
      <c r="AJ16" s="51">
        <v>-76.900062000000005</v>
      </c>
      <c r="AK16" s="2" t="str">
        <f>IFERROR(VLOOKUP(H16,tdcargo[],2,FALSE),"DESCONOCIDO")</f>
        <v>STAFF</v>
      </c>
    </row>
    <row r="17" spans="1:37" x14ac:dyDescent="0.35">
      <c r="A17" s="2" t="s">
        <v>3340</v>
      </c>
      <c r="B17" s="2" t="s">
        <v>3341</v>
      </c>
      <c r="C17" s="2" t="s">
        <v>3342</v>
      </c>
      <c r="D17" s="2" t="s">
        <v>3343</v>
      </c>
      <c r="E17" s="2">
        <v>21</v>
      </c>
      <c r="F17" s="2" t="s">
        <v>3255</v>
      </c>
      <c r="G17" s="2">
        <v>20508018</v>
      </c>
      <c r="H17" s="2" t="s">
        <v>1971</v>
      </c>
      <c r="I17" s="3">
        <v>45796</v>
      </c>
      <c r="J17" s="2" t="s">
        <v>31</v>
      </c>
      <c r="K17" s="3" t="s">
        <v>1968</v>
      </c>
      <c r="L17" s="2" t="s">
        <v>3344</v>
      </c>
      <c r="M17" s="2" t="s">
        <v>3345</v>
      </c>
      <c r="N17" s="2" t="s">
        <v>36</v>
      </c>
      <c r="O17" s="2" t="s">
        <v>3346</v>
      </c>
      <c r="P17" s="2" t="s">
        <v>36</v>
      </c>
      <c r="Q17" s="2" t="s">
        <v>3347</v>
      </c>
      <c r="R17" s="2" t="s">
        <v>3274</v>
      </c>
      <c r="S17" s="2" t="s">
        <v>37</v>
      </c>
      <c r="T17" s="2" t="s">
        <v>37</v>
      </c>
      <c r="U17" s="2" t="s">
        <v>76</v>
      </c>
      <c r="V17" s="3">
        <v>45796</v>
      </c>
      <c r="W17" s="2" t="s">
        <v>39</v>
      </c>
      <c r="X17" s="2" t="str">
        <f t="shared" si="0"/>
        <v>CERRO CAMOTE VALLE EL TRIUNFO, Lurigancho, Lima, Lima, Perú</v>
      </c>
      <c r="Y17" s="22">
        <v>-11.9846226</v>
      </c>
      <c r="Z17" s="22">
        <v>-76.9520634</v>
      </c>
      <c r="AA17" s="33">
        <f t="shared" si="1"/>
        <v>5.84</v>
      </c>
      <c r="AB17" s="2" t="str">
        <f t="shared" si="2"/>
        <v>🟡 Cerca (5-10 km)</v>
      </c>
      <c r="AC17" s="2" t="str" cm="1">
        <f t="array" ref="AC17">INDEX(PARADEROS_VALIDOS!$C$2:$C$68,MATCH(MIN(6371*ACOS(COS(RADIANS(Y17))*COS(RADIANS(PARADEROS_VALIDOS!$E$2:$E$68))*COS(RADIANS(PARADEROS_VALIDOS!$F$2:$F$68)-RADIANS(Z17))+SIN(RADIANS(Y17))*SIN(RADIANS(PARADEROS_VALIDOS!$E$2:$E$68)))),6371*ACOS(COS(RADIANS(Y17))*COS(RADIANS(PARADEROS_VALIDOS!$E$2:$E$68))*COS(RADIANS(PARADEROS_VALIDOS!$F$2:$F$68)-RADIANS(Z17))+SIN(RADIANS(Y17))*SIN(RADIANS(PARADEROS_VALIDOS!$E$2:$E$68))),0))</f>
        <v>Paradero Saracoto</v>
      </c>
      <c r="AD17" s="2" t="str">
        <f>IFERROR(INDEX(PARADEROS_VALIDOS!$A$2:$A$68,MATCH(AC17,PARADEROS_VALIDOS!$C$2:$C$68,0)),"")</f>
        <v>RUTA 1</v>
      </c>
      <c r="AE17" s="33" cm="1">
        <f t="array" ref="AE17">ROUND(MIN(6371*ACOS(COS(RADIANS(Y17))*COS(RADIANS(PARADEROS_VALIDOS!$E$2:$E$68))*COS(RADIANS(PARADEROS_VALIDOS!$F$2:$F$68)-RADIANS(Z17))+SIN(RADIANS(Y17))*SIN(RADIANS(PARADEROS_VALIDOS!$E$2:$E$68)))),2)</f>
        <v>4.4400000000000004</v>
      </c>
      <c r="AF17" s="2" t="str">
        <f t="shared" si="3"/>
        <v>🟠 Moderada (3-5 km)</v>
      </c>
      <c r="AG17" s="2"/>
      <c r="AH17" s="2"/>
      <c r="AI17" s="51">
        <v>-11.997563</v>
      </c>
      <c r="AJ17" s="51">
        <v>-76.900062000000005</v>
      </c>
      <c r="AK17" s="2" t="str">
        <f>IFERROR(VLOOKUP(H17,tdcargo[],2,FALSE),"DESCONOCIDO")</f>
        <v>OPERARIO</v>
      </c>
    </row>
    <row r="18" spans="1:37" x14ac:dyDescent="0.35">
      <c r="A18" s="2" t="s">
        <v>3348</v>
      </c>
      <c r="B18" s="2" t="s">
        <v>3349</v>
      </c>
      <c r="C18" s="2" t="s">
        <v>945</v>
      </c>
      <c r="D18" s="2" t="s">
        <v>3350</v>
      </c>
      <c r="E18" s="2">
        <v>33</v>
      </c>
      <c r="F18" s="2" t="s">
        <v>3255</v>
      </c>
      <c r="G18" s="2">
        <v>20508036</v>
      </c>
      <c r="H18" s="2" t="s">
        <v>1971</v>
      </c>
      <c r="I18" s="3">
        <v>45481</v>
      </c>
      <c r="J18" s="2" t="s">
        <v>31</v>
      </c>
      <c r="K18" s="3" t="s">
        <v>1968</v>
      </c>
      <c r="L18" s="2" t="s">
        <v>3278</v>
      </c>
      <c r="M18" s="2" t="s">
        <v>3279</v>
      </c>
      <c r="N18" s="2" t="s">
        <v>34</v>
      </c>
      <c r="O18" s="2" t="s">
        <v>1154</v>
      </c>
      <c r="P18" s="2" t="s">
        <v>36</v>
      </c>
      <c r="Q18" s="2" t="s">
        <v>3351</v>
      </c>
      <c r="R18" s="2" t="s">
        <v>3291</v>
      </c>
      <c r="S18" s="2" t="s">
        <v>37</v>
      </c>
      <c r="T18" s="2" t="s">
        <v>37</v>
      </c>
      <c r="U18" s="2" t="s">
        <v>57</v>
      </c>
      <c r="V18" s="3">
        <v>46082</v>
      </c>
      <c r="W18" s="2" t="s">
        <v>39</v>
      </c>
      <c r="X18" s="2" t="str">
        <f t="shared" si="0"/>
        <v>Avenida Amauta Nueva Esperanza, Ate, Lima, Lima, Perú</v>
      </c>
      <c r="Y18" s="22">
        <v>-12.0259518</v>
      </c>
      <c r="Z18" s="22">
        <v>-76.906142599999995</v>
      </c>
      <c r="AA18" s="33">
        <f t="shared" si="1"/>
        <v>3.23</v>
      </c>
      <c r="AB18" s="2" t="str">
        <f t="shared" si="2"/>
        <v>🟢 Muy Cerca (0-5 km)</v>
      </c>
      <c r="AC18" s="2" t="str" cm="1">
        <f t="array" ref="AC18">INDEX(PARADEROS_VALIDOS!$C$2:$C$68,MATCH(MIN(6371*ACOS(COS(RADIANS(Y18))*COS(RADIANS(PARADEROS_VALIDOS!$E$2:$E$68))*COS(RADIANS(PARADEROS_VALIDOS!$F$2:$F$68)-RADIANS(Z18))+SIN(RADIANS(Y18))*SIN(RADIANS(PARADEROS_VALIDOS!$E$2:$E$68)))),6371*ACOS(COS(RADIANS(Y18))*COS(RADIANS(PARADEROS_VALIDOS!$E$2:$E$68))*COS(RADIANS(PARADEROS_VALIDOS!$F$2:$F$68)-RADIANS(Z18))+SIN(RADIANS(Y18))*SIN(RADIANS(PARADEROS_VALIDOS!$E$2:$E$68))),0))</f>
        <v>Paradero Esperanza</v>
      </c>
      <c r="AD18" s="2" t="str">
        <f>IFERROR(INDEX(PARADEROS_VALIDOS!$A$2:$A$68,MATCH(AC18,PARADEROS_VALIDOS!$C$2:$C$68,0)),"")</f>
        <v>RUTA 4B</v>
      </c>
      <c r="AE18" s="33" cm="1">
        <f t="array" ref="AE18">ROUND(MIN(6371*ACOS(COS(RADIANS(Y18))*COS(RADIANS(PARADEROS_VALIDOS!$E$2:$E$68))*COS(RADIANS(PARADEROS_VALIDOS!$F$2:$F$68)-RADIANS(Z18))+SIN(RADIANS(Y18))*SIN(RADIANS(PARADEROS_VALIDOS!$E$2:$E$68)))),2)</f>
        <v>0.47</v>
      </c>
      <c r="AF18" s="2" t="str">
        <f t="shared" si="3"/>
        <v>🟢 Muy Cerca (0-1 km)</v>
      </c>
      <c r="AG18" s="2"/>
      <c r="AH18" s="2"/>
      <c r="AI18" s="51">
        <v>-11.997563</v>
      </c>
      <c r="AJ18" s="51">
        <v>-76.900062000000005</v>
      </c>
      <c r="AK18" s="2" t="str">
        <f>IFERROR(VLOOKUP(H18,tdcargo[],2,FALSE),"DESCONOCIDO")</f>
        <v>OPERARIO</v>
      </c>
    </row>
    <row r="19" spans="1:37" x14ac:dyDescent="0.35">
      <c r="A19" s="2" t="s">
        <v>3352</v>
      </c>
      <c r="B19" s="2" t="s">
        <v>3353</v>
      </c>
      <c r="C19" s="2" t="s">
        <v>3354</v>
      </c>
      <c r="D19" s="2" t="s">
        <v>273</v>
      </c>
      <c r="E19" s="2">
        <v>33</v>
      </c>
      <c r="F19" s="2" t="s">
        <v>3255</v>
      </c>
      <c r="G19" s="2">
        <v>20508111</v>
      </c>
      <c r="H19" s="2" t="s">
        <v>2001</v>
      </c>
      <c r="I19" s="3">
        <v>42492</v>
      </c>
      <c r="J19" s="2" t="s">
        <v>31</v>
      </c>
      <c r="K19" s="3" t="s">
        <v>1968</v>
      </c>
      <c r="L19" s="2" t="s">
        <v>3271</v>
      </c>
      <c r="M19" s="2" t="s">
        <v>3272</v>
      </c>
      <c r="N19" s="2" t="s">
        <v>36</v>
      </c>
      <c r="O19" s="2" t="s">
        <v>495</v>
      </c>
      <c r="P19" s="2" t="s">
        <v>36</v>
      </c>
      <c r="Q19" s="2" t="s">
        <v>495</v>
      </c>
      <c r="R19" s="2" t="s">
        <v>3291</v>
      </c>
      <c r="S19" s="2" t="s">
        <v>37</v>
      </c>
      <c r="T19" s="2" t="s">
        <v>37</v>
      </c>
      <c r="U19" s="2" t="s">
        <v>57</v>
      </c>
      <c r="V19" s="3">
        <v>42492</v>
      </c>
      <c r="W19" s="2" t="s">
        <v>48</v>
      </c>
      <c r="X19" s="2" t="str">
        <f t="shared" si="0"/>
        <v>Ucv 181 Ucv 181, Ate, Lima, Lima, Perú</v>
      </c>
      <c r="Y19" s="22">
        <v>-12.0131783</v>
      </c>
      <c r="Z19" s="22">
        <v>-76.818275400000005</v>
      </c>
      <c r="AA19" s="33">
        <f t="shared" si="1"/>
        <v>9.06</v>
      </c>
      <c r="AB19" s="2" t="str">
        <f t="shared" si="2"/>
        <v>🟡 Cerca (5-10 km)</v>
      </c>
      <c r="AC19" s="2" t="str" cm="1">
        <f t="array" ref="AC19">INDEX(PARADEROS_VALIDOS!$C$2:$C$68,MATCH(MIN(6371*ACOS(COS(RADIANS(Y19))*COS(RADIANS(PARADEROS_VALIDOS!$E$2:$E$68))*COS(RADIANS(PARADEROS_VALIDOS!$F$2:$F$68)-RADIANS(Z19))+SIN(RADIANS(Y19))*SIN(RADIANS(PARADEROS_VALIDOS!$E$2:$E$68)))),6371*ACOS(COS(RADIANS(Y19))*COS(RADIANS(PARADEROS_VALIDOS!$E$2:$E$68))*COS(RADIANS(PARADEROS_VALIDOS!$F$2:$F$68)-RADIANS(Z19))+SIN(RADIANS(Y19))*SIN(RADIANS(PARADEROS_VALIDOS!$E$2:$E$68))),0))</f>
        <v>Paradero Aurora</v>
      </c>
      <c r="AD19" s="2" t="str">
        <f>IFERROR(INDEX(PARADEROS_VALIDOS!$A$2:$A$68,MATCH(AC19,PARADEROS_VALIDOS!$C$2:$C$68,0)),"")</f>
        <v>RUTA 3</v>
      </c>
      <c r="AE19" s="33" cm="1">
        <f t="array" ref="AE19">ROUND(MIN(6371*ACOS(COS(RADIANS(Y19))*COS(RADIANS(PARADEROS_VALIDOS!$E$2:$E$68))*COS(RADIANS(PARADEROS_VALIDOS!$F$2:$F$68)-RADIANS(Z19))+SIN(RADIANS(Y19))*SIN(RADIANS(PARADEROS_VALIDOS!$E$2:$E$68)))),2)</f>
        <v>1.49</v>
      </c>
      <c r="AF19" s="2" t="str">
        <f t="shared" si="3"/>
        <v>🟡 Cerca (1-3 km)</v>
      </c>
      <c r="AG19" s="2"/>
      <c r="AH19" s="2"/>
      <c r="AI19" s="51">
        <v>-11.997563</v>
      </c>
      <c r="AJ19" s="51">
        <v>-76.900062000000005</v>
      </c>
      <c r="AK19" s="2" t="str">
        <f>IFERROR(VLOOKUP(H19,tdcargo[],2,FALSE),"DESCONOCIDO")</f>
        <v>OPERARIO</v>
      </c>
    </row>
    <row r="20" spans="1:37" x14ac:dyDescent="0.35">
      <c r="A20" s="2" t="s">
        <v>3355</v>
      </c>
      <c r="B20" s="2" t="s">
        <v>3356</v>
      </c>
      <c r="C20" s="2" t="s">
        <v>3357</v>
      </c>
      <c r="D20" s="2" t="s">
        <v>1234</v>
      </c>
      <c r="E20" s="2">
        <v>28</v>
      </c>
      <c r="F20" s="2" t="s">
        <v>3255</v>
      </c>
      <c r="G20" s="2">
        <v>20508158</v>
      </c>
      <c r="H20" s="2" t="s">
        <v>237</v>
      </c>
      <c r="I20" s="3">
        <v>43850</v>
      </c>
      <c r="J20" s="2" t="s">
        <v>31</v>
      </c>
      <c r="K20" s="3" t="s">
        <v>1968</v>
      </c>
      <c r="L20" s="2" t="s">
        <v>3336</v>
      </c>
      <c r="M20" s="2" t="s">
        <v>3337</v>
      </c>
      <c r="N20" s="2" t="s">
        <v>36</v>
      </c>
      <c r="O20" s="2" t="s">
        <v>255</v>
      </c>
      <c r="P20" s="2" t="s">
        <v>66</v>
      </c>
      <c r="Q20" s="2" t="s">
        <v>3358</v>
      </c>
      <c r="R20" s="2" t="s">
        <v>3260</v>
      </c>
      <c r="S20" s="2" t="s">
        <v>37</v>
      </c>
      <c r="T20" s="2" t="s">
        <v>37</v>
      </c>
      <c r="U20" s="2" t="s">
        <v>38</v>
      </c>
      <c r="V20" s="3">
        <v>43850</v>
      </c>
      <c r="W20" s="2" t="s">
        <v>48</v>
      </c>
      <c r="X20" s="2" t="str">
        <f t="shared" si="0"/>
        <v>Asociacion, U.V. Unidad Vecinal 3 Cruces Huascar, San Juan De Lurigancho, Lima, Lima, Perú</v>
      </c>
      <c r="Y20" s="22">
        <v>-11.9802214</v>
      </c>
      <c r="Z20" s="22">
        <v>-76.989015600000002</v>
      </c>
      <c r="AA20" s="33">
        <f t="shared" si="1"/>
        <v>9.8699999999999992</v>
      </c>
      <c r="AB20" s="2" t="str">
        <f t="shared" si="2"/>
        <v>🟡 Cerca (5-10 km)</v>
      </c>
      <c r="AC20" s="2" t="str" cm="1">
        <f t="array" ref="AC20">INDEX(PARADEROS_VALIDOS!$C$2:$C$68,MATCH(MIN(6371*ACOS(COS(RADIANS(Y20))*COS(RADIANS(PARADEROS_VALIDOS!$E$2:$E$68))*COS(RADIANS(PARADEROS_VALIDOS!$F$2:$F$68)-RADIANS(Z20))+SIN(RADIANS(Y20))*SIN(RADIANS(PARADEROS_VALIDOS!$E$2:$E$68)))),6371*ACOS(COS(RADIANS(Y20))*COS(RADIANS(PARADEROS_VALIDOS!$E$2:$E$68))*COS(RADIANS(PARADEROS_VALIDOS!$F$2:$F$68)-RADIANS(Z20))+SIN(RADIANS(Y20))*SIN(RADIANS(PARADEROS_VALIDOS!$E$2:$E$68))),0))</f>
        <v>Paradero San Martin</v>
      </c>
      <c r="AD20" s="2" t="str">
        <f>IFERROR(INDEX(PARADEROS_VALIDOS!$A$2:$A$68,MATCH(AC20,PARADEROS_VALIDOS!$C$2:$C$68,0)),"")</f>
        <v>RUTA 6A</v>
      </c>
      <c r="AE20" s="33" cm="1">
        <f t="array" ref="AE20">ROUND(MIN(6371*ACOS(COS(RADIANS(Y20))*COS(RADIANS(PARADEROS_VALIDOS!$E$2:$E$68))*COS(RADIANS(PARADEROS_VALIDOS!$F$2:$F$68)-RADIANS(Z20))+SIN(RADIANS(Y20))*SIN(RADIANS(PARADEROS_VALIDOS!$E$2:$E$68)))),2)</f>
        <v>1.35</v>
      </c>
      <c r="AF20" s="2" t="str">
        <f t="shared" si="3"/>
        <v>🟡 Cerca (1-3 km)</v>
      </c>
      <c r="AG20" s="2"/>
      <c r="AH20" s="2"/>
      <c r="AI20" s="51">
        <v>-11.997563</v>
      </c>
      <c r="AJ20" s="51">
        <v>-76.900062000000005</v>
      </c>
      <c r="AK20" s="2" t="str">
        <f>IFERROR(VLOOKUP(H20,tdcargo[],2,FALSE),"DESCONOCIDO")</f>
        <v>STAFF</v>
      </c>
    </row>
    <row r="21" spans="1:37" x14ac:dyDescent="0.35">
      <c r="A21" s="2" t="s">
        <v>3359</v>
      </c>
      <c r="B21" s="2" t="s">
        <v>3360</v>
      </c>
      <c r="C21" s="2" t="s">
        <v>87</v>
      </c>
      <c r="D21" s="2" t="s">
        <v>848</v>
      </c>
      <c r="E21" s="2">
        <v>21</v>
      </c>
      <c r="F21" s="2" t="s">
        <v>3255</v>
      </c>
      <c r="G21" s="2">
        <v>20508004</v>
      </c>
      <c r="H21" s="2" t="s">
        <v>1971</v>
      </c>
      <c r="I21" s="3">
        <v>45989</v>
      </c>
      <c r="J21" s="2" t="s">
        <v>31</v>
      </c>
      <c r="K21" s="3" t="s">
        <v>1968</v>
      </c>
      <c r="L21" s="2" t="s">
        <v>3344</v>
      </c>
      <c r="M21" s="2" t="s">
        <v>3345</v>
      </c>
      <c r="N21" s="2" t="s">
        <v>36</v>
      </c>
      <c r="O21" s="2" t="s">
        <v>2467</v>
      </c>
      <c r="P21" s="2" t="s">
        <v>609</v>
      </c>
      <c r="Q21" s="2" t="s">
        <v>1596</v>
      </c>
      <c r="R21" s="2" t="s">
        <v>3274</v>
      </c>
      <c r="S21" s="2" t="s">
        <v>37</v>
      </c>
      <c r="T21" s="2" t="s">
        <v>37</v>
      </c>
      <c r="U21" s="2" t="s">
        <v>76</v>
      </c>
      <c r="V21" s="3">
        <v>45989</v>
      </c>
      <c r="W21" s="2" t="s">
        <v>135</v>
      </c>
      <c r="X21" s="2" t="str">
        <f t="shared" si="0"/>
        <v>Los Sauces, P.J. Pueblo Joven NIEVERIA, Lurigancho, Lima, Lima, Perú</v>
      </c>
      <c r="Y21" s="22">
        <v>-11.983333</v>
      </c>
      <c r="Z21" s="22">
        <v>-76.916667000000004</v>
      </c>
      <c r="AA21" s="33">
        <f t="shared" si="1"/>
        <v>2.4</v>
      </c>
      <c r="AB21" s="2" t="str">
        <f t="shared" si="2"/>
        <v>🟢 Muy Cerca (0-5 km)</v>
      </c>
      <c r="AC21" s="2" t="str" cm="1">
        <f t="array" ref="AC21">INDEX(PARADEROS_VALIDOS!$C$2:$C$68,MATCH(MIN(6371*ACOS(COS(RADIANS(Y21))*COS(RADIANS(PARADEROS_VALIDOS!$E$2:$E$68))*COS(RADIANS(PARADEROS_VALIDOS!$F$2:$F$68)-RADIANS(Z21))+SIN(RADIANS(Y21))*SIN(RADIANS(PARADEROS_VALIDOS!$E$2:$E$68)))),6371*ACOS(COS(RADIANS(Y21))*COS(RADIANS(PARADEROS_VALIDOS!$E$2:$E$68))*COS(RADIANS(PARADEROS_VALIDOS!$F$2:$F$68)-RADIANS(Z21))+SIN(RADIANS(Y21))*SIN(RADIANS(PARADEROS_VALIDOS!$E$2:$E$68))),0))</f>
        <v>Paradero Arco San Antonio</v>
      </c>
      <c r="AD21" s="2" t="str">
        <f>IFERROR(INDEX(PARADEROS_VALIDOS!$A$2:$A$68,MATCH(AC21,PARADEROS_VALIDOS!$C$2:$C$68,0)),"")</f>
        <v>RUTA 2</v>
      </c>
      <c r="AE21" s="33" cm="1">
        <f t="array" ref="AE21">ROUND(MIN(6371*ACOS(COS(RADIANS(Y21))*COS(RADIANS(PARADEROS_VALIDOS!$E$2:$E$68))*COS(RADIANS(PARADEROS_VALIDOS!$F$2:$F$68)-RADIANS(Z21))+SIN(RADIANS(Y21))*SIN(RADIANS(PARADEROS_VALIDOS!$E$2:$E$68)))),2)</f>
        <v>1.86</v>
      </c>
      <c r="AF21" s="2" t="str">
        <f t="shared" si="3"/>
        <v>🟡 Cerca (1-3 km)</v>
      </c>
      <c r="AG21" s="2"/>
      <c r="AH21" s="2"/>
      <c r="AI21" s="51">
        <v>-11.997563</v>
      </c>
      <c r="AJ21" s="51">
        <v>-76.900062000000005</v>
      </c>
      <c r="AK21" s="2" t="str">
        <f>IFERROR(VLOOKUP(H21,tdcargo[],2,FALSE),"DESCONOCIDO")</f>
        <v>OPERARIO</v>
      </c>
    </row>
    <row r="22" spans="1:37" x14ac:dyDescent="0.35">
      <c r="A22" s="2" t="s">
        <v>3361</v>
      </c>
      <c r="B22" s="2" t="s">
        <v>3362</v>
      </c>
      <c r="C22" s="2" t="s">
        <v>1540</v>
      </c>
      <c r="D22" s="2" t="s">
        <v>277</v>
      </c>
      <c r="E22" s="2">
        <v>26</v>
      </c>
      <c r="F22" s="2" t="s">
        <v>3255</v>
      </c>
      <c r="G22" s="2">
        <v>20515706</v>
      </c>
      <c r="H22" s="2" t="s">
        <v>3182</v>
      </c>
      <c r="I22" s="3">
        <v>46034</v>
      </c>
      <c r="J22" s="2" t="s">
        <v>31</v>
      </c>
      <c r="K22" s="3" t="s">
        <v>1968</v>
      </c>
      <c r="L22" s="2" t="s">
        <v>3363</v>
      </c>
      <c r="M22" s="2" t="s">
        <v>3364</v>
      </c>
      <c r="N22" s="2" t="s">
        <v>148</v>
      </c>
      <c r="O22" s="2" t="s">
        <v>991</v>
      </c>
      <c r="P22" s="2" t="s">
        <v>36</v>
      </c>
      <c r="Q22" s="2" t="s">
        <v>1968</v>
      </c>
      <c r="R22" s="2" t="s">
        <v>3274</v>
      </c>
      <c r="S22" s="2" t="s">
        <v>37</v>
      </c>
      <c r="T22" s="2" t="s">
        <v>37</v>
      </c>
      <c r="U22" s="2" t="s">
        <v>76</v>
      </c>
      <c r="V22" s="3">
        <v>46034</v>
      </c>
      <c r="W22" s="2" t="s">
        <v>135</v>
      </c>
      <c r="X22" s="2" t="str">
        <f t="shared" si="0"/>
        <v>Pasaje Las Flores, Lurigancho, Lima, Lima, Perú</v>
      </c>
      <c r="Y22" s="22">
        <v>-11.9776945</v>
      </c>
      <c r="Z22" s="22">
        <v>-76.902105199999994</v>
      </c>
      <c r="AA22" s="33">
        <f t="shared" si="1"/>
        <v>2.2200000000000002</v>
      </c>
      <c r="AB22" s="2" t="str">
        <f t="shared" si="2"/>
        <v>🟢 Muy Cerca (0-5 km)</v>
      </c>
      <c r="AC22" s="2" t="str" cm="1">
        <f t="array" ref="AC22">INDEX(PARADEROS_VALIDOS!$C$2:$C$68,MATCH(MIN(6371*ACOS(COS(RADIANS(Y22))*COS(RADIANS(PARADEROS_VALIDOS!$E$2:$E$68))*COS(RADIANS(PARADEROS_VALIDOS!$F$2:$F$68)-RADIANS(Z22))+SIN(RADIANS(Y22))*SIN(RADIANS(PARADEROS_VALIDOS!$E$2:$E$68)))),6371*ACOS(COS(RADIANS(Y22))*COS(RADIANS(PARADEROS_VALIDOS!$E$2:$E$68))*COS(RADIANS(PARADEROS_VALIDOS!$F$2:$F$68)-RADIANS(Z22))+SIN(RADIANS(Y22))*SIN(RADIANS(PARADEROS_VALIDOS!$E$2:$E$68))),0))</f>
        <v>Paradero Arco San Antonio</v>
      </c>
      <c r="AD22" s="2" t="str">
        <f>IFERROR(INDEX(PARADEROS_VALIDOS!$A$2:$A$68,MATCH(AC22,PARADEROS_VALIDOS!$C$2:$C$68,0)),"")</f>
        <v>RUTA 2</v>
      </c>
      <c r="AE22" s="33" cm="1">
        <f t="array" ref="AE22">ROUND(MIN(6371*ACOS(COS(RADIANS(Y22))*COS(RADIANS(PARADEROS_VALIDOS!$E$2:$E$68))*COS(RADIANS(PARADEROS_VALIDOS!$F$2:$F$68)-RADIANS(Z22))+SIN(RADIANS(Y22))*SIN(RADIANS(PARADEROS_VALIDOS!$E$2:$E$68)))),2)</f>
        <v>1.76</v>
      </c>
      <c r="AF22" s="2" t="str">
        <f t="shared" si="3"/>
        <v>🟡 Cerca (1-3 km)</v>
      </c>
      <c r="AG22" s="2"/>
      <c r="AH22" s="2"/>
      <c r="AI22" s="51">
        <v>-11.997563</v>
      </c>
      <c r="AJ22" s="51">
        <v>-76.900062000000005</v>
      </c>
      <c r="AK22" s="2" t="str">
        <f>IFERROR(VLOOKUP(H22,tdcargo[],2,FALSE),"DESCONOCIDO")</f>
        <v>OPERARIO</v>
      </c>
    </row>
    <row r="23" spans="1:37" x14ac:dyDescent="0.35">
      <c r="A23" s="2" t="s">
        <v>3365</v>
      </c>
      <c r="B23" s="2" t="s">
        <v>3366</v>
      </c>
      <c r="C23" s="2" t="s">
        <v>3367</v>
      </c>
      <c r="D23" s="2" t="s">
        <v>1676</v>
      </c>
      <c r="E23" s="2">
        <v>25</v>
      </c>
      <c r="F23" s="2" t="s">
        <v>3255</v>
      </c>
      <c r="G23" s="2">
        <v>20510974</v>
      </c>
      <c r="H23" s="2" t="s">
        <v>1971</v>
      </c>
      <c r="I23" s="3">
        <v>46083</v>
      </c>
      <c r="J23" s="2" t="s">
        <v>31</v>
      </c>
      <c r="K23" s="3" t="s">
        <v>1968</v>
      </c>
      <c r="L23" s="2" t="s">
        <v>3278</v>
      </c>
      <c r="M23" s="2" t="s">
        <v>3279</v>
      </c>
      <c r="N23" s="2" t="s">
        <v>34</v>
      </c>
      <c r="O23" s="2" t="s">
        <v>2175</v>
      </c>
      <c r="P23" s="2" t="s">
        <v>36</v>
      </c>
      <c r="Q23" s="2" t="s">
        <v>2176</v>
      </c>
      <c r="R23" s="2" t="s">
        <v>3260</v>
      </c>
      <c r="S23" s="2" t="s">
        <v>37</v>
      </c>
      <c r="T23" s="2" t="s">
        <v>37</v>
      </c>
      <c r="U23" s="2" t="s">
        <v>38</v>
      </c>
      <c r="V23" s="3">
        <v>46083</v>
      </c>
      <c r="W23" s="2" t="s">
        <v>135</v>
      </c>
      <c r="X23" s="2" t="str">
        <f t="shared" si="0"/>
        <v>Avenida Tacna CANTO CHICO, San Juan De Lurigancho, Lima, Lima, Perú</v>
      </c>
      <c r="Y23" s="22">
        <v>-12.0027539</v>
      </c>
      <c r="Z23" s="22">
        <v>-77.0177604</v>
      </c>
      <c r="AA23" s="33">
        <f t="shared" si="1"/>
        <v>12.81</v>
      </c>
      <c r="AB23" s="2" t="str">
        <f t="shared" si="2"/>
        <v>🟠 Moderada (10-20 km)</v>
      </c>
      <c r="AC23" s="2" t="str" cm="1">
        <f t="array" ref="AC23">INDEX(PARADEROS_VALIDOS!$C$2:$C$68,MATCH(MIN(6371*ACOS(COS(RADIANS(Y23))*COS(RADIANS(PARADEROS_VALIDOS!$E$2:$E$68))*COS(RADIANS(PARADEROS_VALIDOS!$F$2:$F$68)-RADIANS(Z23))+SIN(RADIANS(Y23))*SIN(RADIANS(PARADEROS_VALIDOS!$E$2:$E$68)))),6371*ACOS(COS(RADIANS(Y23))*COS(RADIANS(PARADEROS_VALIDOS!$E$2:$E$68))*COS(RADIANS(PARADEROS_VALIDOS!$F$2:$F$68)-RADIANS(Z23))+SIN(RADIANS(Y23))*SIN(RADIANS(PARADEROS_VALIDOS!$E$2:$E$68))),0))</f>
        <v>Paradero Metro Hacienda</v>
      </c>
      <c r="AD23" s="2" t="str">
        <f>IFERROR(INDEX(PARADEROS_VALIDOS!$A$2:$A$68,MATCH(AC23,PARADEROS_VALIDOS!$C$2:$C$68,0)),"")</f>
        <v>RUTA 6B</v>
      </c>
      <c r="AE23" s="33" cm="1">
        <f t="array" ref="AE23">ROUND(MIN(6371*ACOS(COS(RADIANS(Y23))*COS(RADIANS(PARADEROS_VALIDOS!$E$2:$E$68))*COS(RADIANS(PARADEROS_VALIDOS!$F$2:$F$68)-RADIANS(Z23))+SIN(RADIANS(Y23))*SIN(RADIANS(PARADEROS_VALIDOS!$E$2:$E$68)))),2)</f>
        <v>1.28</v>
      </c>
      <c r="AF23" s="2" t="str">
        <f t="shared" si="3"/>
        <v>🟡 Cerca (1-3 km)</v>
      </c>
      <c r="AG23" s="2"/>
      <c r="AH23" s="2"/>
      <c r="AI23" s="51">
        <v>-11.997563</v>
      </c>
      <c r="AJ23" s="51">
        <v>-76.900062000000005</v>
      </c>
      <c r="AK23" s="2" t="str">
        <f>IFERROR(VLOOKUP(H23,tdcargo[],2,FALSE),"DESCONOCIDO")</f>
        <v>OPERARIO</v>
      </c>
    </row>
    <row r="24" spans="1:37" x14ac:dyDescent="0.35">
      <c r="A24" s="2" t="s">
        <v>3368</v>
      </c>
      <c r="B24" s="2" t="s">
        <v>3369</v>
      </c>
      <c r="C24" s="2" t="s">
        <v>451</v>
      </c>
      <c r="D24" s="2" t="s">
        <v>121</v>
      </c>
      <c r="E24" s="2">
        <v>29</v>
      </c>
      <c r="F24" s="2" t="s">
        <v>3255</v>
      </c>
      <c r="G24" s="2">
        <v>20515927</v>
      </c>
      <c r="H24" s="2" t="s">
        <v>1971</v>
      </c>
      <c r="I24" s="3">
        <v>46083</v>
      </c>
      <c r="J24" s="2" t="s">
        <v>31</v>
      </c>
      <c r="K24" s="3" t="s">
        <v>1968</v>
      </c>
      <c r="L24" s="2" t="s">
        <v>3256</v>
      </c>
      <c r="M24" s="2" t="s">
        <v>3257</v>
      </c>
      <c r="N24" s="2" t="s">
        <v>82</v>
      </c>
      <c r="O24" s="2" t="s">
        <v>3370</v>
      </c>
      <c r="P24" s="2" t="s">
        <v>36</v>
      </c>
      <c r="Q24" s="2" t="s">
        <v>2698</v>
      </c>
      <c r="R24" s="2" t="s">
        <v>3274</v>
      </c>
      <c r="S24" s="2" t="s">
        <v>37</v>
      </c>
      <c r="T24" s="2" t="s">
        <v>37</v>
      </c>
      <c r="U24" s="2" t="s">
        <v>76</v>
      </c>
      <c r="V24" s="3">
        <v>46083</v>
      </c>
      <c r="W24" s="2" t="s">
        <v>135</v>
      </c>
      <c r="X24" s="2" t="str">
        <f t="shared" si="0"/>
        <v>Calle Calle 51 SAN ANTONIO DE CARAP, Lurigancho, Lima, Lima, Perú</v>
      </c>
      <c r="Y24" s="22">
        <v>-11.9751253</v>
      </c>
      <c r="Z24" s="22">
        <v>-76.942573199999998</v>
      </c>
      <c r="AA24" s="33">
        <f t="shared" si="1"/>
        <v>5.25</v>
      </c>
      <c r="AB24" s="2" t="str">
        <f t="shared" si="2"/>
        <v>🟡 Cerca (5-10 km)</v>
      </c>
      <c r="AC24" s="2" t="str" cm="1">
        <f t="array" ref="AC24">INDEX(PARADEROS_VALIDOS!$C$2:$C$68,MATCH(MIN(6371*ACOS(COS(RADIANS(Y24))*COS(RADIANS(PARADEROS_VALIDOS!$E$2:$E$68))*COS(RADIANS(PARADEROS_VALIDOS!$F$2:$F$68)-RADIANS(Z24))+SIN(RADIANS(Y24))*SIN(RADIANS(PARADEROS_VALIDOS!$E$2:$E$68)))),6371*ACOS(COS(RADIANS(Y24))*COS(RADIANS(PARADEROS_VALIDOS!$E$2:$E$68))*COS(RADIANS(PARADEROS_VALIDOS!$F$2:$F$68)-RADIANS(Z24))+SIN(RADIANS(Y24))*SIN(RADIANS(PARADEROS_VALIDOS!$E$2:$E$68))),0))</f>
        <v>Paradero Arco San Antonio</v>
      </c>
      <c r="AD24" s="2" t="str">
        <f>IFERROR(INDEX(PARADEROS_VALIDOS!$A$2:$A$68,MATCH(AC24,PARADEROS_VALIDOS!$C$2:$C$68,0)),"")</f>
        <v>RUTA 2</v>
      </c>
      <c r="AE24" s="33" cm="1">
        <f t="array" ref="AE24">ROUND(MIN(6371*ACOS(COS(RADIANS(Y24))*COS(RADIANS(PARADEROS_VALIDOS!$E$2:$E$68))*COS(RADIANS(PARADEROS_VALIDOS!$F$2:$F$68)-RADIANS(Z24))+SIN(RADIANS(Y24))*SIN(RADIANS(PARADEROS_VALIDOS!$E$2:$E$68)))),2)</f>
        <v>4.75</v>
      </c>
      <c r="AF24" s="2" t="str">
        <f t="shared" si="3"/>
        <v>🟠 Moderada (3-5 km)</v>
      </c>
      <c r="AG24" s="2"/>
      <c r="AH24" s="2"/>
      <c r="AI24" s="51">
        <v>-11.997563</v>
      </c>
      <c r="AJ24" s="51">
        <v>-76.900062000000005</v>
      </c>
      <c r="AK24" s="2" t="str">
        <f>IFERROR(VLOOKUP(H24,tdcargo[],2,FALSE),"DESCONOCIDO")</f>
        <v>OPERARIO</v>
      </c>
    </row>
    <row r="25" spans="1:37" x14ac:dyDescent="0.35">
      <c r="A25" s="2" t="s">
        <v>3371</v>
      </c>
      <c r="B25" s="2" t="s">
        <v>169</v>
      </c>
      <c r="C25" s="2" t="s">
        <v>714</v>
      </c>
      <c r="D25" s="2" t="s">
        <v>3372</v>
      </c>
      <c r="E25" s="2">
        <v>35</v>
      </c>
      <c r="F25" s="2" t="s">
        <v>3255</v>
      </c>
      <c r="G25" s="2">
        <v>20514942</v>
      </c>
      <c r="H25" s="2" t="s">
        <v>1971</v>
      </c>
      <c r="I25" s="3">
        <v>45950</v>
      </c>
      <c r="J25" s="2" t="s">
        <v>31</v>
      </c>
      <c r="K25" s="3" t="s">
        <v>1968</v>
      </c>
      <c r="L25" s="2" t="s">
        <v>3373</v>
      </c>
      <c r="M25" s="2" t="s">
        <v>3374</v>
      </c>
      <c r="N25" s="2" t="s">
        <v>82</v>
      </c>
      <c r="O25" s="2" t="s">
        <v>1313</v>
      </c>
      <c r="P25" s="2" t="s">
        <v>36</v>
      </c>
      <c r="Q25" s="2" t="s">
        <v>3375</v>
      </c>
      <c r="R25" s="2" t="s">
        <v>3291</v>
      </c>
      <c r="S25" s="2" t="s">
        <v>37</v>
      </c>
      <c r="T25" s="2" t="s">
        <v>37</v>
      </c>
      <c r="U25" s="2" t="s">
        <v>57</v>
      </c>
      <c r="V25" s="3">
        <v>45950</v>
      </c>
      <c r="W25" s="2" t="s">
        <v>39</v>
      </c>
      <c r="X25" s="2" t="str">
        <f t="shared" si="0"/>
        <v>Calle Las Palmeras Calle Las Palmeras, Ate, Lima, Lima, Perú</v>
      </c>
      <c r="Y25" s="22">
        <v>-12.038938</v>
      </c>
      <c r="Z25" s="22">
        <v>-76.902714099999997</v>
      </c>
      <c r="AA25" s="33">
        <f t="shared" si="1"/>
        <v>4.6100000000000003</v>
      </c>
      <c r="AB25" s="2" t="str">
        <f t="shared" si="2"/>
        <v>🟢 Muy Cerca (0-5 km)</v>
      </c>
      <c r="AC25" s="2" t="str" cm="1">
        <f t="array" ref="AC25">INDEX(PARADEROS_VALIDOS!$C$2:$C$68,MATCH(MIN(6371*ACOS(COS(RADIANS(Y25))*COS(RADIANS(PARADEROS_VALIDOS!$E$2:$E$68))*COS(RADIANS(PARADEROS_VALIDOS!$F$2:$F$68)-RADIANS(Z25))+SIN(RADIANS(Y25))*SIN(RADIANS(PARADEROS_VALIDOS!$E$2:$E$68)))),6371*ACOS(COS(RADIANS(Y25))*COS(RADIANS(PARADEROS_VALIDOS!$E$2:$E$68))*COS(RADIANS(PARADEROS_VALIDOS!$F$2:$F$68)-RADIANS(Z25))+SIN(RADIANS(Y25))*SIN(RADIANS(PARADEROS_VALIDOS!$E$2:$E$68))),0))</f>
        <v>Paradero Esperanza</v>
      </c>
      <c r="AD25" s="2" t="str">
        <f>IFERROR(INDEX(PARADEROS_VALIDOS!$A$2:$A$68,MATCH(AC25,PARADEROS_VALIDOS!$C$2:$C$68,0)),"")</f>
        <v>RUTA 4B</v>
      </c>
      <c r="AE25" s="33" cm="1">
        <f t="array" ref="AE25">ROUND(MIN(6371*ACOS(COS(RADIANS(Y25))*COS(RADIANS(PARADEROS_VALIDOS!$E$2:$E$68))*COS(RADIANS(PARADEROS_VALIDOS!$F$2:$F$68)-RADIANS(Z25))+SIN(RADIANS(Y25))*SIN(RADIANS(PARADEROS_VALIDOS!$E$2:$E$68)))),2)</f>
        <v>1.96</v>
      </c>
      <c r="AF25" s="2" t="str">
        <f t="shared" si="3"/>
        <v>🟡 Cerca (1-3 km)</v>
      </c>
      <c r="AG25" s="2"/>
      <c r="AH25" s="2"/>
      <c r="AI25" s="51">
        <v>-11.997563</v>
      </c>
      <c r="AJ25" s="51">
        <v>-76.900062000000005</v>
      </c>
      <c r="AK25" s="2" t="str">
        <f>IFERROR(VLOOKUP(H25,tdcargo[],2,FALSE),"DESCONOCIDO")</f>
        <v>OPERARIO</v>
      </c>
    </row>
    <row r="26" spans="1:37" x14ac:dyDescent="0.35">
      <c r="A26" s="2" t="s">
        <v>3376</v>
      </c>
      <c r="B26" s="2" t="s">
        <v>3377</v>
      </c>
      <c r="C26" s="2" t="s">
        <v>1926</v>
      </c>
      <c r="D26" s="2" t="s">
        <v>43</v>
      </c>
      <c r="E26" s="2">
        <v>25</v>
      </c>
      <c r="F26" s="2" t="s">
        <v>3255</v>
      </c>
      <c r="G26" s="2">
        <v>20512271</v>
      </c>
      <c r="H26" s="2" t="s">
        <v>1971</v>
      </c>
      <c r="I26" s="3">
        <v>45748</v>
      </c>
      <c r="J26" s="2" t="s">
        <v>31</v>
      </c>
      <c r="K26" s="3" t="s">
        <v>1968</v>
      </c>
      <c r="L26" s="2" t="s">
        <v>3263</v>
      </c>
      <c r="M26" s="2" t="s">
        <v>3264</v>
      </c>
      <c r="N26" s="2" t="s">
        <v>34</v>
      </c>
      <c r="O26" s="2" t="s">
        <v>1026</v>
      </c>
      <c r="P26" s="2" t="s">
        <v>36</v>
      </c>
      <c r="Q26" s="2" t="s">
        <v>705</v>
      </c>
      <c r="R26" s="2" t="s">
        <v>3291</v>
      </c>
      <c r="S26" s="2" t="s">
        <v>37</v>
      </c>
      <c r="T26" s="2" t="s">
        <v>37</v>
      </c>
      <c r="U26" s="2" t="s">
        <v>57</v>
      </c>
      <c r="V26" s="3">
        <v>45748</v>
      </c>
      <c r="W26" s="2" t="s">
        <v>77</v>
      </c>
      <c r="X26" s="2" t="str">
        <f t="shared" si="0"/>
        <v>Avenida San Marcos Huaycan, Ate, Lima, Lima, Perú</v>
      </c>
      <c r="Y26" s="22">
        <v>-12.019080600000001</v>
      </c>
      <c r="Z26" s="22">
        <v>-76.820975599999997</v>
      </c>
      <c r="AA26" s="33">
        <f t="shared" si="1"/>
        <v>8.93</v>
      </c>
      <c r="AB26" s="2" t="str">
        <f t="shared" si="2"/>
        <v>🟡 Cerca (5-10 km)</v>
      </c>
      <c r="AC26" s="2" t="str" cm="1">
        <f t="array" ref="AC26">INDEX(PARADEROS_VALIDOS!$C$2:$C$68,MATCH(MIN(6371*ACOS(COS(RADIANS(Y26))*COS(RADIANS(PARADEROS_VALIDOS!$E$2:$E$68))*COS(RADIANS(PARADEROS_VALIDOS!$F$2:$F$68)-RADIANS(Z26))+SIN(RADIANS(Y26))*SIN(RADIANS(PARADEROS_VALIDOS!$E$2:$E$68)))),6371*ACOS(COS(RADIANS(Y26))*COS(RADIANS(PARADEROS_VALIDOS!$E$2:$E$68))*COS(RADIANS(PARADEROS_VALIDOS!$F$2:$F$68)-RADIANS(Z26))+SIN(RADIANS(Y26))*SIN(RADIANS(PARADEROS_VALIDOS!$E$2:$E$68))),0))</f>
        <v>Paradero Aurora</v>
      </c>
      <c r="AD26" s="2" t="str">
        <f>IFERROR(INDEX(PARADEROS_VALIDOS!$A$2:$A$68,MATCH(AC26,PARADEROS_VALIDOS!$C$2:$C$68,0)),"")</f>
        <v>RUTA 3</v>
      </c>
      <c r="AE26" s="33" cm="1">
        <f t="array" ref="AE26">ROUND(MIN(6371*ACOS(COS(RADIANS(Y26))*COS(RADIANS(PARADEROS_VALIDOS!$E$2:$E$68))*COS(RADIANS(PARADEROS_VALIDOS!$F$2:$F$68)-RADIANS(Z26))+SIN(RADIANS(Y26))*SIN(RADIANS(PARADEROS_VALIDOS!$E$2:$E$68)))),2)</f>
        <v>0.77</v>
      </c>
      <c r="AF26" s="2" t="str">
        <f t="shared" si="3"/>
        <v>🟢 Muy Cerca (0-1 km)</v>
      </c>
      <c r="AG26" s="2"/>
      <c r="AH26" s="2"/>
      <c r="AI26" s="51">
        <v>-11.997563</v>
      </c>
      <c r="AJ26" s="51">
        <v>-76.900062000000005</v>
      </c>
      <c r="AK26" s="2" t="str">
        <f>IFERROR(VLOOKUP(H26,tdcargo[],2,FALSE),"DESCONOCIDO")</f>
        <v>OPERARIO</v>
      </c>
    </row>
    <row r="27" spans="1:37" x14ac:dyDescent="0.35">
      <c r="A27" s="2" t="s">
        <v>3378</v>
      </c>
      <c r="B27" s="2" t="s">
        <v>3379</v>
      </c>
      <c r="C27" s="2" t="s">
        <v>714</v>
      </c>
      <c r="D27" s="2" t="s">
        <v>26</v>
      </c>
      <c r="E27" s="2">
        <v>23</v>
      </c>
      <c r="F27" s="2" t="s">
        <v>3255</v>
      </c>
      <c r="G27" s="2">
        <v>20511219</v>
      </c>
      <c r="H27" s="2" t="s">
        <v>1971</v>
      </c>
      <c r="I27" s="3">
        <v>46045</v>
      </c>
      <c r="J27" s="2" t="s">
        <v>31</v>
      </c>
      <c r="K27" s="3" t="s">
        <v>1968</v>
      </c>
      <c r="L27" s="2" t="s">
        <v>3344</v>
      </c>
      <c r="M27" s="2" t="s">
        <v>3345</v>
      </c>
      <c r="N27" s="2" t="s">
        <v>36</v>
      </c>
      <c r="O27" s="2" t="s">
        <v>3380</v>
      </c>
      <c r="P27" s="2" t="s">
        <v>36</v>
      </c>
      <c r="Q27" s="2" t="s">
        <v>3381</v>
      </c>
      <c r="R27" s="2" t="s">
        <v>3291</v>
      </c>
      <c r="S27" s="2" t="s">
        <v>37</v>
      </c>
      <c r="T27" s="2" t="s">
        <v>37</v>
      </c>
      <c r="U27" s="2" t="s">
        <v>57</v>
      </c>
      <c r="V27" s="3">
        <v>46045</v>
      </c>
      <c r="W27" s="2" t="s">
        <v>135</v>
      </c>
      <c r="X27" s="2" t="str">
        <f t="shared" si="0"/>
        <v>Ucv 139E Lt 18 Mz C ZONA I, Ate, Lima, Lima, Perú</v>
      </c>
      <c r="Y27" s="22">
        <v>-12.010009</v>
      </c>
      <c r="Z27" s="22">
        <v>-76.827871599999995</v>
      </c>
      <c r="AA27" s="33">
        <f t="shared" si="1"/>
        <v>7.97</v>
      </c>
      <c r="AB27" s="2" t="str">
        <f t="shared" si="2"/>
        <v>🟡 Cerca (5-10 km)</v>
      </c>
      <c r="AC27" s="2" t="str" cm="1">
        <f t="array" ref="AC27">INDEX(PARADEROS_VALIDOS!$C$2:$C$68,MATCH(MIN(6371*ACOS(COS(RADIANS(Y27))*COS(RADIANS(PARADEROS_VALIDOS!$E$2:$E$68))*COS(RADIANS(PARADEROS_VALIDOS!$F$2:$F$68)-RADIANS(Z27))+SIN(RADIANS(Y27))*SIN(RADIANS(PARADEROS_VALIDOS!$E$2:$E$68)))),6371*ACOS(COS(RADIANS(Y27))*COS(RADIANS(PARADEROS_VALIDOS!$E$2:$E$68))*COS(RADIANS(PARADEROS_VALIDOS!$F$2:$F$68)-RADIANS(Z27))+SIN(RADIANS(Y27))*SIN(RADIANS(PARADEROS_VALIDOS!$E$2:$E$68))),0))</f>
        <v>Entrada Horacio</v>
      </c>
      <c r="AD27" s="2" t="str">
        <f>IFERROR(INDEX(PARADEROS_VALIDOS!$A$2:$A$68,MATCH(AC27,PARADEROS_VALIDOS!$C$2:$C$68,0)),"")</f>
        <v>RUTA 5B</v>
      </c>
      <c r="AE27" s="33" cm="1">
        <f t="array" ref="AE27">ROUND(MIN(6371*ACOS(COS(RADIANS(Y27))*COS(RADIANS(PARADEROS_VALIDOS!$E$2:$E$68))*COS(RADIANS(PARADEROS_VALIDOS!$F$2:$F$68)-RADIANS(Z27))+SIN(RADIANS(Y27))*SIN(RADIANS(PARADEROS_VALIDOS!$E$2:$E$68)))),2)</f>
        <v>1.55</v>
      </c>
      <c r="AF27" s="2" t="str">
        <f t="shared" si="3"/>
        <v>🟡 Cerca (1-3 km)</v>
      </c>
      <c r="AG27" s="2"/>
      <c r="AH27" s="2"/>
      <c r="AI27" s="51">
        <v>-11.997563</v>
      </c>
      <c r="AJ27" s="51">
        <v>-76.900062000000005</v>
      </c>
      <c r="AK27" s="2" t="str">
        <f>IFERROR(VLOOKUP(H27,tdcargo[],2,FALSE),"DESCONOCIDO")</f>
        <v>OPERARIO</v>
      </c>
    </row>
    <row r="28" spans="1:37" x14ac:dyDescent="0.35">
      <c r="A28" s="2" t="s">
        <v>3382</v>
      </c>
      <c r="B28" s="2" t="s">
        <v>3383</v>
      </c>
      <c r="C28" s="2" t="s">
        <v>3384</v>
      </c>
      <c r="D28" s="2" t="s">
        <v>3385</v>
      </c>
      <c r="E28" s="2">
        <v>24</v>
      </c>
      <c r="F28" s="2" t="s">
        <v>3255</v>
      </c>
      <c r="G28" s="2">
        <v>20507979</v>
      </c>
      <c r="H28" s="2" t="s">
        <v>1971</v>
      </c>
      <c r="I28" s="3">
        <v>46045</v>
      </c>
      <c r="J28" s="2" t="s">
        <v>31</v>
      </c>
      <c r="K28" s="3" t="s">
        <v>1968</v>
      </c>
      <c r="L28" s="2" t="s">
        <v>3373</v>
      </c>
      <c r="M28" s="2" t="s">
        <v>3374</v>
      </c>
      <c r="N28" s="2" t="s">
        <v>82</v>
      </c>
      <c r="O28" s="2" t="s">
        <v>37</v>
      </c>
      <c r="P28" s="2" t="s">
        <v>36</v>
      </c>
      <c r="Q28" s="2" t="s">
        <v>3386</v>
      </c>
      <c r="R28" s="2" t="s">
        <v>3282</v>
      </c>
      <c r="S28" s="2" t="s">
        <v>37</v>
      </c>
      <c r="T28" s="2" t="s">
        <v>37</v>
      </c>
      <c r="U28" s="2" t="s">
        <v>118</v>
      </c>
      <c r="V28" s="3">
        <v>46045</v>
      </c>
      <c r="W28" s="2" t="s">
        <v>135</v>
      </c>
      <c r="X28" s="2" t="str">
        <f t="shared" si="0"/>
        <v>Calle Lima Nueva Alianza, Chaclacayo, Lima, Lima, Perú</v>
      </c>
      <c r="Y28" s="22">
        <v>-11.985639300000001</v>
      </c>
      <c r="Z28" s="22">
        <v>-76.816460599999999</v>
      </c>
      <c r="AA28" s="33">
        <f t="shared" si="1"/>
        <v>9.19</v>
      </c>
      <c r="AB28" s="2" t="str">
        <f t="shared" si="2"/>
        <v>🟡 Cerca (5-10 km)</v>
      </c>
      <c r="AC28" s="2" t="str" cm="1">
        <f t="array" ref="AC28">INDEX(PARADEROS_VALIDOS!$C$2:$C$68,MATCH(MIN(6371*ACOS(COS(RADIANS(Y28))*COS(RADIANS(PARADEROS_VALIDOS!$E$2:$E$68))*COS(RADIANS(PARADEROS_VALIDOS!$F$2:$F$68)-RADIANS(Z28))+SIN(RADIANS(Y28))*SIN(RADIANS(PARADEROS_VALIDOS!$E$2:$E$68)))),6371*ACOS(COS(RADIANS(Y28))*COS(RADIANS(PARADEROS_VALIDOS!$E$2:$E$68))*COS(RADIANS(PARADEROS_VALIDOS!$F$2:$F$68)-RADIANS(Z28))+SIN(RADIANS(Y28))*SIN(RADIANS(PARADEROS_VALIDOS!$E$2:$E$68))),0))</f>
        <v>Entrada Ñaña</v>
      </c>
      <c r="AD28" s="2" t="str">
        <f>IFERROR(INDEX(PARADEROS_VALIDOS!$A$2:$A$68,MATCH(AC28,PARADEROS_VALIDOS!$C$2:$C$68,0)),"")</f>
        <v>RUTA 5A</v>
      </c>
      <c r="AE28" s="33" cm="1">
        <f t="array" ref="AE28">ROUND(MIN(6371*ACOS(COS(RADIANS(Y28))*COS(RADIANS(PARADEROS_VALIDOS!$E$2:$E$68))*COS(RADIANS(PARADEROS_VALIDOS!$F$2:$F$68)-RADIANS(Z28))+SIN(RADIANS(Y28))*SIN(RADIANS(PARADEROS_VALIDOS!$E$2:$E$68)))),2)</f>
        <v>0.45</v>
      </c>
      <c r="AF28" s="2" t="str">
        <f t="shared" si="3"/>
        <v>🟢 Muy Cerca (0-1 km)</v>
      </c>
      <c r="AG28" s="2"/>
      <c r="AH28" s="2"/>
      <c r="AI28" s="51">
        <v>-11.997563</v>
      </c>
      <c r="AJ28" s="51">
        <v>-76.900062000000005</v>
      </c>
      <c r="AK28" s="2" t="str">
        <f>IFERROR(VLOOKUP(H28,tdcargo[],2,FALSE),"DESCONOCIDO")</f>
        <v>OPERARIO</v>
      </c>
    </row>
    <row r="29" spans="1:37" x14ac:dyDescent="0.35">
      <c r="A29" s="2" t="s">
        <v>3387</v>
      </c>
      <c r="B29" s="2" t="s">
        <v>3388</v>
      </c>
      <c r="C29" s="2" t="s">
        <v>277</v>
      </c>
      <c r="D29" s="2" t="s">
        <v>1864</v>
      </c>
      <c r="E29" s="2">
        <v>19</v>
      </c>
      <c r="F29" s="2" t="s">
        <v>3255</v>
      </c>
      <c r="G29" s="2">
        <v>20508000</v>
      </c>
      <c r="H29" s="2" t="s">
        <v>1971</v>
      </c>
      <c r="I29" s="3">
        <v>46034</v>
      </c>
      <c r="J29" s="2" t="s">
        <v>31</v>
      </c>
      <c r="K29" s="3" t="s">
        <v>1968</v>
      </c>
      <c r="L29" s="2" t="s">
        <v>3344</v>
      </c>
      <c r="M29" s="2" t="s">
        <v>3345</v>
      </c>
      <c r="N29" s="2" t="s">
        <v>82</v>
      </c>
      <c r="O29" s="2" t="s">
        <v>668</v>
      </c>
      <c r="P29" s="2" t="s">
        <v>36</v>
      </c>
      <c r="Q29" s="2" t="s">
        <v>1968</v>
      </c>
      <c r="R29" s="2" t="s">
        <v>3291</v>
      </c>
      <c r="S29" s="2" t="s">
        <v>37</v>
      </c>
      <c r="T29" s="2" t="s">
        <v>37</v>
      </c>
      <c r="U29" s="2" t="s">
        <v>57</v>
      </c>
      <c r="V29" s="3">
        <v>46034</v>
      </c>
      <c r="W29" s="2" t="s">
        <v>135</v>
      </c>
      <c r="X29" s="2" t="str">
        <f t="shared" si="0"/>
        <v>Calle Los Lirios, Ate, Lima, Lima, Perú</v>
      </c>
      <c r="Y29" s="22">
        <v>-12.060493299999999</v>
      </c>
      <c r="Z29" s="22">
        <v>-76.934770700000001</v>
      </c>
      <c r="AA29" s="33">
        <f t="shared" si="1"/>
        <v>7.95</v>
      </c>
      <c r="AB29" s="2" t="str">
        <f t="shared" si="2"/>
        <v>🟡 Cerca (5-10 km)</v>
      </c>
      <c r="AC29" s="2" t="str" cm="1">
        <f t="array" ref="AC29">INDEX(PARADEROS_VALIDOS!$C$2:$C$68,MATCH(MIN(6371*ACOS(COS(RADIANS(Y29))*COS(RADIANS(PARADEROS_VALIDOS!$E$2:$E$68))*COS(RADIANS(PARADEROS_VALIDOS!$F$2:$F$68)-RADIANS(Z29))+SIN(RADIANS(Y29))*SIN(RADIANS(PARADEROS_VALIDOS!$E$2:$E$68)))),6371*ACOS(COS(RADIANS(Y29))*COS(RADIANS(PARADEROS_VALIDOS!$E$2:$E$68))*COS(RADIANS(PARADEROS_VALIDOS!$F$2:$F$68)-RADIANS(Z29))+SIN(RADIANS(Y29))*SIN(RADIANS(PARADEROS_VALIDOS!$E$2:$E$68))),0))</f>
        <v>Real Plaza Puruchuco (Grifo Primax)</v>
      </c>
      <c r="AD29" s="2" t="str">
        <f>IFERROR(INDEX(PARADEROS_VALIDOS!$A$2:$A$68,MATCH(AC29,PARADEROS_VALIDOS!$C$2:$C$68,0)),"")</f>
        <v>RUTA 4A</v>
      </c>
      <c r="AE29" s="33" cm="1">
        <f t="array" ref="AE29">ROUND(MIN(6371*ACOS(COS(RADIANS(Y29))*COS(RADIANS(PARADEROS_VALIDOS!$E$2:$E$68))*COS(RADIANS(PARADEROS_VALIDOS!$F$2:$F$68)-RADIANS(Z29))+SIN(RADIANS(Y29))*SIN(RADIANS(PARADEROS_VALIDOS!$E$2:$E$68)))),2)</f>
        <v>2.15</v>
      </c>
      <c r="AF29" s="2" t="str">
        <f t="shared" si="3"/>
        <v>🟡 Cerca (1-3 km)</v>
      </c>
      <c r="AG29" s="2"/>
      <c r="AH29" s="2"/>
      <c r="AI29" s="51">
        <v>-11.997563</v>
      </c>
      <c r="AJ29" s="51">
        <v>-76.900062000000005</v>
      </c>
      <c r="AK29" s="2" t="str">
        <f>IFERROR(VLOOKUP(H29,tdcargo[],2,FALSE),"DESCONOCIDO")</f>
        <v>OPERARIO</v>
      </c>
    </row>
    <row r="30" spans="1:37" x14ac:dyDescent="0.35">
      <c r="A30" s="2" t="s">
        <v>3389</v>
      </c>
      <c r="B30" s="2" t="s">
        <v>792</v>
      </c>
      <c r="C30" s="2" t="s">
        <v>3390</v>
      </c>
      <c r="D30" s="2" t="s">
        <v>319</v>
      </c>
      <c r="E30" s="2">
        <v>22</v>
      </c>
      <c r="F30" s="2" t="s">
        <v>3255</v>
      </c>
      <c r="G30" s="2">
        <v>20514708</v>
      </c>
      <c r="H30" s="2" t="s">
        <v>1971</v>
      </c>
      <c r="I30" s="3">
        <v>46034</v>
      </c>
      <c r="J30" s="2" t="s">
        <v>31</v>
      </c>
      <c r="K30" s="3" t="s">
        <v>1968</v>
      </c>
      <c r="L30" s="2" t="s">
        <v>3299</v>
      </c>
      <c r="M30" s="2" t="s">
        <v>3300</v>
      </c>
      <c r="N30" s="2" t="s">
        <v>34</v>
      </c>
      <c r="O30" s="2" t="s">
        <v>3391</v>
      </c>
      <c r="P30" s="2" t="s">
        <v>36</v>
      </c>
      <c r="Q30" s="2" t="s">
        <v>1968</v>
      </c>
      <c r="R30" s="2" t="s">
        <v>3274</v>
      </c>
      <c r="S30" s="2" t="s">
        <v>37</v>
      </c>
      <c r="T30" s="2" t="s">
        <v>37</v>
      </c>
      <c r="U30" s="2" t="s">
        <v>76</v>
      </c>
      <c r="V30" s="3">
        <v>46034</v>
      </c>
      <c r="W30" s="2" t="s">
        <v>135</v>
      </c>
      <c r="X30" s="2" t="str">
        <f t="shared" si="0"/>
        <v>Avenida Pachacutec, Lurigancho, Lima, Lima, Perú</v>
      </c>
      <c r="Y30" s="22">
        <v>-11.9878129</v>
      </c>
      <c r="Z30" s="22">
        <v>-76.899303799999998</v>
      </c>
      <c r="AA30" s="33">
        <f t="shared" si="1"/>
        <v>1.0900000000000001</v>
      </c>
      <c r="AB30" s="2" t="str">
        <f t="shared" si="2"/>
        <v>🟢 Muy Cerca (0-5 km)</v>
      </c>
      <c r="AC30" s="2" t="str" cm="1">
        <f t="array" ref="AC30">INDEX(PARADEROS_VALIDOS!$C$2:$C$68,MATCH(MIN(6371*ACOS(COS(RADIANS(Y30))*COS(RADIANS(PARADEROS_VALIDOS!$E$2:$E$68))*COS(RADIANS(PARADEROS_VALIDOS!$F$2:$F$68)-RADIANS(Z30))+SIN(RADIANS(Y30))*SIN(RADIANS(PARADEROS_VALIDOS!$E$2:$E$68)))),6371*ACOS(COS(RADIANS(Y30))*COS(RADIANS(PARADEROS_VALIDOS!$E$2:$E$68))*COS(RADIANS(PARADEROS_VALIDOS!$F$2:$F$68)-RADIANS(Z30))+SIN(RADIANS(Y30))*SIN(RADIANS(PARADEROS_VALIDOS!$E$2:$E$68))),0))</f>
        <v>Paradero Arco San Antonio</v>
      </c>
      <c r="AD30" s="2" t="str">
        <f>IFERROR(INDEX(PARADEROS_VALIDOS!$A$2:$A$68,MATCH(AC30,PARADEROS_VALIDOS!$C$2:$C$68,0)),"")</f>
        <v>RUTA 2</v>
      </c>
      <c r="AE30" s="33" cm="1">
        <f t="array" ref="AE30">ROUND(MIN(6371*ACOS(COS(RADIANS(Y30))*COS(RADIANS(PARADEROS_VALIDOS!$E$2:$E$68))*COS(RADIANS(PARADEROS_VALIDOS!$F$2:$F$68)-RADIANS(Z30))+SIN(RADIANS(Y30))*SIN(RADIANS(PARADEROS_VALIDOS!$E$2:$E$68)))),2)</f>
        <v>0.76</v>
      </c>
      <c r="AF30" s="2" t="str">
        <f t="shared" si="3"/>
        <v>🟢 Muy Cerca (0-1 km)</v>
      </c>
      <c r="AG30" s="2"/>
      <c r="AH30" s="2"/>
      <c r="AI30" s="51">
        <v>-11.997563</v>
      </c>
      <c r="AJ30" s="51">
        <v>-76.900062000000005</v>
      </c>
      <c r="AK30" s="2" t="str">
        <f>IFERROR(VLOOKUP(H30,tdcargo[],2,FALSE),"DESCONOCIDO")</f>
        <v>OPERARIO</v>
      </c>
    </row>
    <row r="31" spans="1:37" x14ac:dyDescent="0.35">
      <c r="A31" s="2" t="s">
        <v>3392</v>
      </c>
      <c r="B31" s="2" t="s">
        <v>3393</v>
      </c>
      <c r="C31" s="2" t="s">
        <v>131</v>
      </c>
      <c r="D31" s="2" t="s">
        <v>3394</v>
      </c>
      <c r="E31" s="2">
        <v>25</v>
      </c>
      <c r="F31" s="2" t="s">
        <v>3255</v>
      </c>
      <c r="G31" s="2">
        <v>20507971</v>
      </c>
      <c r="H31" s="2" t="s">
        <v>3182</v>
      </c>
      <c r="I31" s="3">
        <v>44697</v>
      </c>
      <c r="J31" s="2" t="s">
        <v>31</v>
      </c>
      <c r="K31" s="3" t="s">
        <v>1968</v>
      </c>
      <c r="L31" s="2" t="s">
        <v>3363</v>
      </c>
      <c r="M31" s="2" t="s">
        <v>3364</v>
      </c>
      <c r="N31" s="2" t="s">
        <v>3395</v>
      </c>
      <c r="O31" s="2" t="s">
        <v>3396</v>
      </c>
      <c r="P31" s="2" t="s">
        <v>88</v>
      </c>
      <c r="Q31" s="2" t="s">
        <v>3397</v>
      </c>
      <c r="R31" s="2" t="s">
        <v>3274</v>
      </c>
      <c r="S31" s="2" t="s">
        <v>37</v>
      </c>
      <c r="T31" s="2" t="s">
        <v>37</v>
      </c>
      <c r="U31" s="2" t="s">
        <v>76</v>
      </c>
      <c r="V31" s="3">
        <v>44697</v>
      </c>
      <c r="W31" s="2" t="s">
        <v>48</v>
      </c>
      <c r="X31" s="2" t="str">
        <f t="shared" si="0"/>
        <v>Portal Los Portales De Basilio Auqui Anexo 8, A.H. Asentamiento Humano San Antonio De Chaclla, Lurigancho, Lima, Lima, Perú</v>
      </c>
      <c r="Y31" s="22">
        <v>-11.993672</v>
      </c>
      <c r="Z31" s="22">
        <v>-76.951343199999997</v>
      </c>
      <c r="AA31" s="33">
        <f t="shared" si="1"/>
        <v>5.59</v>
      </c>
      <c r="AB31" s="2" t="str">
        <f t="shared" si="2"/>
        <v>🟡 Cerca (5-10 km)</v>
      </c>
      <c r="AC31" s="2" t="str" cm="1">
        <f t="array" ref="AC31">INDEX(PARADEROS_VALIDOS!$C$2:$C$68,MATCH(MIN(6371*ACOS(COS(RADIANS(Y31))*COS(RADIANS(PARADEROS_VALIDOS!$E$2:$E$68))*COS(RADIANS(PARADEROS_VALIDOS!$F$2:$F$68)-RADIANS(Z31))+SIN(RADIANS(Y31))*SIN(RADIANS(PARADEROS_VALIDOS!$E$2:$E$68)))),6371*ACOS(COS(RADIANS(Y31))*COS(RADIANS(PARADEROS_VALIDOS!$E$2:$E$68))*COS(RADIANS(PARADEROS_VALIDOS!$F$2:$F$68)-RADIANS(Z31))+SIN(RADIANS(Y31))*SIN(RADIANS(PARADEROS_VALIDOS!$E$2:$E$68))),0))</f>
        <v>Paradero Saracoto</v>
      </c>
      <c r="AD31" s="2" t="str">
        <f>IFERROR(INDEX(PARADEROS_VALIDOS!$A$2:$A$68,MATCH(AC31,PARADEROS_VALIDOS!$C$2:$C$68,0)),"")</f>
        <v>RUTA 1</v>
      </c>
      <c r="AE31" s="33" cm="1">
        <f t="array" ref="AE31">ROUND(MIN(6371*ACOS(COS(RADIANS(Y31))*COS(RADIANS(PARADEROS_VALIDOS!$E$2:$E$68))*COS(RADIANS(PARADEROS_VALIDOS!$F$2:$F$68)-RADIANS(Z31))+SIN(RADIANS(Y31))*SIN(RADIANS(PARADEROS_VALIDOS!$E$2:$E$68)))),2)</f>
        <v>3.9</v>
      </c>
      <c r="AF31" s="2" t="str">
        <f t="shared" si="3"/>
        <v>🟠 Moderada (3-5 km)</v>
      </c>
      <c r="AG31" s="2"/>
      <c r="AH31" s="2"/>
      <c r="AI31" s="51">
        <v>-11.997563</v>
      </c>
      <c r="AJ31" s="51">
        <v>-76.900062000000005</v>
      </c>
      <c r="AK31" s="2" t="str">
        <f>IFERROR(VLOOKUP(H31,tdcargo[],2,FALSE),"DESCONOCIDO")</f>
        <v>OPERARIO</v>
      </c>
    </row>
    <row r="32" spans="1:37" x14ac:dyDescent="0.35">
      <c r="A32" s="2" t="s">
        <v>3398</v>
      </c>
      <c r="B32" s="2" t="s">
        <v>3399</v>
      </c>
      <c r="C32" s="2" t="s">
        <v>3400</v>
      </c>
      <c r="D32" s="2" t="s">
        <v>614</v>
      </c>
      <c r="E32" s="2">
        <v>25</v>
      </c>
      <c r="F32" s="2" t="s">
        <v>3255</v>
      </c>
      <c r="G32" s="2">
        <v>20511533</v>
      </c>
      <c r="H32" s="2" t="s">
        <v>1971</v>
      </c>
      <c r="I32" s="3">
        <v>46055</v>
      </c>
      <c r="J32" s="2" t="s">
        <v>31</v>
      </c>
      <c r="K32" s="3" t="s">
        <v>1968</v>
      </c>
      <c r="L32" s="2" t="s">
        <v>3256</v>
      </c>
      <c r="M32" s="2" t="s">
        <v>3257</v>
      </c>
      <c r="N32" s="2" t="s">
        <v>34</v>
      </c>
      <c r="O32" s="2" t="s">
        <v>798</v>
      </c>
      <c r="P32" s="2" t="s">
        <v>88</v>
      </c>
      <c r="Q32" s="2" t="s">
        <v>727</v>
      </c>
      <c r="R32" s="2" t="s">
        <v>3291</v>
      </c>
      <c r="S32" s="2" t="s">
        <v>37</v>
      </c>
      <c r="T32" s="2" t="s">
        <v>37</v>
      </c>
      <c r="U32" s="2" t="s">
        <v>57</v>
      </c>
      <c r="V32" s="3">
        <v>46055</v>
      </c>
      <c r="W32" s="2" t="s">
        <v>135</v>
      </c>
      <c r="X32" s="2" t="str">
        <f t="shared" si="0"/>
        <v>Avenida 15 De Julio, A.H. Asentamiento Humano HUAYCAN, Ate, Lima, Lima, Perú</v>
      </c>
      <c r="Y32" s="22">
        <v>-12.016420999999999</v>
      </c>
      <c r="Z32" s="22">
        <v>-76.825003800000005</v>
      </c>
      <c r="AA32" s="33">
        <f t="shared" si="1"/>
        <v>8.43</v>
      </c>
      <c r="AB32" s="2" t="str">
        <f t="shared" si="2"/>
        <v>🟡 Cerca (5-10 km)</v>
      </c>
      <c r="AC32" s="2" t="str" cm="1">
        <f t="array" ref="AC32">INDEX(PARADEROS_VALIDOS!$C$2:$C$68,MATCH(MIN(6371*ACOS(COS(RADIANS(Y32))*COS(RADIANS(PARADEROS_VALIDOS!$E$2:$E$68))*COS(RADIANS(PARADEROS_VALIDOS!$F$2:$F$68)-RADIANS(Z32))+SIN(RADIANS(Y32))*SIN(RADIANS(PARADEROS_VALIDOS!$E$2:$E$68)))),6371*ACOS(COS(RADIANS(Y32))*COS(RADIANS(PARADEROS_VALIDOS!$E$2:$E$68))*COS(RADIANS(PARADEROS_VALIDOS!$F$2:$F$68)-RADIANS(Z32))+SIN(RADIANS(Y32))*SIN(RADIANS(PARADEROS_VALIDOS!$E$2:$E$68))),0))</f>
        <v>Paradero Aurora</v>
      </c>
      <c r="AD32" s="2" t="str">
        <f>IFERROR(INDEX(PARADEROS_VALIDOS!$A$2:$A$68,MATCH(AC32,PARADEROS_VALIDOS!$C$2:$C$68,0)),"")</f>
        <v>RUTA 3</v>
      </c>
      <c r="AE32" s="33" cm="1">
        <f t="array" ref="AE32">ROUND(MIN(6371*ACOS(COS(RADIANS(Y32))*COS(RADIANS(PARADEROS_VALIDOS!$E$2:$E$68))*COS(RADIANS(PARADEROS_VALIDOS!$F$2:$F$68)-RADIANS(Z32))+SIN(RADIANS(Y32))*SIN(RADIANS(PARADEROS_VALIDOS!$E$2:$E$68)))),2)</f>
        <v>1.08</v>
      </c>
      <c r="AF32" s="2" t="str">
        <f t="shared" si="3"/>
        <v>🟡 Cerca (1-3 km)</v>
      </c>
      <c r="AG32" s="2"/>
      <c r="AH32" s="2"/>
      <c r="AI32" s="51">
        <v>-11.997563</v>
      </c>
      <c r="AJ32" s="51">
        <v>-76.900062000000005</v>
      </c>
      <c r="AK32" s="2" t="str">
        <f>IFERROR(VLOOKUP(H32,tdcargo[],2,FALSE),"DESCONOCIDO")</f>
        <v>OPERARIO</v>
      </c>
    </row>
    <row r="33" spans="1:37" x14ac:dyDescent="0.35">
      <c r="A33" s="2" t="s">
        <v>3401</v>
      </c>
      <c r="B33" s="2" t="s">
        <v>3402</v>
      </c>
      <c r="C33" s="2" t="s">
        <v>3403</v>
      </c>
      <c r="D33" s="2" t="s">
        <v>767</v>
      </c>
      <c r="E33" s="2">
        <v>18</v>
      </c>
      <c r="F33" s="2" t="s">
        <v>3255</v>
      </c>
      <c r="G33" s="2">
        <v>20511535</v>
      </c>
      <c r="H33" s="2" t="s">
        <v>1971</v>
      </c>
      <c r="I33" s="3">
        <v>46055</v>
      </c>
      <c r="J33" s="2" t="s">
        <v>31</v>
      </c>
      <c r="K33" s="3" t="s">
        <v>1968</v>
      </c>
      <c r="L33" s="2" t="s">
        <v>3256</v>
      </c>
      <c r="M33" s="2" t="s">
        <v>3257</v>
      </c>
      <c r="N33" s="2" t="s">
        <v>82</v>
      </c>
      <c r="O33" s="2" t="s">
        <v>1402</v>
      </c>
      <c r="P33" s="2" t="s">
        <v>643</v>
      </c>
      <c r="Q33" s="2" t="s">
        <v>1403</v>
      </c>
      <c r="R33" s="2" t="s">
        <v>3291</v>
      </c>
      <c r="S33" s="2" t="s">
        <v>37</v>
      </c>
      <c r="T33" s="2" t="s">
        <v>37</v>
      </c>
      <c r="U33" s="2" t="s">
        <v>57</v>
      </c>
      <c r="V33" s="3">
        <v>46055</v>
      </c>
      <c r="W33" s="2" t="s">
        <v>135</v>
      </c>
      <c r="X33" s="2" t="str">
        <f t="shared" si="0"/>
        <v>Calle Las Americas, Res. Residencial LAS AMERICAS, Ate, Lima, Lima, Perú</v>
      </c>
      <c r="Y33" s="22">
        <v>-12.034116900000001</v>
      </c>
      <c r="Z33" s="22">
        <v>-76.905101099999996</v>
      </c>
      <c r="AA33" s="33">
        <f t="shared" si="1"/>
        <v>4.0999999999999996</v>
      </c>
      <c r="AB33" s="2" t="str">
        <f t="shared" si="2"/>
        <v>🟢 Muy Cerca (0-5 km)</v>
      </c>
      <c r="AC33" s="2" t="str" cm="1">
        <f t="array" ref="AC33">INDEX(PARADEROS_VALIDOS!$C$2:$C$68,MATCH(MIN(6371*ACOS(COS(RADIANS(Y33))*COS(RADIANS(PARADEROS_VALIDOS!$E$2:$E$68))*COS(RADIANS(PARADEROS_VALIDOS!$F$2:$F$68)-RADIANS(Z33))+SIN(RADIANS(Y33))*SIN(RADIANS(PARADEROS_VALIDOS!$E$2:$E$68)))),6371*ACOS(COS(RADIANS(Y33))*COS(RADIANS(PARADEROS_VALIDOS!$E$2:$E$68))*COS(RADIANS(PARADEROS_VALIDOS!$F$2:$F$68)-RADIANS(Z33))+SIN(RADIANS(Y33))*SIN(RADIANS(PARADEROS_VALIDOS!$E$2:$E$68))),0))</f>
        <v>Paradero Esperanza</v>
      </c>
      <c r="AD33" s="2" t="str">
        <f>IFERROR(INDEX(PARADEROS_VALIDOS!$A$2:$A$68,MATCH(AC33,PARADEROS_VALIDOS!$C$2:$C$68,0)),"")</f>
        <v>RUTA 4B</v>
      </c>
      <c r="AE33" s="33" cm="1">
        <f t="array" ref="AE33">ROUND(MIN(6371*ACOS(COS(RADIANS(Y33))*COS(RADIANS(PARADEROS_VALIDOS!$E$2:$E$68))*COS(RADIANS(PARADEROS_VALIDOS!$F$2:$F$68)-RADIANS(Z33))+SIN(RADIANS(Y33))*SIN(RADIANS(PARADEROS_VALIDOS!$E$2:$E$68)))),2)</f>
        <v>1.39</v>
      </c>
      <c r="AF33" s="2" t="str">
        <f t="shared" si="3"/>
        <v>🟡 Cerca (1-3 km)</v>
      </c>
      <c r="AG33" s="2"/>
      <c r="AH33" s="2"/>
      <c r="AI33" s="51">
        <v>-11.997563</v>
      </c>
      <c r="AJ33" s="51">
        <v>-76.900062000000005</v>
      </c>
      <c r="AK33" s="2" t="str">
        <f>IFERROR(VLOOKUP(H33,tdcargo[],2,FALSE),"DESCONOCIDO")</f>
        <v>OPERARIO</v>
      </c>
    </row>
    <row r="34" spans="1:37" x14ac:dyDescent="0.35">
      <c r="A34" s="2" t="s">
        <v>3404</v>
      </c>
      <c r="B34" s="2" t="s">
        <v>3405</v>
      </c>
      <c r="C34" s="2" t="s">
        <v>1405</v>
      </c>
      <c r="D34" s="2" t="s">
        <v>1544</v>
      </c>
      <c r="E34" s="2">
        <v>36</v>
      </c>
      <c r="F34" s="2" t="s">
        <v>3255</v>
      </c>
      <c r="G34" s="2">
        <v>20508058</v>
      </c>
      <c r="H34" s="2" t="s">
        <v>1971</v>
      </c>
      <c r="I34" s="3">
        <v>45414</v>
      </c>
      <c r="J34" s="2" t="s">
        <v>31</v>
      </c>
      <c r="K34" s="3" t="s">
        <v>1968</v>
      </c>
      <c r="L34" s="2" t="s">
        <v>3299</v>
      </c>
      <c r="M34" s="2" t="s">
        <v>3300</v>
      </c>
      <c r="N34" s="2" t="s">
        <v>82</v>
      </c>
      <c r="O34" s="2" t="s">
        <v>3406</v>
      </c>
      <c r="P34" s="2" t="s">
        <v>36</v>
      </c>
      <c r="Q34" s="2" t="s">
        <v>3407</v>
      </c>
      <c r="R34" s="2" t="s">
        <v>3274</v>
      </c>
      <c r="S34" s="2" t="s">
        <v>37</v>
      </c>
      <c r="T34" s="2" t="s">
        <v>37</v>
      </c>
      <c r="U34" s="2" t="s">
        <v>76</v>
      </c>
      <c r="V34" s="3">
        <v>45414</v>
      </c>
      <c r="W34" s="2" t="s">
        <v>48</v>
      </c>
      <c r="X34" s="2" t="str">
        <f t="shared" si="0"/>
        <v>Calle Girasoles Mosha, Lurigancho, Lima, Lima, Perú</v>
      </c>
      <c r="Y34" s="22">
        <v>-11.9835975</v>
      </c>
      <c r="Z34" s="22">
        <v>-76.946198499999994</v>
      </c>
      <c r="AA34" s="33">
        <f t="shared" si="1"/>
        <v>5.25</v>
      </c>
      <c r="AB34" s="2" t="str">
        <f t="shared" si="2"/>
        <v>🟡 Cerca (5-10 km)</v>
      </c>
      <c r="AC34" s="2" t="str" cm="1">
        <f t="array" ref="AC34">INDEX(PARADEROS_VALIDOS!$C$2:$C$68,MATCH(MIN(6371*ACOS(COS(RADIANS(Y34))*COS(RADIANS(PARADEROS_VALIDOS!$E$2:$E$68))*COS(RADIANS(PARADEROS_VALIDOS!$F$2:$F$68)-RADIANS(Z34))+SIN(RADIANS(Y34))*SIN(RADIANS(PARADEROS_VALIDOS!$E$2:$E$68)))),6371*ACOS(COS(RADIANS(Y34))*COS(RADIANS(PARADEROS_VALIDOS!$E$2:$E$68))*COS(RADIANS(PARADEROS_VALIDOS!$F$2:$F$68)-RADIANS(Z34))+SIN(RADIANS(Y34))*SIN(RADIANS(PARADEROS_VALIDOS!$E$2:$E$68))),0))</f>
        <v>Estadio Huachipa</v>
      </c>
      <c r="AD34" s="2" t="str">
        <f>IFERROR(INDEX(PARADEROS_VALIDOS!$A$2:$A$68,MATCH(AC34,PARADEROS_VALIDOS!$C$2:$C$68,0)),"")</f>
        <v>RUTA 5C</v>
      </c>
      <c r="AE34" s="33" cm="1">
        <f t="array" ref="AE34">ROUND(MIN(6371*ACOS(COS(RADIANS(Y34))*COS(RADIANS(PARADEROS_VALIDOS!$E$2:$E$68))*COS(RADIANS(PARADEROS_VALIDOS!$F$2:$F$68)-RADIANS(Z34))+SIN(RADIANS(Y34))*SIN(RADIANS(PARADEROS_VALIDOS!$E$2:$E$68)))),2)</f>
        <v>4.7</v>
      </c>
      <c r="AF34" s="2" t="str">
        <f t="shared" si="3"/>
        <v>🟠 Moderada (3-5 km)</v>
      </c>
      <c r="AG34" s="2"/>
      <c r="AH34" s="2"/>
      <c r="AI34" s="51">
        <v>-11.997563</v>
      </c>
      <c r="AJ34" s="51">
        <v>-76.900062000000005</v>
      </c>
      <c r="AK34" s="2" t="str">
        <f>IFERROR(VLOOKUP(H34,tdcargo[],2,FALSE),"DESCONOCIDO")</f>
        <v>OPERARIO</v>
      </c>
    </row>
    <row r="35" spans="1:37" x14ac:dyDescent="0.35">
      <c r="A35" s="2" t="s">
        <v>3408</v>
      </c>
      <c r="B35" s="2" t="s">
        <v>3409</v>
      </c>
      <c r="C35" s="2" t="s">
        <v>903</v>
      </c>
      <c r="D35" s="2" t="s">
        <v>489</v>
      </c>
      <c r="E35" s="2">
        <v>21</v>
      </c>
      <c r="F35" s="2" t="s">
        <v>3255</v>
      </c>
      <c r="G35" s="2">
        <v>20508085</v>
      </c>
      <c r="H35" s="2" t="s">
        <v>1971</v>
      </c>
      <c r="I35" s="3">
        <v>45520</v>
      </c>
      <c r="J35" s="2" t="s">
        <v>31</v>
      </c>
      <c r="K35" s="3" t="s">
        <v>1968</v>
      </c>
      <c r="L35" s="2" t="s">
        <v>3299</v>
      </c>
      <c r="M35" s="2" t="s">
        <v>3300</v>
      </c>
      <c r="N35" s="2" t="s">
        <v>34</v>
      </c>
      <c r="O35" s="2" t="s">
        <v>3410</v>
      </c>
      <c r="P35" s="2" t="s">
        <v>36</v>
      </c>
      <c r="Q35" s="2" t="s">
        <v>1483</v>
      </c>
      <c r="R35" s="2" t="s">
        <v>3274</v>
      </c>
      <c r="S35" s="2" t="s">
        <v>37</v>
      </c>
      <c r="T35" s="2" t="s">
        <v>37</v>
      </c>
      <c r="U35" s="2" t="s">
        <v>76</v>
      </c>
      <c r="V35" s="3">
        <v>45520</v>
      </c>
      <c r="W35" s="2" t="s">
        <v>48</v>
      </c>
      <c r="X35" s="2" t="str">
        <f t="shared" si="0"/>
        <v>Avenida Santo Toribio Corazon De Jesus, Lurigancho, Lima, Lima, Perú</v>
      </c>
      <c r="Y35" s="22">
        <v>-12.0983672</v>
      </c>
      <c r="Z35" s="22">
        <v>-77.039169700000002</v>
      </c>
      <c r="AA35" s="33">
        <f t="shared" si="1"/>
        <v>18.829999999999998</v>
      </c>
      <c r="AB35" s="2" t="str">
        <f t="shared" si="2"/>
        <v>🟠 Moderada (10-20 km)</v>
      </c>
      <c r="AC35" s="2" t="str" cm="1">
        <f t="array" ref="AC35">INDEX(PARADEROS_VALIDOS!$C$2:$C$68,MATCH(MIN(6371*ACOS(COS(RADIANS(Y35))*COS(RADIANS(PARADEROS_VALIDOS!$E$2:$E$68))*COS(RADIANS(PARADEROS_VALIDOS!$F$2:$F$68)-RADIANS(Z35))+SIN(RADIANS(Y35))*SIN(RADIANS(PARADEROS_VALIDOS!$E$2:$E$68)))),6371*ACOS(COS(RADIANS(Y35))*COS(RADIANS(PARADEROS_VALIDOS!$E$2:$E$68))*COS(RADIANS(PARADEROS_VALIDOS!$F$2:$F$68)-RADIANS(Z35))+SIN(RADIANS(Y35))*SIN(RADIANS(PARADEROS_VALIDOS!$E$2:$E$68))),0))</f>
        <v>Paradero Berlín con Javier prado (cruzando el semáforo) aplica solo al ingreso.</v>
      </c>
      <c r="AD35" s="2" t="str">
        <f>IFERROR(INDEX(PARADEROS_VALIDOS!$A$2:$A$68,MATCH(AC35,PARADEROS_VALIDOS!$C$2:$C$68,0)),"")</f>
        <v>RUTA 4A</v>
      </c>
      <c r="AE35" s="33" cm="1">
        <f t="array" ref="AE35">ROUND(MIN(6371*ACOS(COS(RADIANS(Y35))*COS(RADIANS(PARADEROS_VALIDOS!$E$2:$E$68))*COS(RADIANS(PARADEROS_VALIDOS!$F$2:$F$68)-RADIANS(Z35))+SIN(RADIANS(Y35))*SIN(RADIANS(PARADEROS_VALIDOS!$E$2:$E$68)))),2)</f>
        <v>2.54</v>
      </c>
      <c r="AF35" s="2" t="str">
        <f t="shared" si="3"/>
        <v>🟡 Cerca (1-3 km)</v>
      </c>
      <c r="AG35" s="2"/>
      <c r="AH35" s="2"/>
      <c r="AI35" s="51">
        <v>-11.997563</v>
      </c>
      <c r="AJ35" s="51">
        <v>-76.900062000000005</v>
      </c>
      <c r="AK35" s="2" t="str">
        <f>IFERROR(VLOOKUP(H35,tdcargo[],2,FALSE),"DESCONOCIDO")</f>
        <v>OPERARIO</v>
      </c>
    </row>
    <row r="36" spans="1:37" x14ac:dyDescent="0.35">
      <c r="A36" s="2" t="s">
        <v>3411</v>
      </c>
      <c r="B36" s="2" t="s">
        <v>3412</v>
      </c>
      <c r="C36" s="2" t="s">
        <v>1020</v>
      </c>
      <c r="D36" s="2" t="s">
        <v>295</v>
      </c>
      <c r="E36" s="2">
        <v>33</v>
      </c>
      <c r="F36" s="2" t="s">
        <v>3255</v>
      </c>
      <c r="G36" s="2">
        <v>20508136</v>
      </c>
      <c r="H36" s="2" t="s">
        <v>372</v>
      </c>
      <c r="I36" s="3">
        <v>45435</v>
      </c>
      <c r="J36" s="2" t="s">
        <v>31</v>
      </c>
      <c r="K36" s="3" t="s">
        <v>1968</v>
      </c>
      <c r="L36" s="2" t="s">
        <v>3413</v>
      </c>
      <c r="M36" s="2" t="s">
        <v>3305</v>
      </c>
      <c r="N36" s="2" t="s">
        <v>82</v>
      </c>
      <c r="O36" s="2" t="s">
        <v>3414</v>
      </c>
      <c r="P36" s="2" t="s">
        <v>36</v>
      </c>
      <c r="Q36" s="2" t="s">
        <v>3415</v>
      </c>
      <c r="R36" s="2" t="s">
        <v>3416</v>
      </c>
      <c r="S36" s="2" t="s">
        <v>37</v>
      </c>
      <c r="T36" s="2" t="s">
        <v>37</v>
      </c>
      <c r="U36" s="2" t="s">
        <v>37</v>
      </c>
      <c r="V36" s="3">
        <v>45435</v>
      </c>
      <c r="W36" s="2" t="s">
        <v>48</v>
      </c>
      <c r="X36" s="2" t="str">
        <f t="shared" si="0"/>
        <v>Calle 23 De Setiembre Haras El Huayco Huachipa, Lima, Lima, Lima, Perú</v>
      </c>
      <c r="Y36" s="22">
        <v>-11.9977234</v>
      </c>
      <c r="Z36" s="22">
        <v>-76.912954200000001</v>
      </c>
      <c r="AA36" s="33">
        <f t="shared" si="1"/>
        <v>1.4</v>
      </c>
      <c r="AB36" s="2" t="str">
        <f t="shared" si="2"/>
        <v>🟢 Muy Cerca (0-5 km)</v>
      </c>
      <c r="AC36" s="2" t="str" cm="1">
        <f t="array" ref="AC36">INDEX(PARADEROS_VALIDOS!$C$2:$C$68,MATCH(MIN(6371*ACOS(COS(RADIANS(Y36))*COS(RADIANS(PARADEROS_VALIDOS!$E$2:$E$68))*COS(RADIANS(PARADEROS_VALIDOS!$F$2:$F$68)-RADIANS(Z36))+SIN(RADIANS(Y36))*SIN(RADIANS(PARADEROS_VALIDOS!$E$2:$E$68)))),6371*ACOS(COS(RADIANS(Y36))*COS(RADIANS(PARADEROS_VALIDOS!$E$2:$E$68))*COS(RADIANS(PARADEROS_VALIDOS!$F$2:$F$68)-RADIANS(Z36))+SIN(RADIANS(Y36))*SIN(RADIANS(PARADEROS_VALIDOS!$E$2:$E$68))),0))</f>
        <v>Paradero Arco San Antonio</v>
      </c>
      <c r="AD36" s="2" t="str">
        <f>IFERROR(INDEX(PARADEROS_VALIDOS!$A$2:$A$68,MATCH(AC36,PARADEROS_VALIDOS!$C$2:$C$68,0)),"")</f>
        <v>RUTA 2</v>
      </c>
      <c r="AE36" s="33" cm="1">
        <f t="array" ref="AE36">ROUND(MIN(6371*ACOS(COS(RADIANS(Y36))*COS(RADIANS(PARADEROS_VALIDOS!$E$2:$E$68))*COS(RADIANS(PARADEROS_VALIDOS!$F$2:$F$68)-RADIANS(Z36))+SIN(RADIANS(Y36))*SIN(RADIANS(PARADEROS_VALIDOS!$E$2:$E$68)))),2)</f>
        <v>1.17</v>
      </c>
      <c r="AF36" s="2" t="str">
        <f t="shared" si="3"/>
        <v>🟡 Cerca (1-3 km)</v>
      </c>
      <c r="AG36" s="2"/>
      <c r="AH36" s="2"/>
      <c r="AI36" s="51">
        <v>-11.997563</v>
      </c>
      <c r="AJ36" s="51">
        <v>-76.900062000000005</v>
      </c>
      <c r="AK36" s="2" t="str">
        <f>IFERROR(VLOOKUP(H36,tdcargo[],2,FALSE),"DESCONOCIDO")</f>
        <v>OPERARIO</v>
      </c>
    </row>
    <row r="37" spans="1:37" x14ac:dyDescent="0.35">
      <c r="A37" s="2" t="s">
        <v>3300</v>
      </c>
      <c r="B37" s="2" t="s">
        <v>3417</v>
      </c>
      <c r="C37" s="2" t="s">
        <v>1088</v>
      </c>
      <c r="D37" s="2" t="s">
        <v>3418</v>
      </c>
      <c r="E37" s="2">
        <v>46</v>
      </c>
      <c r="F37" s="2" t="s">
        <v>3255</v>
      </c>
      <c r="G37" s="2">
        <v>20508055</v>
      </c>
      <c r="H37" s="2" t="s">
        <v>2130</v>
      </c>
      <c r="I37" s="3">
        <v>45442</v>
      </c>
      <c r="J37" s="2" t="s">
        <v>31</v>
      </c>
      <c r="K37" s="3" t="s">
        <v>1968</v>
      </c>
      <c r="L37" s="2" t="s">
        <v>3419</v>
      </c>
      <c r="M37" s="2" t="s">
        <v>3420</v>
      </c>
      <c r="N37" s="2" t="s">
        <v>53</v>
      </c>
      <c r="O37" s="2" t="s">
        <v>3421</v>
      </c>
      <c r="P37" s="2" t="s">
        <v>36</v>
      </c>
      <c r="Q37" s="2" t="s">
        <v>3422</v>
      </c>
      <c r="R37" s="2" t="s">
        <v>3423</v>
      </c>
      <c r="S37" s="2" t="s">
        <v>37</v>
      </c>
      <c r="T37" s="2" t="s">
        <v>37</v>
      </c>
      <c r="U37" s="2" t="s">
        <v>1416</v>
      </c>
      <c r="V37" s="3">
        <v>45442</v>
      </c>
      <c r="W37" s="2" t="s">
        <v>48</v>
      </c>
      <c r="X37" s="2" t="str">
        <f t="shared" si="0"/>
        <v>Jirón Cataluã‘A La Capilla, La Molina, Lima, Lima, Perú</v>
      </c>
      <c r="Y37" s="22">
        <v>-12.111752600000001</v>
      </c>
      <c r="Z37" s="22">
        <v>-76.943897800000002</v>
      </c>
      <c r="AA37" s="33">
        <f t="shared" si="1"/>
        <v>13.56</v>
      </c>
      <c r="AB37" s="2" t="str">
        <f t="shared" si="2"/>
        <v>🟠 Moderada (10-20 km)</v>
      </c>
      <c r="AC37" s="2" t="str" cm="1">
        <f t="array" ref="AC37">INDEX(PARADEROS_VALIDOS!$C$2:$C$68,MATCH(MIN(6371*ACOS(COS(RADIANS(Y37))*COS(RADIANS(PARADEROS_VALIDOS!$E$2:$E$68))*COS(RADIANS(PARADEROS_VALIDOS!$F$2:$F$68)-RADIANS(Z37))+SIN(RADIANS(Y37))*SIN(RADIANS(PARADEROS_VALIDOS!$E$2:$E$68)))),6371*ACOS(COS(RADIANS(Y37))*COS(RADIANS(PARADEROS_VALIDOS!$E$2:$E$68))*COS(RADIANS(PARADEROS_VALIDOS!$F$2:$F$68)-RADIANS(Z37))+SIN(RADIANS(Y37))*SIN(RADIANS(PARADEROS_VALIDOS!$E$2:$E$68))),0))</f>
        <v>Paradero San Juan</v>
      </c>
      <c r="AD37" s="2" t="str">
        <f>IFERROR(INDEX(PARADEROS_VALIDOS!$A$2:$A$68,MATCH(AC37,PARADEROS_VALIDOS!$C$2:$C$68,0)),"")</f>
        <v>RUTA 5B</v>
      </c>
      <c r="AE37" s="33" cm="1">
        <f t="array" ref="AE37">ROUND(MIN(6371*ACOS(COS(RADIANS(Y37))*COS(RADIANS(PARADEROS_VALIDOS!$E$2:$E$68))*COS(RADIANS(PARADEROS_VALIDOS!$F$2:$F$68)-RADIANS(Z37))+SIN(RADIANS(Y37))*SIN(RADIANS(PARADEROS_VALIDOS!$E$2:$E$68)))),2)</f>
        <v>2.74</v>
      </c>
      <c r="AF37" s="2" t="str">
        <f t="shared" si="3"/>
        <v>🟡 Cerca (1-3 km)</v>
      </c>
      <c r="AG37" s="2"/>
      <c r="AH37" s="2"/>
      <c r="AI37" s="51">
        <v>-11.997563</v>
      </c>
      <c r="AJ37" s="51">
        <v>-76.900062000000005</v>
      </c>
      <c r="AK37" s="2" t="str">
        <f>IFERROR(VLOOKUP(H37,tdcargo[],2,FALSE),"DESCONOCIDO")</f>
        <v>STAFF</v>
      </c>
    </row>
    <row r="38" spans="1:37" x14ac:dyDescent="0.35">
      <c r="A38" s="2" t="s">
        <v>3424</v>
      </c>
      <c r="B38" s="2" t="s">
        <v>3425</v>
      </c>
      <c r="C38" s="2" t="s">
        <v>3426</v>
      </c>
      <c r="D38" s="2" t="s">
        <v>3427</v>
      </c>
      <c r="E38" s="2">
        <v>26</v>
      </c>
      <c r="F38" s="2" t="s">
        <v>3255</v>
      </c>
      <c r="G38" s="2">
        <v>20508027</v>
      </c>
      <c r="H38" s="2" t="s">
        <v>1971</v>
      </c>
      <c r="I38" s="3">
        <v>45306</v>
      </c>
      <c r="J38" s="2" t="s">
        <v>31</v>
      </c>
      <c r="K38" s="3" t="s">
        <v>1968</v>
      </c>
      <c r="L38" s="2" t="s">
        <v>3278</v>
      </c>
      <c r="M38" s="2" t="s">
        <v>3279</v>
      </c>
      <c r="N38" s="2" t="s">
        <v>36</v>
      </c>
      <c r="O38" s="2" t="s">
        <v>3428</v>
      </c>
      <c r="P38" s="2" t="s">
        <v>36</v>
      </c>
      <c r="Q38" s="2" t="s">
        <v>46</v>
      </c>
      <c r="R38" s="2" t="s">
        <v>3274</v>
      </c>
      <c r="S38" s="2" t="s">
        <v>37</v>
      </c>
      <c r="T38" s="2" t="s">
        <v>37</v>
      </c>
      <c r="U38" s="2" t="s">
        <v>76</v>
      </c>
      <c r="V38" s="3">
        <v>45306</v>
      </c>
      <c r="W38" s="2" t="s">
        <v>48</v>
      </c>
      <c r="X38" s="2" t="str">
        <f t="shared" si="0"/>
        <v>Asoc. La Victoria De Cajamarquilla, Lurigancho, Lima, Lima, Perú</v>
      </c>
      <c r="Y38" s="22">
        <v>-11.984105100000001</v>
      </c>
      <c r="Z38" s="22">
        <v>-76.9183594</v>
      </c>
      <c r="AA38" s="33">
        <f t="shared" si="1"/>
        <v>2.4900000000000002</v>
      </c>
      <c r="AB38" s="2" t="str">
        <f t="shared" si="2"/>
        <v>🟢 Muy Cerca (0-5 km)</v>
      </c>
      <c r="AC38" s="2" t="str" cm="1">
        <f t="array" ref="AC38">INDEX(PARADEROS_VALIDOS!$C$2:$C$68,MATCH(MIN(6371*ACOS(COS(RADIANS(Y38))*COS(RADIANS(PARADEROS_VALIDOS!$E$2:$E$68))*COS(RADIANS(PARADEROS_VALIDOS!$F$2:$F$68)-RADIANS(Z38))+SIN(RADIANS(Y38))*SIN(RADIANS(PARADEROS_VALIDOS!$E$2:$E$68)))),6371*ACOS(COS(RADIANS(Y38))*COS(RADIANS(PARADEROS_VALIDOS!$E$2:$E$68))*COS(RADIANS(PARADEROS_VALIDOS!$F$2:$F$68)-RADIANS(Z38))+SIN(RADIANS(Y38))*SIN(RADIANS(PARADEROS_VALIDOS!$E$2:$E$68))),0))</f>
        <v>Paradero Arco San Antonio</v>
      </c>
      <c r="AD38" s="2" t="str">
        <f>IFERROR(INDEX(PARADEROS_VALIDOS!$A$2:$A$68,MATCH(AC38,PARADEROS_VALIDOS!$C$2:$C$68,0)),"")</f>
        <v>RUTA 2</v>
      </c>
      <c r="AE38" s="33" cm="1">
        <f t="array" ref="AE38">ROUND(MIN(6371*ACOS(COS(RADIANS(Y38))*COS(RADIANS(PARADEROS_VALIDOS!$E$2:$E$68))*COS(RADIANS(PARADEROS_VALIDOS!$F$2:$F$68)-RADIANS(Z38))+SIN(RADIANS(Y38))*SIN(RADIANS(PARADEROS_VALIDOS!$E$2:$E$68)))),2)</f>
        <v>1.96</v>
      </c>
      <c r="AF38" s="2" t="str">
        <f t="shared" si="3"/>
        <v>🟡 Cerca (1-3 km)</v>
      </c>
      <c r="AG38" s="2"/>
      <c r="AH38" s="2"/>
      <c r="AI38" s="51">
        <v>-11.997563</v>
      </c>
      <c r="AJ38" s="51">
        <v>-76.900062000000005</v>
      </c>
      <c r="AK38" s="2" t="str">
        <f>IFERROR(VLOOKUP(H38,tdcargo[],2,FALSE),"DESCONOCIDO")</f>
        <v>OPERARIO</v>
      </c>
    </row>
    <row r="39" spans="1:37" x14ac:dyDescent="0.35">
      <c r="A39" s="2" t="s">
        <v>3429</v>
      </c>
      <c r="B39" s="2" t="s">
        <v>3430</v>
      </c>
      <c r="C39" s="2" t="s">
        <v>3431</v>
      </c>
      <c r="D39" s="2" t="s">
        <v>3432</v>
      </c>
      <c r="E39" s="2">
        <v>20</v>
      </c>
      <c r="F39" s="2" t="s">
        <v>3255</v>
      </c>
      <c r="G39" s="2">
        <v>20507987</v>
      </c>
      <c r="H39" s="2" t="s">
        <v>1971</v>
      </c>
      <c r="I39" s="3">
        <v>45996</v>
      </c>
      <c r="J39" s="2" t="s">
        <v>31</v>
      </c>
      <c r="K39" s="3" t="s">
        <v>1968</v>
      </c>
      <c r="L39" s="2" t="s">
        <v>3373</v>
      </c>
      <c r="M39" s="2" t="s">
        <v>3374</v>
      </c>
      <c r="N39" s="2" t="s">
        <v>36</v>
      </c>
      <c r="O39" s="2" t="s">
        <v>2297</v>
      </c>
      <c r="P39" s="2" t="s">
        <v>36</v>
      </c>
      <c r="Q39" s="2" t="s">
        <v>1818</v>
      </c>
      <c r="R39" s="2" t="s">
        <v>3274</v>
      </c>
      <c r="S39" s="2" t="s">
        <v>37</v>
      </c>
      <c r="T39" s="2" t="s">
        <v>37</v>
      </c>
      <c r="U39" s="2" t="s">
        <v>76</v>
      </c>
      <c r="V39" s="3">
        <v>45996</v>
      </c>
      <c r="W39" s="2" t="s">
        <v>135</v>
      </c>
      <c r="X39" s="2" t="str">
        <f t="shared" si="0"/>
        <v>B1 Casa Huerta, Lurigancho, Lima, Lima, Perú</v>
      </c>
      <c r="Y39" s="22">
        <v>-12.114015699999999</v>
      </c>
      <c r="Z39" s="22">
        <v>-77.015963600000006</v>
      </c>
      <c r="AA39" s="33">
        <f t="shared" si="1"/>
        <v>18.07</v>
      </c>
      <c r="AB39" s="2" t="str">
        <f t="shared" si="2"/>
        <v>🟠 Moderada (10-20 km)</v>
      </c>
      <c r="AC39" s="2" t="str" cm="1">
        <f t="array" ref="AC39">INDEX(PARADEROS_VALIDOS!$C$2:$C$68,MATCH(MIN(6371*ACOS(COS(RADIANS(Y39))*COS(RADIANS(PARADEROS_VALIDOS!$E$2:$E$68))*COS(RADIANS(PARADEROS_VALIDOS!$F$2:$F$68)-RADIANS(Z39))+SIN(RADIANS(Y39))*SIN(RADIANS(PARADEROS_VALIDOS!$E$2:$E$68)))),6371*ACOS(COS(RADIANS(Y39))*COS(RADIANS(PARADEROS_VALIDOS!$E$2:$E$68))*COS(RADIANS(PARADEROS_VALIDOS!$F$2:$F$68)-RADIANS(Z39))+SIN(RADIANS(Y39))*SIN(RADIANS(PARADEROS_VALIDOS!$E$2:$E$68))),0))</f>
        <v>Paradero Berlín con Javier prado (cruzando el semáforo) aplica solo al ingreso.</v>
      </c>
      <c r="AD39" s="2" t="str">
        <f>IFERROR(INDEX(PARADEROS_VALIDOS!$A$2:$A$68,MATCH(AC39,PARADEROS_VALIDOS!$C$2:$C$68,0)),"")</f>
        <v>RUTA 4A</v>
      </c>
      <c r="AE39" s="33" cm="1">
        <f t="array" ref="AE39">ROUND(MIN(6371*ACOS(COS(RADIANS(Y39))*COS(RADIANS(PARADEROS_VALIDOS!$E$2:$E$68))*COS(RADIANS(PARADEROS_VALIDOS!$F$2:$F$68)-RADIANS(Z39))+SIN(RADIANS(Y39))*SIN(RADIANS(PARADEROS_VALIDOS!$E$2:$E$68)))),2)</f>
        <v>2.65</v>
      </c>
      <c r="AF39" s="2" t="str">
        <f t="shared" si="3"/>
        <v>🟡 Cerca (1-3 km)</v>
      </c>
      <c r="AG39" s="2"/>
      <c r="AH39" s="2"/>
      <c r="AI39" s="51">
        <v>-11.997563</v>
      </c>
      <c r="AJ39" s="51">
        <v>-76.900062000000005</v>
      </c>
      <c r="AK39" s="2" t="str">
        <f>IFERROR(VLOOKUP(H39,tdcargo[],2,FALSE),"DESCONOCIDO")</f>
        <v>OPERARIO</v>
      </c>
    </row>
    <row r="40" spans="1:37" x14ac:dyDescent="0.35">
      <c r="A40" s="2" t="s">
        <v>3433</v>
      </c>
      <c r="B40" s="2" t="s">
        <v>1680</v>
      </c>
      <c r="C40" s="2" t="s">
        <v>640</v>
      </c>
      <c r="D40" s="2" t="s">
        <v>3434</v>
      </c>
      <c r="E40" s="2">
        <v>29</v>
      </c>
      <c r="F40" s="2" t="s">
        <v>3255</v>
      </c>
      <c r="G40" s="2">
        <v>20511540</v>
      </c>
      <c r="H40" s="2" t="s">
        <v>1971</v>
      </c>
      <c r="I40" s="3">
        <v>45779</v>
      </c>
      <c r="J40" s="2" t="s">
        <v>31</v>
      </c>
      <c r="K40" s="3" t="s">
        <v>1968</v>
      </c>
      <c r="L40" s="2" t="s">
        <v>3263</v>
      </c>
      <c r="M40" s="2" t="s">
        <v>3264</v>
      </c>
      <c r="N40" s="2" t="s">
        <v>36</v>
      </c>
      <c r="O40" s="2" t="s">
        <v>3435</v>
      </c>
      <c r="P40" s="2" t="s">
        <v>36</v>
      </c>
      <c r="Q40" s="2" t="s">
        <v>1990</v>
      </c>
      <c r="R40" s="2" t="s">
        <v>3260</v>
      </c>
      <c r="S40" s="2" t="s">
        <v>37</v>
      </c>
      <c r="T40" s="2" t="s">
        <v>37</v>
      </c>
      <c r="U40" s="2" t="s">
        <v>38</v>
      </c>
      <c r="V40" s="3">
        <v>45779</v>
      </c>
      <c r="W40" s="2" t="s">
        <v>39</v>
      </c>
      <c r="X40" s="2" t="str">
        <f t="shared" si="0"/>
        <v>Faustino Sanchez Carrion Mariscal Caceres, San Juan De Lurigancho, Lima, Lima, Perú</v>
      </c>
      <c r="Y40" s="22">
        <v>-11.947525199999999</v>
      </c>
      <c r="Z40" s="22">
        <v>-76.980099100000004</v>
      </c>
      <c r="AA40" s="33">
        <f t="shared" si="1"/>
        <v>10.33</v>
      </c>
      <c r="AB40" s="2" t="str">
        <f t="shared" si="2"/>
        <v>🟠 Moderada (10-20 km)</v>
      </c>
      <c r="AC40" s="2" t="str" cm="1">
        <f t="array" ref="AC40">INDEX(PARADEROS_VALIDOS!$C$2:$C$68,MATCH(MIN(6371*ACOS(COS(RADIANS(Y40))*COS(RADIANS(PARADEROS_VALIDOS!$E$2:$E$68))*COS(RADIANS(PARADEROS_VALIDOS!$F$2:$F$68)-RADIANS(Z40))+SIN(RADIANS(Y40))*SIN(RADIANS(PARADEROS_VALIDOS!$E$2:$E$68)))),6371*ACOS(COS(RADIANS(Y40))*COS(RADIANS(PARADEROS_VALIDOS!$E$2:$E$68))*COS(RADIANS(PARADEROS_VALIDOS!$F$2:$F$68)-RADIANS(Z40))+SIN(RADIANS(Y40))*SIN(RADIANS(PARADEROS_VALIDOS!$E$2:$E$68))),0))</f>
        <v>Paradero San Martin</v>
      </c>
      <c r="AD40" s="2" t="str">
        <f>IFERROR(INDEX(PARADEROS_VALIDOS!$A$2:$A$68,MATCH(AC40,PARADEROS_VALIDOS!$C$2:$C$68,0)),"")</f>
        <v>RUTA 6A</v>
      </c>
      <c r="AE40" s="33" cm="1">
        <f t="array" ref="AE40">ROUND(MIN(6371*ACOS(COS(RADIANS(Y40))*COS(RADIANS(PARADEROS_VALIDOS!$E$2:$E$68))*COS(RADIANS(PARADEROS_VALIDOS!$F$2:$F$68)-RADIANS(Z40))+SIN(RADIANS(Y40))*SIN(RADIANS(PARADEROS_VALIDOS!$E$2:$E$68)))),2)</f>
        <v>3.75</v>
      </c>
      <c r="AF40" s="2" t="str">
        <f t="shared" si="3"/>
        <v>🟠 Moderada (3-5 km)</v>
      </c>
      <c r="AG40" s="2"/>
      <c r="AH40" s="2"/>
      <c r="AI40" s="51">
        <v>-11.997563</v>
      </c>
      <c r="AJ40" s="51">
        <v>-76.900062000000005</v>
      </c>
      <c r="AK40" s="2" t="str">
        <f>IFERROR(VLOOKUP(H40,tdcargo[],2,FALSE),"DESCONOCIDO")</f>
        <v>OPERARIO</v>
      </c>
    </row>
    <row r="41" spans="1:37" x14ac:dyDescent="0.35">
      <c r="A41" s="2" t="s">
        <v>3436</v>
      </c>
      <c r="B41" s="2" t="s">
        <v>3437</v>
      </c>
      <c r="C41" s="2" t="s">
        <v>3438</v>
      </c>
      <c r="D41" s="2" t="s">
        <v>3439</v>
      </c>
      <c r="E41" s="2">
        <v>22</v>
      </c>
      <c r="F41" s="2" t="s">
        <v>3255</v>
      </c>
      <c r="G41" s="2">
        <v>20511212</v>
      </c>
      <c r="H41" s="2" t="s">
        <v>1971</v>
      </c>
      <c r="I41" s="3">
        <v>46062</v>
      </c>
      <c r="J41" s="2" t="s">
        <v>31</v>
      </c>
      <c r="K41" s="3" t="s">
        <v>1968</v>
      </c>
      <c r="L41" s="2" t="s">
        <v>3256</v>
      </c>
      <c r="M41" s="2" t="s">
        <v>3257</v>
      </c>
      <c r="N41" s="2" t="s">
        <v>34</v>
      </c>
      <c r="O41" s="2" t="s">
        <v>3440</v>
      </c>
      <c r="P41" s="2" t="s">
        <v>36</v>
      </c>
      <c r="Q41" s="2" t="s">
        <v>3441</v>
      </c>
      <c r="R41" s="2" t="s">
        <v>3442</v>
      </c>
      <c r="S41" s="2" t="s">
        <v>37</v>
      </c>
      <c r="T41" s="2" t="s">
        <v>37</v>
      </c>
      <c r="U41" s="2" t="s">
        <v>47</v>
      </c>
      <c r="V41" s="3">
        <v>46062</v>
      </c>
      <c r="W41" s="2" t="s">
        <v>135</v>
      </c>
      <c r="X41" s="2" t="str">
        <f t="shared" si="0"/>
        <v>Avenida Calle Los Geranios VALLE ALTO, Puente Piedra, Lima, Lima, Perú</v>
      </c>
      <c r="Y41" s="22">
        <v>-11.916335800000001</v>
      </c>
      <c r="Z41" s="22">
        <v>-77.078967899999995</v>
      </c>
      <c r="AA41" s="33">
        <f t="shared" si="1"/>
        <v>21.46</v>
      </c>
      <c r="AB41" s="2" t="str">
        <f t="shared" si="2"/>
        <v>🔴 Lejos (&gt;20 km)</v>
      </c>
      <c r="AC41" s="2" t="str" cm="1">
        <f t="array" ref="AC41">INDEX(PARADEROS_VALIDOS!$C$2:$C$68,MATCH(MIN(6371*ACOS(COS(RADIANS(Y41))*COS(RADIANS(PARADEROS_VALIDOS!$E$2:$E$68))*COS(RADIANS(PARADEROS_VALIDOS!$F$2:$F$68)-RADIANS(Z41))+SIN(RADIANS(Y41))*SIN(RADIANS(PARADEROS_VALIDOS!$E$2:$E$68)))),6371*ACOS(COS(RADIANS(Y41))*COS(RADIANS(PARADEROS_VALIDOS!$E$2:$E$68))*COS(RADIANS(PARADEROS_VALIDOS!$F$2:$F$68)-RADIANS(Z41))+SIN(RADIANS(Y41))*SIN(RADIANS(PARADEROS_VALIDOS!$E$2:$E$68))),0))</f>
        <v>Av. Metropolitana con Cultura</v>
      </c>
      <c r="AD41" s="2" t="str">
        <f>IFERROR(INDEX(PARADEROS_VALIDOS!$A$2:$A$68,MATCH(AC41,PARADEROS_VALIDOS!$C$2:$C$68,0)),"")</f>
        <v>RUTA 4A</v>
      </c>
      <c r="AE41" s="33" cm="1">
        <f t="array" ref="AE41">ROUND(MIN(6371*ACOS(COS(RADIANS(Y41))*COS(RADIANS(PARADEROS_VALIDOS!$E$2:$E$68))*COS(RADIANS(PARADEROS_VALIDOS!$F$2:$F$68)-RADIANS(Z41))+SIN(RADIANS(Y41))*SIN(RADIANS(PARADEROS_VALIDOS!$E$2:$E$68)))),2)</f>
        <v>4.3499999999999996</v>
      </c>
      <c r="AF41" s="2" t="str">
        <f t="shared" si="3"/>
        <v>🟠 Moderada (3-5 km)</v>
      </c>
      <c r="AG41" s="2"/>
      <c r="AH41" s="2"/>
      <c r="AI41" s="51">
        <v>-11.997563</v>
      </c>
      <c r="AJ41" s="51">
        <v>-76.900062000000005</v>
      </c>
      <c r="AK41" s="2" t="str">
        <f>IFERROR(VLOOKUP(H41,tdcargo[],2,FALSE),"DESCONOCIDO")</f>
        <v>OPERARIO</v>
      </c>
    </row>
    <row r="42" spans="1:37" x14ac:dyDescent="0.35">
      <c r="A42" s="2" t="s">
        <v>3443</v>
      </c>
      <c r="B42" s="2" t="s">
        <v>3444</v>
      </c>
      <c r="C42" s="2" t="s">
        <v>273</v>
      </c>
      <c r="D42" s="2" t="s">
        <v>3445</v>
      </c>
      <c r="E42" s="2">
        <v>24</v>
      </c>
      <c r="F42" s="2" t="s">
        <v>3255</v>
      </c>
      <c r="G42" s="2">
        <v>20508035</v>
      </c>
      <c r="H42" s="2" t="s">
        <v>1971</v>
      </c>
      <c r="I42" s="3">
        <v>46083</v>
      </c>
      <c r="J42" s="2" t="s">
        <v>31</v>
      </c>
      <c r="K42" s="3" t="s">
        <v>1968</v>
      </c>
      <c r="L42" s="2" t="s">
        <v>3278</v>
      </c>
      <c r="M42" s="2" t="s">
        <v>3279</v>
      </c>
      <c r="N42" s="2" t="s">
        <v>793</v>
      </c>
      <c r="O42" s="2" t="s">
        <v>3446</v>
      </c>
      <c r="P42" s="2" t="s">
        <v>36</v>
      </c>
      <c r="Q42" s="2" t="s">
        <v>2265</v>
      </c>
      <c r="R42" s="2" t="s">
        <v>3291</v>
      </c>
      <c r="S42" s="2" t="s">
        <v>37</v>
      </c>
      <c r="T42" s="2" t="s">
        <v>37</v>
      </c>
      <c r="U42" s="2" t="s">
        <v>57</v>
      </c>
      <c r="V42" s="3">
        <v>46083</v>
      </c>
      <c r="W42" s="2" t="s">
        <v>135</v>
      </c>
      <c r="X42" s="2" t="str">
        <f t="shared" si="0"/>
        <v>Carretera Horacio Zeballos Gom HORACIO ZEBALLOS, Ate, Lima, Lima, Perú</v>
      </c>
      <c r="Y42" s="22">
        <v>-12.008354000000001</v>
      </c>
      <c r="Z42" s="22">
        <v>-76.8420196</v>
      </c>
      <c r="AA42" s="33">
        <f t="shared" si="1"/>
        <v>6.43</v>
      </c>
      <c r="AB42" s="2" t="str">
        <f t="shared" si="2"/>
        <v>🟡 Cerca (5-10 km)</v>
      </c>
      <c r="AC42" s="2" t="str" cm="1">
        <f t="array" ref="AC42">INDEX(PARADEROS_VALIDOS!$C$2:$C$68,MATCH(MIN(6371*ACOS(COS(RADIANS(Y42))*COS(RADIANS(PARADEROS_VALIDOS!$E$2:$E$68))*COS(RADIANS(PARADEROS_VALIDOS!$F$2:$F$68)-RADIANS(Z42))+SIN(RADIANS(Y42))*SIN(RADIANS(PARADEROS_VALIDOS!$E$2:$E$68)))),6371*ACOS(COS(RADIANS(Y42))*COS(RADIANS(PARADEROS_VALIDOS!$E$2:$E$68))*COS(RADIANS(PARADEROS_VALIDOS!$F$2:$F$68)-RADIANS(Z42))+SIN(RADIANS(Y42))*SIN(RADIANS(PARADEROS_VALIDOS!$E$2:$E$68))),0))</f>
        <v>Entrada Horacio</v>
      </c>
      <c r="AD42" s="2" t="str">
        <f>IFERROR(INDEX(PARADEROS_VALIDOS!$A$2:$A$68,MATCH(AC42,PARADEROS_VALIDOS!$C$2:$C$68,0)),"")</f>
        <v>RUTA 5B</v>
      </c>
      <c r="AE42" s="33" cm="1">
        <f t="array" ref="AE42">ROUND(MIN(6371*ACOS(COS(RADIANS(Y42))*COS(RADIANS(PARADEROS_VALIDOS!$E$2:$E$68))*COS(RADIANS(PARADEROS_VALIDOS!$F$2:$F$68)-RADIANS(Z42))+SIN(RADIANS(Y42))*SIN(RADIANS(PARADEROS_VALIDOS!$E$2:$E$68)))),2)</f>
        <v>0</v>
      </c>
      <c r="AF42" s="2" t="str">
        <f t="shared" si="3"/>
        <v>🟢 Muy Cerca (0-1 km)</v>
      </c>
      <c r="AG42" s="2"/>
      <c r="AH42" s="2"/>
      <c r="AI42" s="51">
        <v>-11.997563</v>
      </c>
      <c r="AJ42" s="51">
        <v>-76.900062000000005</v>
      </c>
      <c r="AK42" s="2" t="str">
        <f>IFERROR(VLOOKUP(H42,tdcargo[],2,FALSE),"DESCONOCIDO")</f>
        <v>OPERARIO</v>
      </c>
    </row>
    <row r="43" spans="1:37" x14ac:dyDescent="0.35">
      <c r="A43" s="2" t="s">
        <v>3447</v>
      </c>
      <c r="B43" s="2" t="s">
        <v>3448</v>
      </c>
      <c r="C43" s="2" t="s">
        <v>3449</v>
      </c>
      <c r="D43" s="2" t="s">
        <v>3450</v>
      </c>
      <c r="E43" s="2">
        <v>27</v>
      </c>
      <c r="F43" s="2" t="s">
        <v>3255</v>
      </c>
      <c r="G43" s="2">
        <v>20508102</v>
      </c>
      <c r="H43" s="2" t="s">
        <v>1971</v>
      </c>
      <c r="I43" s="3">
        <v>45425</v>
      </c>
      <c r="J43" s="2" t="s">
        <v>31</v>
      </c>
      <c r="K43" s="3" t="s">
        <v>1968</v>
      </c>
      <c r="L43" s="2" t="s">
        <v>3263</v>
      </c>
      <c r="M43" s="2" t="s">
        <v>3264</v>
      </c>
      <c r="N43" s="2" t="s">
        <v>34</v>
      </c>
      <c r="O43" s="2" t="s">
        <v>227</v>
      </c>
      <c r="P43" s="2" t="s">
        <v>36</v>
      </c>
      <c r="Q43" s="2" t="s">
        <v>1023</v>
      </c>
      <c r="R43" s="2" t="s">
        <v>3274</v>
      </c>
      <c r="S43" s="2" t="s">
        <v>37</v>
      </c>
      <c r="T43" s="2" t="s">
        <v>37</v>
      </c>
      <c r="U43" s="2" t="s">
        <v>76</v>
      </c>
      <c r="V43" s="3">
        <v>45425</v>
      </c>
      <c r="W43" s="2" t="s">
        <v>48</v>
      </c>
      <c r="X43" s="2" t="str">
        <f t="shared" si="0"/>
        <v>Avenida Huachipa La Capitana, Lurigancho, Lima, Lima, Perú</v>
      </c>
      <c r="Y43" s="22">
        <v>-12.014591899999999</v>
      </c>
      <c r="Z43" s="22">
        <v>-76.921181200000007</v>
      </c>
      <c r="AA43" s="33">
        <f t="shared" si="1"/>
        <v>2.98</v>
      </c>
      <c r="AB43" s="2" t="str">
        <f t="shared" si="2"/>
        <v>🟢 Muy Cerca (0-5 km)</v>
      </c>
      <c r="AC43" s="2" t="str" cm="1">
        <f t="array" ref="AC43">INDEX(PARADEROS_VALIDOS!$C$2:$C$68,MATCH(MIN(6371*ACOS(COS(RADIANS(Y43))*COS(RADIANS(PARADEROS_VALIDOS!$E$2:$E$68))*COS(RADIANS(PARADEROS_VALIDOS!$F$2:$F$68)-RADIANS(Z43))+SIN(RADIANS(Y43))*SIN(RADIANS(PARADEROS_VALIDOS!$E$2:$E$68)))),6371*ACOS(COS(RADIANS(Y43))*COS(RADIANS(PARADEROS_VALIDOS!$E$2:$E$68))*COS(RADIANS(PARADEROS_VALIDOS!$F$2:$F$68)-RADIANS(Z43))+SIN(RADIANS(Y43))*SIN(RADIANS(PARADEROS_VALIDOS!$E$2:$E$68))),0))</f>
        <v>Estadio Huachipa</v>
      </c>
      <c r="AD43" s="2" t="str">
        <f>IFERROR(INDEX(PARADEROS_VALIDOS!$A$2:$A$68,MATCH(AC43,PARADEROS_VALIDOS!$C$2:$C$68,0)),"")</f>
        <v>RUTA 5C</v>
      </c>
      <c r="AE43" s="33" cm="1">
        <f t="array" ref="AE43">ROUND(MIN(6371*ACOS(COS(RADIANS(Y43))*COS(RADIANS(PARADEROS_VALIDOS!$E$2:$E$68))*COS(RADIANS(PARADEROS_VALIDOS!$F$2:$F$68)-RADIANS(Z43))+SIN(RADIANS(Y43))*SIN(RADIANS(PARADEROS_VALIDOS!$E$2:$E$68)))),2)</f>
        <v>0.53</v>
      </c>
      <c r="AF43" s="2" t="str">
        <f t="shared" si="3"/>
        <v>🟢 Muy Cerca (0-1 km)</v>
      </c>
      <c r="AG43" s="2"/>
      <c r="AH43" s="2"/>
      <c r="AI43" s="51">
        <v>-11.997563</v>
      </c>
      <c r="AJ43" s="51">
        <v>-76.900062000000005</v>
      </c>
      <c r="AK43" s="2" t="str">
        <f>IFERROR(VLOOKUP(H43,tdcargo[],2,FALSE),"DESCONOCIDO")</f>
        <v>OPERARIO</v>
      </c>
    </row>
    <row r="44" spans="1:37" x14ac:dyDescent="0.35">
      <c r="A44" s="2" t="s">
        <v>3451</v>
      </c>
      <c r="B44" s="2" t="s">
        <v>3452</v>
      </c>
      <c r="C44" s="2" t="s">
        <v>3453</v>
      </c>
      <c r="D44" s="2" t="s">
        <v>3453</v>
      </c>
      <c r="E44" s="2">
        <v>56</v>
      </c>
      <c r="F44" s="2" t="s">
        <v>3255</v>
      </c>
      <c r="G44" s="2">
        <v>20508110</v>
      </c>
      <c r="H44" s="2" t="s">
        <v>2001</v>
      </c>
      <c r="I44" s="3">
        <v>42156</v>
      </c>
      <c r="J44" s="2" t="s">
        <v>31</v>
      </c>
      <c r="K44" s="3" t="s">
        <v>1968</v>
      </c>
      <c r="L44" s="2" t="s">
        <v>3263</v>
      </c>
      <c r="M44" s="2" t="s">
        <v>3264</v>
      </c>
      <c r="N44" s="2" t="s">
        <v>36</v>
      </c>
      <c r="O44" s="2" t="s">
        <v>46</v>
      </c>
      <c r="P44" s="2" t="s">
        <v>186</v>
      </c>
      <c r="Q44" s="2" t="s">
        <v>3454</v>
      </c>
      <c r="R44" s="2" t="s">
        <v>3455</v>
      </c>
      <c r="S44" s="2" t="s">
        <v>37</v>
      </c>
      <c r="T44" s="2" t="s">
        <v>37</v>
      </c>
      <c r="U44" s="2" t="s">
        <v>310</v>
      </c>
      <c r="V44" s="3">
        <v>42156</v>
      </c>
      <c r="W44" s="2" t="s">
        <v>48</v>
      </c>
      <c r="X44" s="2" t="str">
        <f t="shared" si="0"/>
        <v>Nd, Urb. Urbanización Pachacamac - Barrio 3 - Sector 2, Villa El Salvador, Lima, Lima, Perú</v>
      </c>
      <c r="Y44" s="22">
        <v>-12.207596000000001</v>
      </c>
      <c r="Z44" s="22">
        <v>-76.939820900000001</v>
      </c>
      <c r="AA44" s="33">
        <f t="shared" si="1"/>
        <v>23.75</v>
      </c>
      <c r="AB44" s="2" t="str">
        <f t="shared" si="2"/>
        <v>🔴 Lejos (&gt;20 km)</v>
      </c>
      <c r="AC44" s="2" t="str" cm="1">
        <f t="array" ref="AC44">INDEX(PARADEROS_VALIDOS!$C$2:$C$68,MATCH(MIN(6371*ACOS(COS(RADIANS(Y44))*COS(RADIANS(PARADEROS_VALIDOS!$E$2:$E$68))*COS(RADIANS(PARADEROS_VALIDOS!$F$2:$F$68)-RADIANS(Z44))+SIN(RADIANS(Y44))*SIN(RADIANS(PARADEROS_VALIDOS!$E$2:$E$68)))),6371*ACOS(COS(RADIANS(Y44))*COS(RADIANS(PARADEROS_VALIDOS!$E$2:$E$68))*COS(RADIANS(PARADEROS_VALIDOS!$F$2:$F$68)-RADIANS(Z44))+SIN(RADIANS(Y44))*SIN(RADIANS(PARADEROS_VALIDOS!$E$2:$E$68))),0))</f>
        <v>Villa El Salvador (Cruce AV. El Sol con ruta C)</v>
      </c>
      <c r="AD44" s="2" t="str">
        <f>IFERROR(INDEX(PARADEROS_VALIDOS!$A$2:$A$68,MATCH(AC44,PARADEROS_VALIDOS!$C$2:$C$68,0)),"")</f>
        <v>RUTA 7</v>
      </c>
      <c r="AE44" s="33" cm="1">
        <f t="array" ref="AE44">ROUND(MIN(6371*ACOS(COS(RADIANS(Y44))*COS(RADIANS(PARADEROS_VALIDOS!$E$2:$E$68))*COS(RADIANS(PARADEROS_VALIDOS!$F$2:$F$68)-RADIANS(Z44))+SIN(RADIANS(Y44))*SIN(RADIANS(PARADEROS_VALIDOS!$E$2:$E$68)))),2)</f>
        <v>1.42</v>
      </c>
      <c r="AF44" s="2" t="str">
        <f t="shared" si="3"/>
        <v>🟡 Cerca (1-3 km)</v>
      </c>
      <c r="AG44" s="2"/>
      <c r="AH44" s="2"/>
      <c r="AI44" s="51">
        <v>-11.997563</v>
      </c>
      <c r="AJ44" s="51">
        <v>-76.900062000000005</v>
      </c>
      <c r="AK44" s="2" t="str">
        <f>IFERROR(VLOOKUP(H44,tdcargo[],2,FALSE),"DESCONOCIDO")</f>
        <v>OPERARIO</v>
      </c>
    </row>
    <row r="45" spans="1:37" x14ac:dyDescent="0.35">
      <c r="A45" s="2" t="s">
        <v>3456</v>
      </c>
      <c r="B45" s="2" t="s">
        <v>3457</v>
      </c>
      <c r="C45" s="2" t="s">
        <v>3458</v>
      </c>
      <c r="D45" s="2" t="s">
        <v>3459</v>
      </c>
      <c r="E45" s="2">
        <v>32</v>
      </c>
      <c r="F45" s="2" t="s">
        <v>3255</v>
      </c>
      <c r="G45" s="2">
        <v>20510516</v>
      </c>
      <c r="H45" s="2" t="s">
        <v>1971</v>
      </c>
      <c r="I45" s="3">
        <v>46045</v>
      </c>
      <c r="J45" s="2" t="s">
        <v>31</v>
      </c>
      <c r="K45" s="3" t="s">
        <v>1968</v>
      </c>
      <c r="L45" s="2" t="s">
        <v>3271</v>
      </c>
      <c r="M45" s="2" t="s">
        <v>3272</v>
      </c>
      <c r="N45" s="2" t="s">
        <v>34</v>
      </c>
      <c r="O45" s="2" t="s">
        <v>3460</v>
      </c>
      <c r="P45" s="2" t="s">
        <v>36</v>
      </c>
      <c r="Q45" s="2" t="s">
        <v>727</v>
      </c>
      <c r="R45" s="2" t="s">
        <v>3291</v>
      </c>
      <c r="S45" s="2" t="s">
        <v>37</v>
      </c>
      <c r="T45" s="2" t="s">
        <v>37</v>
      </c>
      <c r="U45" s="2" t="s">
        <v>57</v>
      </c>
      <c r="V45" s="3">
        <v>46045</v>
      </c>
      <c r="W45" s="2" t="s">
        <v>135</v>
      </c>
      <c r="X45" s="2" t="str">
        <f t="shared" si="0"/>
        <v>Avenida Avelino Caceres HUAYCAN, Ate, Lima, Lima, Perú</v>
      </c>
      <c r="Y45" s="22">
        <v>-12.0130667</v>
      </c>
      <c r="Z45" s="22">
        <v>-76.819881300000006</v>
      </c>
      <c r="AA45" s="33">
        <f t="shared" si="1"/>
        <v>8.89</v>
      </c>
      <c r="AB45" s="2" t="str">
        <f t="shared" si="2"/>
        <v>🟡 Cerca (5-10 km)</v>
      </c>
      <c r="AC45" s="2" t="str" cm="1">
        <f t="array" ref="AC45">INDEX(PARADEROS_VALIDOS!$C$2:$C$68,MATCH(MIN(6371*ACOS(COS(RADIANS(Y45))*COS(RADIANS(PARADEROS_VALIDOS!$E$2:$E$68))*COS(RADIANS(PARADEROS_VALIDOS!$F$2:$F$68)-RADIANS(Z45))+SIN(RADIANS(Y45))*SIN(RADIANS(PARADEROS_VALIDOS!$E$2:$E$68)))),6371*ACOS(COS(RADIANS(Y45))*COS(RADIANS(PARADEROS_VALIDOS!$E$2:$E$68))*COS(RADIANS(PARADEROS_VALIDOS!$F$2:$F$68)-RADIANS(Z45))+SIN(RADIANS(Y45))*SIN(RADIANS(PARADEROS_VALIDOS!$E$2:$E$68))),0))</f>
        <v>Paradero Aurora</v>
      </c>
      <c r="AD45" s="2" t="str">
        <f>IFERROR(INDEX(PARADEROS_VALIDOS!$A$2:$A$68,MATCH(AC45,PARADEROS_VALIDOS!$C$2:$C$68,0)),"")</f>
        <v>RUTA 3</v>
      </c>
      <c r="AE45" s="33" cm="1">
        <f t="array" ref="AE45">ROUND(MIN(6371*ACOS(COS(RADIANS(Y45))*COS(RADIANS(PARADEROS_VALIDOS!$E$2:$E$68))*COS(RADIANS(PARADEROS_VALIDOS!$F$2:$F$68)-RADIANS(Z45))+SIN(RADIANS(Y45))*SIN(RADIANS(PARADEROS_VALIDOS!$E$2:$E$68)))),2)</f>
        <v>1.45</v>
      </c>
      <c r="AF45" s="2" t="str">
        <f t="shared" si="3"/>
        <v>🟡 Cerca (1-3 km)</v>
      </c>
      <c r="AG45" s="2"/>
      <c r="AH45" s="2"/>
      <c r="AI45" s="51">
        <v>-11.997563</v>
      </c>
      <c r="AJ45" s="51">
        <v>-76.900062000000005</v>
      </c>
      <c r="AK45" s="2" t="str">
        <f>IFERROR(VLOOKUP(H45,tdcargo[],2,FALSE),"DESCONOCIDO")</f>
        <v>OPERARIO</v>
      </c>
    </row>
    <row r="46" spans="1:37" x14ac:dyDescent="0.35">
      <c r="A46" s="2" t="s">
        <v>3461</v>
      </c>
      <c r="B46" s="2" t="s">
        <v>3462</v>
      </c>
      <c r="C46" s="2" t="s">
        <v>191</v>
      </c>
      <c r="D46" s="2" t="s">
        <v>1708</v>
      </c>
      <c r="E46" s="2">
        <v>22</v>
      </c>
      <c r="F46" s="2" t="s">
        <v>3255</v>
      </c>
      <c r="G46" s="2">
        <v>20508063</v>
      </c>
      <c r="H46" s="2" t="s">
        <v>1971</v>
      </c>
      <c r="I46" s="3">
        <v>46024</v>
      </c>
      <c r="J46" s="2" t="s">
        <v>31</v>
      </c>
      <c r="K46" s="3" t="s">
        <v>1968</v>
      </c>
      <c r="L46" s="2" t="s">
        <v>3299</v>
      </c>
      <c r="M46" s="2" t="s">
        <v>3300</v>
      </c>
      <c r="N46" s="2" t="s">
        <v>82</v>
      </c>
      <c r="O46" s="2" t="s">
        <v>3463</v>
      </c>
      <c r="P46" s="2" t="s">
        <v>36</v>
      </c>
      <c r="Q46" s="2" t="s">
        <v>3464</v>
      </c>
      <c r="R46" s="2" t="s">
        <v>3416</v>
      </c>
      <c r="S46" s="2" t="s">
        <v>37</v>
      </c>
      <c r="T46" s="2" t="s">
        <v>37</v>
      </c>
      <c r="U46" s="2" t="s">
        <v>37</v>
      </c>
      <c r="V46" s="3">
        <v>46024</v>
      </c>
      <c r="W46" s="2" t="s">
        <v>135</v>
      </c>
      <c r="X46" s="2" t="str">
        <f t="shared" si="0"/>
        <v>Calle Cooperativa Batasll COOPERATIVA BATASOL, Lima, Lima, Lima, Perú</v>
      </c>
      <c r="Y46" s="22">
        <v>-12.136679000000001</v>
      </c>
      <c r="Z46" s="22">
        <v>-76.9573982</v>
      </c>
      <c r="AA46" s="33">
        <f t="shared" si="1"/>
        <v>16.68</v>
      </c>
      <c r="AB46" s="2" t="str">
        <f t="shared" si="2"/>
        <v>🟠 Moderada (10-20 km)</v>
      </c>
      <c r="AC46" s="2" t="str" cm="1">
        <f t="array" ref="AC46">INDEX(PARADEROS_VALIDOS!$C$2:$C$68,MATCH(MIN(6371*ACOS(COS(RADIANS(Y46))*COS(RADIANS(PARADEROS_VALIDOS!$E$2:$E$68))*COS(RADIANS(PARADEROS_VALIDOS!$F$2:$F$68)-RADIANS(Z46))+SIN(RADIANS(Y46))*SIN(RADIANS(PARADEROS_VALIDOS!$E$2:$E$68)))),6371*ACOS(COS(RADIANS(Y46))*COS(RADIANS(PARADEROS_VALIDOS!$E$2:$E$68))*COS(RADIANS(PARADEROS_VALIDOS!$F$2:$F$68)-RADIANS(Z46))+SIN(RADIANS(Y46))*SIN(RADIANS(PARADEROS_VALIDOS!$E$2:$E$68))),0))</f>
        <v>Paradero San Juan</v>
      </c>
      <c r="AD46" s="2" t="str">
        <f>IFERROR(INDEX(PARADEROS_VALIDOS!$A$2:$A$68,MATCH(AC46,PARADEROS_VALIDOS!$C$2:$C$68,0)),"")</f>
        <v>RUTA 5B</v>
      </c>
      <c r="AE46" s="33" cm="1">
        <f t="array" ref="AE46">ROUND(MIN(6371*ACOS(COS(RADIANS(Y46))*COS(RADIANS(PARADEROS_VALIDOS!$E$2:$E$68))*COS(RADIANS(PARADEROS_VALIDOS!$F$2:$F$68)-RADIANS(Z46))+SIN(RADIANS(Y46))*SIN(RADIANS(PARADEROS_VALIDOS!$E$2:$E$68)))),2)</f>
        <v>0.43</v>
      </c>
      <c r="AF46" s="2" t="str">
        <f t="shared" si="3"/>
        <v>🟢 Muy Cerca (0-1 km)</v>
      </c>
      <c r="AG46" s="2"/>
      <c r="AH46" s="2"/>
      <c r="AI46" s="51">
        <v>-11.997563</v>
      </c>
      <c r="AJ46" s="51">
        <v>-76.900062000000005</v>
      </c>
      <c r="AK46" s="2" t="str">
        <f>IFERROR(VLOOKUP(H46,tdcargo[],2,FALSE),"DESCONOCIDO")</f>
        <v>OPERARIO</v>
      </c>
    </row>
    <row r="47" spans="1:37" x14ac:dyDescent="0.35">
      <c r="A47" s="2" t="s">
        <v>3465</v>
      </c>
      <c r="B47" s="2" t="s">
        <v>3466</v>
      </c>
      <c r="C47" s="2" t="s">
        <v>3467</v>
      </c>
      <c r="D47" s="2" t="s">
        <v>3468</v>
      </c>
      <c r="E47" s="2">
        <v>21</v>
      </c>
      <c r="F47" s="2" t="s">
        <v>3255</v>
      </c>
      <c r="G47" s="2">
        <v>20508030</v>
      </c>
      <c r="H47" s="2" t="s">
        <v>1971</v>
      </c>
      <c r="I47" s="3">
        <v>46055</v>
      </c>
      <c r="J47" s="2" t="s">
        <v>31</v>
      </c>
      <c r="K47" s="3">
        <v>46108</v>
      </c>
      <c r="L47" s="2" t="s">
        <v>3278</v>
      </c>
      <c r="M47" s="2" t="s">
        <v>3279</v>
      </c>
      <c r="N47" s="2" t="s">
        <v>36</v>
      </c>
      <c r="O47" s="2" t="s">
        <v>3469</v>
      </c>
      <c r="P47" s="2" t="s">
        <v>186</v>
      </c>
      <c r="Q47" s="2" t="s">
        <v>3470</v>
      </c>
      <c r="R47" s="2" t="s">
        <v>3291</v>
      </c>
      <c r="S47" s="2" t="s">
        <v>37</v>
      </c>
      <c r="T47" s="2" t="s">
        <v>37</v>
      </c>
      <c r="U47" s="2" t="s">
        <v>57</v>
      </c>
      <c r="V47" s="3">
        <v>46055</v>
      </c>
      <c r="W47" s="2" t="s">
        <v>135</v>
      </c>
      <c r="X47" s="2" t="str">
        <f t="shared" si="0"/>
        <v>Asoc Hubert Lansier, Urb. Urbanización PIEDRA BLANCA, Ate, Lima, Lima, Perú</v>
      </c>
      <c r="Y47" s="22">
        <v>-12.010240400000001</v>
      </c>
      <c r="Z47" s="22">
        <v>-76.872920699999995</v>
      </c>
      <c r="AA47" s="33">
        <f t="shared" si="1"/>
        <v>3.27</v>
      </c>
      <c r="AB47" s="2" t="str">
        <f t="shared" si="2"/>
        <v>🟢 Muy Cerca (0-5 km)</v>
      </c>
      <c r="AC47" s="2" t="str" cm="1">
        <f t="array" ref="AC47">INDEX(PARADEROS_VALIDOS!$C$2:$C$68,MATCH(MIN(6371*ACOS(COS(RADIANS(Y47))*COS(RADIANS(PARADEROS_VALIDOS!$E$2:$E$68))*COS(RADIANS(PARADEROS_VALIDOS!$F$2:$F$68)-RADIANS(Z47))+SIN(RADIANS(Y47))*SIN(RADIANS(PARADEROS_VALIDOS!$E$2:$E$68)))),6371*ACOS(COS(RADIANS(Y47))*COS(RADIANS(PARADEROS_VALIDOS!$E$2:$E$68))*COS(RADIANS(PARADEROS_VALIDOS!$F$2:$F$68)-RADIANS(Z47))+SIN(RADIANS(Y47))*SIN(RADIANS(PARADEROS_VALIDOS!$E$2:$E$68))),0))</f>
        <v>Paradero la Cruz</v>
      </c>
      <c r="AD47" s="2" t="str">
        <f>IFERROR(INDEX(PARADEROS_VALIDOS!$A$2:$A$68,MATCH(AC47,PARADEROS_VALIDOS!$C$2:$C$68,0)),"")</f>
        <v>RUTA 4B</v>
      </c>
      <c r="AE47" s="33" cm="1">
        <f t="array" ref="AE47">ROUND(MIN(6371*ACOS(COS(RADIANS(Y47))*COS(RADIANS(PARADEROS_VALIDOS!$E$2:$E$68))*COS(RADIANS(PARADEROS_VALIDOS!$F$2:$F$68)-RADIANS(Z47))+SIN(RADIANS(Y47))*SIN(RADIANS(PARADEROS_VALIDOS!$E$2:$E$68)))),2)</f>
        <v>1.41</v>
      </c>
      <c r="AF47" s="2" t="str">
        <f t="shared" si="3"/>
        <v>🟡 Cerca (1-3 km)</v>
      </c>
      <c r="AG47" s="2"/>
      <c r="AH47" s="2"/>
      <c r="AI47" s="51">
        <v>-11.997563</v>
      </c>
      <c r="AJ47" s="51">
        <v>-76.900062000000005</v>
      </c>
      <c r="AK47" s="2" t="str">
        <f>IFERROR(VLOOKUP(H47,tdcargo[],2,FALSE),"DESCONOCIDO")</f>
        <v>OPERARIO</v>
      </c>
    </row>
    <row r="48" spans="1:37" x14ac:dyDescent="0.35">
      <c r="A48" s="2" t="s">
        <v>3471</v>
      </c>
      <c r="B48" s="2" t="s">
        <v>3472</v>
      </c>
      <c r="C48" s="2" t="s">
        <v>1261</v>
      </c>
      <c r="D48" s="2" t="s">
        <v>43</v>
      </c>
      <c r="E48" s="2">
        <v>23</v>
      </c>
      <c r="F48" s="2" t="s">
        <v>3255</v>
      </c>
      <c r="G48" s="2">
        <v>20507990</v>
      </c>
      <c r="H48" s="2" t="s">
        <v>1971</v>
      </c>
      <c r="I48" s="3">
        <v>46055</v>
      </c>
      <c r="J48" s="2" t="s">
        <v>31</v>
      </c>
      <c r="K48" s="3">
        <v>46102</v>
      </c>
      <c r="L48" s="2" t="s">
        <v>3256</v>
      </c>
      <c r="M48" s="2" t="s">
        <v>3257</v>
      </c>
      <c r="N48" s="2" t="s">
        <v>36</v>
      </c>
      <c r="O48" s="2" t="s">
        <v>3473</v>
      </c>
      <c r="P48" s="2" t="s">
        <v>36</v>
      </c>
      <c r="Q48" s="2" t="s">
        <v>3474</v>
      </c>
      <c r="R48" s="2" t="s">
        <v>3274</v>
      </c>
      <c r="S48" s="2" t="s">
        <v>37</v>
      </c>
      <c r="T48" s="2" t="s">
        <v>37</v>
      </c>
      <c r="U48" s="2" t="s">
        <v>76</v>
      </c>
      <c r="V48" s="3">
        <v>46055</v>
      </c>
      <c r="W48" s="2" t="s">
        <v>135</v>
      </c>
      <c r="X48" s="2" t="str">
        <f t="shared" si="0"/>
        <v>Señor Exaltacion SEÑOR DE EXALTACION, Lurigancho, Lima, Lima, Perú</v>
      </c>
      <c r="Y48" s="22">
        <v>-11.9935584</v>
      </c>
      <c r="Z48" s="22">
        <v>-76.906745799999996</v>
      </c>
      <c r="AA48" s="33">
        <f t="shared" si="1"/>
        <v>0.85</v>
      </c>
      <c r="AB48" s="2" t="str">
        <f t="shared" si="2"/>
        <v>🟢 Muy Cerca (0-5 km)</v>
      </c>
      <c r="AC48" s="2" t="str" cm="1">
        <f t="array" ref="AC48">INDEX(PARADEROS_VALIDOS!$C$2:$C$68,MATCH(MIN(6371*ACOS(COS(RADIANS(Y48))*COS(RADIANS(PARADEROS_VALIDOS!$E$2:$E$68))*COS(RADIANS(PARADEROS_VALIDOS!$F$2:$F$68)-RADIANS(Z48))+SIN(RADIANS(Y48))*SIN(RADIANS(PARADEROS_VALIDOS!$E$2:$E$68)))),6371*ACOS(COS(RADIANS(Y48))*COS(RADIANS(PARADEROS_VALIDOS!$E$2:$E$68))*COS(RADIANS(PARADEROS_VALIDOS!$F$2:$F$68)-RADIANS(Z48))+SIN(RADIANS(Y48))*SIN(RADIANS(PARADEROS_VALIDOS!$E$2:$E$68))),0))</f>
        <v>Paradero Arco San Antonio</v>
      </c>
      <c r="AD48" s="2" t="str">
        <f>IFERROR(INDEX(PARADEROS_VALIDOS!$A$2:$A$68,MATCH(AC48,PARADEROS_VALIDOS!$C$2:$C$68,0)),"")</f>
        <v>RUTA 2</v>
      </c>
      <c r="AE48" s="33" cm="1">
        <f t="array" ref="AE48">ROUND(MIN(6371*ACOS(COS(RADIANS(Y48))*COS(RADIANS(PARADEROS_VALIDOS!$E$2:$E$68))*COS(RADIANS(PARADEROS_VALIDOS!$F$2:$F$68)-RADIANS(Z48))+SIN(RADIANS(Y48))*SIN(RADIANS(PARADEROS_VALIDOS!$E$2:$E$68)))),2)</f>
        <v>0.39</v>
      </c>
      <c r="AF48" s="2" t="str">
        <f t="shared" si="3"/>
        <v>🟢 Muy Cerca (0-1 km)</v>
      </c>
      <c r="AG48" s="2"/>
      <c r="AH48" s="2"/>
      <c r="AI48" s="51">
        <v>-11.997563</v>
      </c>
      <c r="AJ48" s="51">
        <v>-76.900062000000005</v>
      </c>
      <c r="AK48" s="2" t="str">
        <f>IFERROR(VLOOKUP(H48,tdcargo[],2,FALSE),"DESCONOCIDO")</f>
        <v>OPERARIO</v>
      </c>
    </row>
    <row r="49" spans="1:37" x14ac:dyDescent="0.35">
      <c r="A49" s="2" t="s">
        <v>3475</v>
      </c>
      <c r="B49" s="2" t="s">
        <v>3476</v>
      </c>
      <c r="C49" s="2" t="s">
        <v>206</v>
      </c>
      <c r="D49" s="2" t="s">
        <v>3477</v>
      </c>
      <c r="E49" s="2">
        <v>24</v>
      </c>
      <c r="F49" s="2" t="s">
        <v>3255</v>
      </c>
      <c r="G49" s="2">
        <v>20508075</v>
      </c>
      <c r="H49" s="2" t="s">
        <v>1971</v>
      </c>
      <c r="I49" s="3">
        <v>45537</v>
      </c>
      <c r="J49" s="2" t="s">
        <v>31</v>
      </c>
      <c r="K49" s="3" t="s">
        <v>1968</v>
      </c>
      <c r="L49" s="2" t="s">
        <v>3299</v>
      </c>
      <c r="M49" s="2" t="s">
        <v>3300</v>
      </c>
      <c r="N49" s="2" t="s">
        <v>34</v>
      </c>
      <c r="O49" s="2" t="s">
        <v>412</v>
      </c>
      <c r="P49" s="2" t="s">
        <v>36</v>
      </c>
      <c r="Q49" s="2" t="s">
        <v>1023</v>
      </c>
      <c r="R49" s="2" t="s">
        <v>3274</v>
      </c>
      <c r="S49" s="2" t="s">
        <v>37</v>
      </c>
      <c r="T49" s="2" t="s">
        <v>37</v>
      </c>
      <c r="U49" s="2" t="s">
        <v>76</v>
      </c>
      <c r="V49" s="3">
        <v>45537</v>
      </c>
      <c r="W49" s="2" t="s">
        <v>48</v>
      </c>
      <c r="X49" s="2" t="str">
        <f t="shared" si="0"/>
        <v>Avenida Circunvalacion La Capitana, Lurigancho, Lima, Lima, Perú</v>
      </c>
      <c r="Y49" s="22">
        <v>-12.002741200000001</v>
      </c>
      <c r="Z49" s="22">
        <v>-76.910712700000005</v>
      </c>
      <c r="AA49" s="33">
        <f t="shared" si="1"/>
        <v>1.29</v>
      </c>
      <c r="AB49" s="2" t="str">
        <f t="shared" si="2"/>
        <v>🟢 Muy Cerca (0-5 km)</v>
      </c>
      <c r="AC49" s="2" t="str" cm="1">
        <f t="array" ref="AC49">INDEX(PARADEROS_VALIDOS!$C$2:$C$68,MATCH(MIN(6371*ACOS(COS(RADIANS(Y49))*COS(RADIANS(PARADEROS_VALIDOS!$E$2:$E$68))*COS(RADIANS(PARADEROS_VALIDOS!$F$2:$F$68)-RADIANS(Z49))+SIN(RADIANS(Y49))*SIN(RADIANS(PARADEROS_VALIDOS!$E$2:$E$68)))),6371*ACOS(COS(RADIANS(Y49))*COS(RADIANS(PARADEROS_VALIDOS!$E$2:$E$68))*COS(RADIANS(PARADEROS_VALIDOS!$F$2:$F$68)-RADIANS(Z49))+SIN(RADIANS(Y49))*SIN(RADIANS(PARADEROS_VALIDOS!$E$2:$E$68))),0))</f>
        <v>Tottus Huachipa</v>
      </c>
      <c r="AD49" s="2" t="str">
        <f>IFERROR(INDEX(PARADEROS_VALIDOS!$A$2:$A$68,MATCH(AC49,PARADEROS_VALIDOS!$C$2:$C$68,0)),"")</f>
        <v>RUTA 1</v>
      </c>
      <c r="AE49" s="33" cm="1">
        <f t="array" ref="AE49">ROUND(MIN(6371*ACOS(COS(RADIANS(Y49))*COS(RADIANS(PARADEROS_VALIDOS!$E$2:$E$68))*COS(RADIANS(PARADEROS_VALIDOS!$F$2:$F$68)-RADIANS(Z49))+SIN(RADIANS(Y49))*SIN(RADIANS(PARADEROS_VALIDOS!$E$2:$E$68)))),2)</f>
        <v>1.1499999999999999</v>
      </c>
      <c r="AF49" s="2" t="str">
        <f t="shared" si="3"/>
        <v>🟡 Cerca (1-3 km)</v>
      </c>
      <c r="AG49" s="2"/>
      <c r="AH49" s="2"/>
      <c r="AI49" s="51">
        <v>-11.997563</v>
      </c>
      <c r="AJ49" s="51">
        <v>-76.900062000000005</v>
      </c>
      <c r="AK49" s="2" t="str">
        <f>IFERROR(VLOOKUP(H49,tdcargo[],2,FALSE),"DESCONOCIDO")</f>
        <v>OPERARIO</v>
      </c>
    </row>
    <row r="50" spans="1:37" x14ac:dyDescent="0.35">
      <c r="A50" s="2" t="s">
        <v>3478</v>
      </c>
      <c r="B50" s="2" t="s">
        <v>3479</v>
      </c>
      <c r="C50" s="2" t="s">
        <v>531</v>
      </c>
      <c r="D50" s="2" t="s">
        <v>714</v>
      </c>
      <c r="E50" s="2">
        <v>23</v>
      </c>
      <c r="F50" s="2" t="s">
        <v>3255</v>
      </c>
      <c r="G50" s="2">
        <v>20515000</v>
      </c>
      <c r="H50" s="2" t="s">
        <v>237</v>
      </c>
      <c r="I50" s="3">
        <v>45964</v>
      </c>
      <c r="J50" s="2" t="s">
        <v>31</v>
      </c>
      <c r="K50" s="3" t="s">
        <v>1968</v>
      </c>
      <c r="L50" s="2" t="s">
        <v>3336</v>
      </c>
      <c r="M50" s="2" t="s">
        <v>3337</v>
      </c>
      <c r="N50" s="2" t="s">
        <v>82</v>
      </c>
      <c r="O50" s="2" t="s">
        <v>3480</v>
      </c>
      <c r="P50" s="2" t="s">
        <v>36</v>
      </c>
      <c r="Q50" s="2" t="s">
        <v>3481</v>
      </c>
      <c r="R50" s="2" t="s">
        <v>3260</v>
      </c>
      <c r="S50" s="2" t="s">
        <v>37</v>
      </c>
      <c r="T50" s="2" t="s">
        <v>37</v>
      </c>
      <c r="U50" s="2" t="s">
        <v>38</v>
      </c>
      <c r="V50" s="3">
        <v>45964</v>
      </c>
      <c r="W50" s="2" t="s">
        <v>39</v>
      </c>
      <c r="X50" s="2" t="str">
        <f t="shared" si="0"/>
        <v>Calle 64 Esmeralda De Los And, San Juan De Lurigancho, Lima, Lima, Perú</v>
      </c>
      <c r="Y50" s="22">
        <v>-11.9410358</v>
      </c>
      <c r="Z50" s="22">
        <v>-76.983120900000003</v>
      </c>
      <c r="AA50" s="33">
        <f t="shared" si="1"/>
        <v>11.01</v>
      </c>
      <c r="AB50" s="2" t="str">
        <f t="shared" si="2"/>
        <v>🟠 Moderada (10-20 km)</v>
      </c>
      <c r="AC50" s="2" t="str" cm="1">
        <f t="array" ref="AC50">INDEX(PARADEROS_VALIDOS!$C$2:$C$68,MATCH(MIN(6371*ACOS(COS(RADIANS(Y50))*COS(RADIANS(PARADEROS_VALIDOS!$E$2:$E$68))*COS(RADIANS(PARADEROS_VALIDOS!$F$2:$F$68)-RADIANS(Z50))+SIN(RADIANS(Y50))*SIN(RADIANS(PARADEROS_VALIDOS!$E$2:$E$68)))),6371*ACOS(COS(RADIANS(Y50))*COS(RADIANS(PARADEROS_VALIDOS!$E$2:$E$68))*COS(RADIANS(PARADEROS_VALIDOS!$F$2:$F$68)-RADIANS(Z50))+SIN(RADIANS(Y50))*SIN(RADIANS(PARADEROS_VALIDOS!$E$2:$E$68))),0))</f>
        <v>Paradero Acho</v>
      </c>
      <c r="AD50" s="2" t="str">
        <f>IFERROR(INDEX(PARADEROS_VALIDOS!$A$2:$A$68,MATCH(AC50,PARADEROS_VALIDOS!$C$2:$C$68,0)),"")</f>
        <v>RUTA 8</v>
      </c>
      <c r="AE50" s="33" cm="1">
        <f t="array" ref="AE50">ROUND(MIN(6371*ACOS(COS(RADIANS(Y50))*COS(RADIANS(PARADEROS_VALIDOS!$E$2:$E$68))*COS(RADIANS(PARADEROS_VALIDOS!$F$2:$F$68)-RADIANS(Z50))+SIN(RADIANS(Y50))*SIN(RADIANS(PARADEROS_VALIDOS!$E$2:$E$68)))),2)</f>
        <v>4.1500000000000004</v>
      </c>
      <c r="AF50" s="2" t="str">
        <f t="shared" si="3"/>
        <v>🟠 Moderada (3-5 km)</v>
      </c>
      <c r="AG50" s="2"/>
      <c r="AH50" s="2"/>
      <c r="AI50" s="51">
        <v>-11.997563</v>
      </c>
      <c r="AJ50" s="51">
        <v>-76.900062000000005</v>
      </c>
      <c r="AK50" s="2" t="str">
        <f>IFERROR(VLOOKUP(H50,tdcargo[],2,FALSE),"DESCONOCIDO")</f>
        <v>STAFF</v>
      </c>
    </row>
    <row r="51" spans="1:37" x14ac:dyDescent="0.35">
      <c r="A51" s="2" t="s">
        <v>3279</v>
      </c>
      <c r="B51" s="2" t="s">
        <v>3482</v>
      </c>
      <c r="C51" s="2" t="s">
        <v>852</v>
      </c>
      <c r="D51" s="2" t="s">
        <v>3483</v>
      </c>
      <c r="E51" s="2">
        <v>48</v>
      </c>
      <c r="F51" s="2" t="s">
        <v>3255</v>
      </c>
      <c r="G51" s="2">
        <v>20508032</v>
      </c>
      <c r="H51" s="2" t="s">
        <v>2130</v>
      </c>
      <c r="I51" s="3">
        <v>41043</v>
      </c>
      <c r="J51" s="2" t="s">
        <v>31</v>
      </c>
      <c r="K51" s="3" t="s">
        <v>1968</v>
      </c>
      <c r="L51" s="2" t="s">
        <v>3336</v>
      </c>
      <c r="M51" s="2" t="s">
        <v>3337</v>
      </c>
      <c r="N51" s="2" t="s">
        <v>36</v>
      </c>
      <c r="O51" s="2" t="s">
        <v>46</v>
      </c>
      <c r="P51" s="2" t="s">
        <v>55</v>
      </c>
      <c r="Q51" s="2" t="s">
        <v>3484</v>
      </c>
      <c r="R51" s="2" t="s">
        <v>3260</v>
      </c>
      <c r="S51" s="2" t="s">
        <v>37</v>
      </c>
      <c r="T51" s="2" t="s">
        <v>37</v>
      </c>
      <c r="U51" s="2" t="s">
        <v>38</v>
      </c>
      <c r="V51" s="3">
        <v>41043</v>
      </c>
      <c r="W51" s="2" t="s">
        <v>48</v>
      </c>
      <c r="X51" s="2" t="str">
        <f t="shared" si="0"/>
        <v>Nd, Coo. Cooperativa El Valle, San Juan De Lurigancho, Lima, Lima, Perú</v>
      </c>
      <c r="Y51" s="22">
        <v>-11.913574799999999</v>
      </c>
      <c r="Z51" s="22">
        <v>-76.962666600000006</v>
      </c>
      <c r="AA51" s="33">
        <f t="shared" si="1"/>
        <v>11.56</v>
      </c>
      <c r="AB51" s="2" t="str">
        <f t="shared" si="2"/>
        <v>🟠 Moderada (10-20 km)</v>
      </c>
      <c r="AC51" s="2" t="str" cm="1">
        <f t="array" ref="AC51">INDEX(PARADEROS_VALIDOS!$C$2:$C$68,MATCH(MIN(6371*ACOS(COS(RADIANS(Y51))*COS(RADIANS(PARADEROS_VALIDOS!$E$2:$E$68))*COS(RADIANS(PARADEROS_VALIDOS!$F$2:$F$68)-RADIANS(Z51))+SIN(RADIANS(Y51))*SIN(RADIANS(PARADEROS_VALIDOS!$E$2:$E$68)))),6371*ACOS(COS(RADIANS(Y51))*COS(RADIANS(PARADEROS_VALIDOS!$E$2:$E$68))*COS(RADIANS(PARADEROS_VALIDOS!$F$2:$F$68)-RADIANS(Z51))+SIN(RADIANS(Y51))*SIN(RADIANS(PARADEROS_VALIDOS!$E$2:$E$68))),0))</f>
        <v>Paradero Acho</v>
      </c>
      <c r="AD51" s="2" t="str">
        <f>IFERROR(INDEX(PARADEROS_VALIDOS!$A$2:$A$68,MATCH(AC51,PARADEROS_VALIDOS!$C$2:$C$68,0)),"")</f>
        <v>RUTA 8</v>
      </c>
      <c r="AE51" s="33" cm="1">
        <f t="array" ref="AE51">ROUND(MIN(6371*ACOS(COS(RADIANS(Y51))*COS(RADIANS(PARADEROS_VALIDOS!$E$2:$E$68))*COS(RADIANS(PARADEROS_VALIDOS!$F$2:$F$68)-RADIANS(Z51))+SIN(RADIANS(Y51))*SIN(RADIANS(PARADEROS_VALIDOS!$E$2:$E$68)))),2)</f>
        <v>7.93</v>
      </c>
      <c r="AF51" s="2" t="str">
        <f t="shared" si="3"/>
        <v>🔴 Lejos (&gt;5 km)</v>
      </c>
      <c r="AG51" s="2"/>
      <c r="AH51" s="2"/>
      <c r="AI51" s="51">
        <v>-11.997563</v>
      </c>
      <c r="AJ51" s="51">
        <v>-76.900062000000005</v>
      </c>
      <c r="AK51" s="2" t="str">
        <f>IFERROR(VLOOKUP(H51,tdcargo[],2,FALSE),"DESCONOCIDO")</f>
        <v>STAFF</v>
      </c>
    </row>
    <row r="52" spans="1:37" x14ac:dyDescent="0.35">
      <c r="A52" s="2" t="s">
        <v>3485</v>
      </c>
      <c r="B52" s="2" t="s">
        <v>3486</v>
      </c>
      <c r="C52" s="2" t="s">
        <v>3487</v>
      </c>
      <c r="D52" s="2" t="s">
        <v>3488</v>
      </c>
      <c r="E52" s="2">
        <v>20</v>
      </c>
      <c r="F52" s="2" t="s">
        <v>3255</v>
      </c>
      <c r="G52" s="2">
        <v>20510508</v>
      </c>
      <c r="H52" s="2" t="s">
        <v>1971</v>
      </c>
      <c r="I52" s="3">
        <v>45833</v>
      </c>
      <c r="J52" s="2" t="s">
        <v>31</v>
      </c>
      <c r="K52" s="3" t="s">
        <v>1968</v>
      </c>
      <c r="L52" s="2" t="s">
        <v>3256</v>
      </c>
      <c r="M52" s="2" t="s">
        <v>3257</v>
      </c>
      <c r="N52" s="2" t="s">
        <v>34</v>
      </c>
      <c r="O52" s="2" t="s">
        <v>1282</v>
      </c>
      <c r="P52" s="2" t="s">
        <v>36</v>
      </c>
      <c r="Q52" s="2" t="s">
        <v>2555</v>
      </c>
      <c r="R52" s="2" t="s">
        <v>3274</v>
      </c>
      <c r="S52" s="2" t="s">
        <v>37</v>
      </c>
      <c r="T52" s="2" t="s">
        <v>37</v>
      </c>
      <c r="U52" s="2" t="s">
        <v>76</v>
      </c>
      <c r="V52" s="3">
        <v>45833</v>
      </c>
      <c r="W52" s="2" t="s">
        <v>39</v>
      </c>
      <c r="X52" s="2" t="str">
        <f t="shared" si="0"/>
        <v>Avenida Nuevo Horizonte Carapongo, Lurigancho, Lima, Lima, Perú</v>
      </c>
      <c r="Y52" s="22">
        <v>-12.00717</v>
      </c>
      <c r="Z52" s="22">
        <v>-76.885959099999994</v>
      </c>
      <c r="AA52" s="33">
        <f t="shared" si="1"/>
        <v>1.87</v>
      </c>
      <c r="AB52" s="2" t="str">
        <f t="shared" si="2"/>
        <v>🟢 Muy Cerca (0-5 km)</v>
      </c>
      <c r="AC52" s="2" t="str" cm="1">
        <f t="array" ref="AC52">INDEX(PARADEROS_VALIDOS!$C$2:$C$68,MATCH(MIN(6371*ACOS(COS(RADIANS(Y52))*COS(RADIANS(PARADEROS_VALIDOS!$E$2:$E$68))*COS(RADIANS(PARADEROS_VALIDOS!$F$2:$F$68)-RADIANS(Z52))+SIN(RADIANS(Y52))*SIN(RADIANS(PARADEROS_VALIDOS!$E$2:$E$68)))),6371*ACOS(COS(RADIANS(Y52))*COS(RADIANS(PARADEROS_VALIDOS!$E$2:$E$68))*COS(RADIANS(PARADEROS_VALIDOS!$F$2:$F$68)-RADIANS(Z52))+SIN(RADIANS(Y52))*SIN(RADIANS(PARADEROS_VALIDOS!$E$2:$E$68))),0))</f>
        <v>Paradero la Cruz</v>
      </c>
      <c r="AD52" s="2" t="str">
        <f>IFERROR(INDEX(PARADEROS_VALIDOS!$A$2:$A$68,MATCH(AC52,PARADEROS_VALIDOS!$C$2:$C$68,0)),"")</f>
        <v>RUTA 4B</v>
      </c>
      <c r="AE52" s="33" cm="1">
        <f t="array" ref="AE52">ROUND(MIN(6371*ACOS(COS(RADIANS(Y52))*COS(RADIANS(PARADEROS_VALIDOS!$E$2:$E$68))*COS(RADIANS(PARADEROS_VALIDOS!$F$2:$F$68)-RADIANS(Z52))+SIN(RADIANS(Y52))*SIN(RADIANS(PARADEROS_VALIDOS!$E$2:$E$68)))),2)</f>
        <v>0.85</v>
      </c>
      <c r="AF52" s="2" t="str">
        <f t="shared" si="3"/>
        <v>🟢 Muy Cerca (0-1 km)</v>
      </c>
      <c r="AG52" s="2"/>
      <c r="AH52" s="2"/>
      <c r="AI52" s="51">
        <v>-11.997563</v>
      </c>
      <c r="AJ52" s="51">
        <v>-76.900062000000005</v>
      </c>
      <c r="AK52" s="2" t="str">
        <f>IFERROR(VLOOKUP(H52,tdcargo[],2,FALSE),"DESCONOCIDO")</f>
        <v>OPERARIO</v>
      </c>
    </row>
    <row r="53" spans="1:37" x14ac:dyDescent="0.35">
      <c r="A53" s="2" t="s">
        <v>3489</v>
      </c>
      <c r="B53" s="2" t="s">
        <v>3490</v>
      </c>
      <c r="C53" s="2" t="s">
        <v>842</v>
      </c>
      <c r="D53" s="2" t="s">
        <v>3491</v>
      </c>
      <c r="E53" s="2">
        <v>27</v>
      </c>
      <c r="F53" s="2" t="s">
        <v>3255</v>
      </c>
      <c r="G53" s="2">
        <v>20507995</v>
      </c>
      <c r="H53" s="2" t="s">
        <v>1971</v>
      </c>
      <c r="I53" s="3">
        <v>45642</v>
      </c>
      <c r="J53" s="2" t="s">
        <v>31</v>
      </c>
      <c r="K53" s="3" t="s">
        <v>1968</v>
      </c>
      <c r="L53" s="2" t="s">
        <v>3373</v>
      </c>
      <c r="M53" s="2" t="s">
        <v>3374</v>
      </c>
      <c r="N53" s="2" t="s">
        <v>36</v>
      </c>
      <c r="O53" s="2" t="s">
        <v>3492</v>
      </c>
      <c r="P53" s="2" t="s">
        <v>643</v>
      </c>
      <c r="Q53" s="2" t="s">
        <v>3493</v>
      </c>
      <c r="R53" s="2" t="s">
        <v>3274</v>
      </c>
      <c r="S53" s="2" t="s">
        <v>37</v>
      </c>
      <c r="T53" s="2" t="s">
        <v>37</v>
      </c>
      <c r="U53" s="2" t="s">
        <v>76</v>
      </c>
      <c r="V53" s="3">
        <v>45642</v>
      </c>
      <c r="W53" s="2" t="s">
        <v>48</v>
      </c>
      <c r="X53" s="2" t="str">
        <f t="shared" si="0"/>
        <v>Asoc. De Viv. Resisd. Las Palmeras, Res. Residencial Asoc. De Viv. Resid. Las Palmeras, Lurigancho, Lima, Lima, Perú</v>
      </c>
      <c r="Y53" s="22">
        <v>-12.0335944</v>
      </c>
      <c r="Z53" s="22">
        <v>-76.931468699999996</v>
      </c>
      <c r="AA53" s="33">
        <f t="shared" si="1"/>
        <v>5.26</v>
      </c>
      <c r="AB53" s="2" t="str">
        <f t="shared" si="2"/>
        <v>🟡 Cerca (5-10 km)</v>
      </c>
      <c r="AC53" s="2" t="str" cm="1">
        <f t="array" ref="AC53">INDEX(PARADEROS_VALIDOS!$C$2:$C$68,MATCH(MIN(6371*ACOS(COS(RADIANS(Y53))*COS(RADIANS(PARADEROS_VALIDOS!$E$2:$E$68))*COS(RADIANS(PARADEROS_VALIDOS!$F$2:$F$68)-RADIANS(Z53))+SIN(RADIANS(Y53))*SIN(RADIANS(PARADEROS_VALIDOS!$E$2:$E$68)))),6371*ACOS(COS(RADIANS(Y53))*COS(RADIANS(PARADEROS_VALIDOS!$E$2:$E$68))*COS(RADIANS(PARADEROS_VALIDOS!$F$2:$F$68)-RADIANS(Z53))+SIN(RADIANS(Y53))*SIN(RADIANS(PARADEROS_VALIDOS!$E$2:$E$68))),0))</f>
        <v>Real Plaza Puruchuco (Grifo Primax)</v>
      </c>
      <c r="AD53" s="2" t="str">
        <f>IFERROR(INDEX(PARADEROS_VALIDOS!$A$2:$A$68,MATCH(AC53,PARADEROS_VALIDOS!$C$2:$C$68,0)),"")</f>
        <v>RUTA 4A</v>
      </c>
      <c r="AE53" s="33" cm="1">
        <f t="array" ref="AE53">ROUND(MIN(6371*ACOS(COS(RADIANS(Y53))*COS(RADIANS(PARADEROS_VALIDOS!$E$2:$E$68))*COS(RADIANS(PARADEROS_VALIDOS!$F$2:$F$68)-RADIANS(Z53))+SIN(RADIANS(Y53))*SIN(RADIANS(PARADEROS_VALIDOS!$E$2:$E$68)))),2)</f>
        <v>0.87</v>
      </c>
      <c r="AF53" s="2" t="str">
        <f t="shared" si="3"/>
        <v>🟢 Muy Cerca (0-1 km)</v>
      </c>
      <c r="AG53" s="2"/>
      <c r="AH53" s="2"/>
      <c r="AI53" s="51">
        <v>-11.997563</v>
      </c>
      <c r="AJ53" s="51">
        <v>-76.900062000000005</v>
      </c>
      <c r="AK53" s="2" t="str">
        <f>IFERROR(VLOOKUP(H53,tdcargo[],2,FALSE),"DESCONOCIDO")</f>
        <v>OPERARIO</v>
      </c>
    </row>
    <row r="54" spans="1:37" x14ac:dyDescent="0.35">
      <c r="A54" s="2" t="s">
        <v>3494</v>
      </c>
      <c r="B54" s="2" t="s">
        <v>3495</v>
      </c>
      <c r="C54" s="2" t="s">
        <v>3496</v>
      </c>
      <c r="D54" s="2" t="s">
        <v>842</v>
      </c>
      <c r="E54" s="2">
        <v>35</v>
      </c>
      <c r="F54" s="2" t="s">
        <v>3255</v>
      </c>
      <c r="G54" s="2">
        <v>20508037</v>
      </c>
      <c r="H54" s="2" t="s">
        <v>1971</v>
      </c>
      <c r="I54" s="3">
        <v>42432</v>
      </c>
      <c r="J54" s="2" t="s">
        <v>31</v>
      </c>
      <c r="K54" s="3" t="s">
        <v>1968</v>
      </c>
      <c r="L54" s="2" t="s">
        <v>3278</v>
      </c>
      <c r="M54" s="2" t="s">
        <v>3279</v>
      </c>
      <c r="N54" s="2" t="s">
        <v>36</v>
      </c>
      <c r="O54" s="2" t="s">
        <v>4599</v>
      </c>
      <c r="P54" s="2" t="s">
        <v>255</v>
      </c>
      <c r="Q54" s="2" t="s">
        <v>4600</v>
      </c>
      <c r="R54" s="2" t="s">
        <v>3498</v>
      </c>
      <c r="S54" s="2" t="s">
        <v>37</v>
      </c>
      <c r="T54" s="2" t="s">
        <v>37</v>
      </c>
      <c r="U54" s="2" t="s">
        <v>803</v>
      </c>
      <c r="V54" s="3">
        <v>42432</v>
      </c>
      <c r="W54" s="2" t="s">
        <v>48</v>
      </c>
      <c r="X54" s="2" t="str">
        <f t="shared" si="0"/>
        <v>MZ 5 Lote 14, Asociacion ADESESEP, Santa Rosa, Lima, Lima, Perú</v>
      </c>
      <c r="Y54" s="22">
        <v>-11.8497401</v>
      </c>
      <c r="Z54" s="22">
        <v>-77.138090099999999</v>
      </c>
      <c r="AA54" s="33">
        <f t="shared" si="1"/>
        <v>30.67</v>
      </c>
      <c r="AB54" s="2" t="str">
        <f t="shared" si="2"/>
        <v>🔴 Lejos (&gt;20 km)</v>
      </c>
      <c r="AC54" s="2" t="str" cm="1">
        <f t="array" ref="AC54">INDEX(PARADEROS_VALIDOS!$C$2:$C$68,MATCH(MIN(6371*ACOS(COS(RADIANS(Y54))*COS(RADIANS(PARADEROS_VALIDOS!$E$2:$E$68))*COS(RADIANS(PARADEROS_VALIDOS!$F$2:$F$68)-RADIANS(Z54))+SIN(RADIANS(Y54))*SIN(RADIANS(PARADEROS_VALIDOS!$E$2:$E$68)))),6371*ACOS(COS(RADIANS(Y54))*COS(RADIANS(PARADEROS_VALIDOS!$E$2:$E$68))*COS(RADIANS(PARADEROS_VALIDOS!$F$2:$F$68)-RADIANS(Z54))+SIN(RADIANS(Y54))*SIN(RADIANS(PARADEROS_VALIDOS!$E$2:$E$68))),0))</f>
        <v>Av. Metropolitana con Cultura</v>
      </c>
      <c r="AD54" s="2" t="str">
        <f>IFERROR(INDEX(PARADEROS_VALIDOS!$A$2:$A$68,MATCH(AC54,PARADEROS_VALIDOS!$C$2:$C$68,0)),"")</f>
        <v>RUTA 4A</v>
      </c>
      <c r="AE54" s="33" cm="1">
        <f t="array" ref="AE54">ROUND(MIN(6371*ACOS(COS(RADIANS(Y54))*COS(RADIANS(PARADEROS_VALIDOS!$E$2:$E$68))*COS(RADIANS(PARADEROS_VALIDOS!$F$2:$F$68)-RADIANS(Z54))+SIN(RADIANS(Y54))*SIN(RADIANS(PARADEROS_VALIDOS!$E$2:$E$68)))),2)</f>
        <v>13.98</v>
      </c>
      <c r="AF54" s="2" t="str">
        <f t="shared" si="3"/>
        <v>🔴 Lejos (&gt;5 km)</v>
      </c>
      <c r="AG54" s="2"/>
      <c r="AH54" s="2"/>
      <c r="AI54" s="51">
        <v>-11.997563</v>
      </c>
      <c r="AJ54" s="51">
        <v>-76.900062000000005</v>
      </c>
      <c r="AK54" s="2" t="str">
        <f>IFERROR(VLOOKUP(H54,tdcargo[],2,FALSE),"DESCONOCIDO")</f>
        <v>OPERARIO</v>
      </c>
    </row>
    <row r="55" spans="1:37" x14ac:dyDescent="0.35">
      <c r="A55" s="2" t="s">
        <v>3499</v>
      </c>
      <c r="B55" s="2" t="s">
        <v>3500</v>
      </c>
      <c r="C55" s="2" t="s">
        <v>934</v>
      </c>
      <c r="D55" s="2" t="s">
        <v>3501</v>
      </c>
      <c r="E55" s="2">
        <v>31</v>
      </c>
      <c r="F55" s="2" t="s">
        <v>3255</v>
      </c>
      <c r="G55" s="2">
        <v>20508113</v>
      </c>
      <c r="H55" s="2" t="s">
        <v>1971</v>
      </c>
      <c r="I55" s="3">
        <v>44413</v>
      </c>
      <c r="J55" s="2" t="s">
        <v>31</v>
      </c>
      <c r="K55" s="3" t="s">
        <v>1968</v>
      </c>
      <c r="L55" s="2" t="s">
        <v>3271</v>
      </c>
      <c r="M55" s="2" t="s">
        <v>3272</v>
      </c>
      <c r="N55" s="2" t="s">
        <v>148</v>
      </c>
      <c r="O55" s="2" t="s">
        <v>3502</v>
      </c>
      <c r="P55" s="2" t="s">
        <v>36</v>
      </c>
      <c r="Q55" s="2" t="s">
        <v>3503</v>
      </c>
      <c r="R55" s="2" t="s">
        <v>3504</v>
      </c>
      <c r="S55" s="2" t="s">
        <v>37</v>
      </c>
      <c r="T55" s="2" t="s">
        <v>37</v>
      </c>
      <c r="U55" s="2" t="s">
        <v>1602</v>
      </c>
      <c r="V55" s="3">
        <v>44413</v>
      </c>
      <c r="W55" s="2" t="s">
        <v>48</v>
      </c>
      <c r="X55" s="2" t="str">
        <f t="shared" si="0"/>
        <v>Pasaje Manzanedo Piedra Liza, Rimac, Lima, Lima, Perú</v>
      </c>
      <c r="Y55" s="22">
        <v>-12.0304415</v>
      </c>
      <c r="Z55" s="22">
        <v>-77.031607300000005</v>
      </c>
      <c r="AA55" s="33">
        <f t="shared" si="1"/>
        <v>14.77</v>
      </c>
      <c r="AB55" s="2" t="str">
        <f t="shared" si="2"/>
        <v>🟠 Moderada (10-20 km)</v>
      </c>
      <c r="AC55" s="2" t="str" cm="1">
        <f t="array" ref="AC55">INDEX(PARADEROS_VALIDOS!$C$2:$C$68,MATCH(MIN(6371*ACOS(COS(RADIANS(Y55))*COS(RADIANS(PARADEROS_VALIDOS!$E$2:$E$68))*COS(RADIANS(PARADEROS_VALIDOS!$F$2:$F$68)-RADIANS(Z55))+SIN(RADIANS(Y55))*SIN(RADIANS(PARADEROS_VALIDOS!$E$2:$E$68)))),6371*ACOS(COS(RADIANS(Y55))*COS(RADIANS(PARADEROS_VALIDOS!$E$2:$E$68))*COS(RADIANS(PARADEROS_VALIDOS!$F$2:$F$68)-RADIANS(Z55))+SIN(RADIANS(Y55))*SIN(RADIANS(PARADEROS_VALIDOS!$E$2:$E$68))),0))</f>
        <v>Paradero Mercado Las Flores</v>
      </c>
      <c r="AD55" s="2" t="str">
        <f>IFERROR(INDEX(PARADEROS_VALIDOS!$A$2:$A$68,MATCH(AC55,PARADEROS_VALIDOS!$C$2:$C$68,0)),"")</f>
        <v>RUTA 8</v>
      </c>
      <c r="AE55" s="33" cm="1">
        <f t="array" ref="AE55">ROUND(MIN(6371*ACOS(COS(RADIANS(Y55))*COS(RADIANS(PARADEROS_VALIDOS!$E$2:$E$68))*COS(RADIANS(PARADEROS_VALIDOS!$F$2:$F$68)-RADIANS(Z55))+SIN(RADIANS(Y55))*SIN(RADIANS(PARADEROS_VALIDOS!$E$2:$E$68)))),2)</f>
        <v>0.57999999999999996</v>
      </c>
      <c r="AF55" s="2" t="str">
        <f t="shared" si="3"/>
        <v>🟢 Muy Cerca (0-1 km)</v>
      </c>
      <c r="AG55" s="2"/>
      <c r="AH55" s="2"/>
      <c r="AI55" s="51">
        <v>-11.997563</v>
      </c>
      <c r="AJ55" s="51">
        <v>-76.900062000000005</v>
      </c>
      <c r="AK55" s="2" t="str">
        <f>IFERROR(VLOOKUP(H55,tdcargo[],2,FALSE),"DESCONOCIDO")</f>
        <v>OPERARIO</v>
      </c>
    </row>
    <row r="56" spans="1:37" x14ac:dyDescent="0.35">
      <c r="A56" s="2" t="s">
        <v>3505</v>
      </c>
      <c r="B56" s="2" t="s">
        <v>3506</v>
      </c>
      <c r="C56" s="2" t="s">
        <v>1673</v>
      </c>
      <c r="D56" s="2" t="s">
        <v>3507</v>
      </c>
      <c r="E56" s="2">
        <v>31</v>
      </c>
      <c r="F56" s="2" t="s">
        <v>3255</v>
      </c>
      <c r="G56" s="2">
        <v>20508040</v>
      </c>
      <c r="H56" s="2" t="s">
        <v>2031</v>
      </c>
      <c r="I56" s="3">
        <v>44147</v>
      </c>
      <c r="J56" s="2" t="s">
        <v>31</v>
      </c>
      <c r="K56" s="3" t="s">
        <v>1968</v>
      </c>
      <c r="L56" s="2" t="s">
        <v>3336</v>
      </c>
      <c r="M56" s="2" t="s">
        <v>3337</v>
      </c>
      <c r="N56" s="2" t="s">
        <v>82</v>
      </c>
      <c r="O56" s="2" t="s">
        <v>3508</v>
      </c>
      <c r="P56" s="2" t="s">
        <v>186</v>
      </c>
      <c r="Q56" s="2" t="s">
        <v>1415</v>
      </c>
      <c r="R56" s="2" t="s">
        <v>3509</v>
      </c>
      <c r="S56" s="2" t="s">
        <v>37</v>
      </c>
      <c r="T56" s="2" t="s">
        <v>37</v>
      </c>
      <c r="U56" s="2" t="s">
        <v>367</v>
      </c>
      <c r="V56" s="3">
        <v>44147</v>
      </c>
      <c r="W56" s="2" t="s">
        <v>48</v>
      </c>
      <c r="X56" s="2" t="str">
        <f t="shared" si="0"/>
        <v>Calle Los Melones, Urb. Urbanización Las Praderas, Santa Anita, Lima, Lima, Perú</v>
      </c>
      <c r="Y56" s="22">
        <v>-12.031966600000001</v>
      </c>
      <c r="Z56" s="22">
        <v>-76.961308599999995</v>
      </c>
      <c r="AA56" s="33">
        <f t="shared" si="1"/>
        <v>7.68</v>
      </c>
      <c r="AB56" s="2" t="str">
        <f t="shared" si="2"/>
        <v>🟡 Cerca (5-10 km)</v>
      </c>
      <c r="AC56" s="2" t="str" cm="1">
        <f t="array" ref="AC56">INDEX(PARADEROS_VALIDOS!$C$2:$C$68,MATCH(MIN(6371*ACOS(COS(RADIANS(Y56))*COS(RADIANS(PARADEROS_VALIDOS!$E$2:$E$68))*COS(RADIANS(PARADEROS_VALIDOS!$F$2:$F$68)-RADIANS(Z56))+SIN(RADIANS(Y56))*SIN(RADIANS(PARADEROS_VALIDOS!$E$2:$E$68)))),6371*ACOS(COS(RADIANS(Y56))*COS(RADIANS(PARADEROS_VALIDOS!$E$2:$E$68))*COS(RADIANS(PARADEROS_VALIDOS!$F$2:$F$68)-RADIANS(Z56))+SIN(RADIANS(Y56))*SIN(RADIANS(PARADEROS_VALIDOS!$E$2:$E$68))),0))</f>
        <v>Paradero Bayóvar</v>
      </c>
      <c r="AD56" s="2" t="str">
        <f>IFERROR(INDEX(PARADEROS_VALIDOS!$A$2:$A$68,MATCH(AC56,PARADEROS_VALIDOS!$C$2:$C$68,0)),"")</f>
        <v>RUTA 6A</v>
      </c>
      <c r="AE56" s="33" cm="1">
        <f t="array" ref="AE56">ROUND(MIN(6371*ACOS(COS(RADIANS(Y56))*COS(RADIANS(PARADEROS_VALIDOS!$E$2:$E$68))*COS(RADIANS(PARADEROS_VALIDOS!$F$2:$F$68)-RADIANS(Z56))+SIN(RADIANS(Y56))*SIN(RADIANS(PARADEROS_VALIDOS!$E$2:$E$68)))),2)</f>
        <v>0.25</v>
      </c>
      <c r="AF56" s="2" t="str">
        <f t="shared" si="3"/>
        <v>🟢 Muy Cerca (0-1 km)</v>
      </c>
      <c r="AG56" s="2"/>
      <c r="AH56" s="2"/>
      <c r="AI56" s="51">
        <v>-11.997563</v>
      </c>
      <c r="AJ56" s="51">
        <v>-76.900062000000005</v>
      </c>
      <c r="AK56" s="2" t="str">
        <f>IFERROR(VLOOKUP(H56,tdcargo[],2,FALSE),"DESCONOCIDO")</f>
        <v>STAFF</v>
      </c>
    </row>
    <row r="57" spans="1:37" x14ac:dyDescent="0.35">
      <c r="A57" s="2" t="s">
        <v>3510</v>
      </c>
      <c r="B57" s="2" t="s">
        <v>3511</v>
      </c>
      <c r="C57" s="2" t="s">
        <v>709</v>
      </c>
      <c r="D57" s="2" t="s">
        <v>653</v>
      </c>
      <c r="E57" s="2">
        <v>33</v>
      </c>
      <c r="F57" s="2" t="s">
        <v>3255</v>
      </c>
      <c r="G57" s="2">
        <v>20508107</v>
      </c>
      <c r="H57" s="2" t="s">
        <v>1971</v>
      </c>
      <c r="I57" s="3">
        <v>45915</v>
      </c>
      <c r="J57" s="2" t="s">
        <v>31</v>
      </c>
      <c r="K57" s="3" t="s">
        <v>1968</v>
      </c>
      <c r="L57" s="2" t="s">
        <v>3263</v>
      </c>
      <c r="M57" s="2" t="s">
        <v>3264</v>
      </c>
      <c r="N57" s="2" t="s">
        <v>82</v>
      </c>
      <c r="O57" s="2" t="s">
        <v>3512</v>
      </c>
      <c r="P57" s="2" t="s">
        <v>36</v>
      </c>
      <c r="Q57" s="2" t="s">
        <v>3512</v>
      </c>
      <c r="R57" s="2" t="s">
        <v>3291</v>
      </c>
      <c r="S57" s="2" t="s">
        <v>37</v>
      </c>
      <c r="T57" s="2" t="s">
        <v>37</v>
      </c>
      <c r="U57" s="2" t="s">
        <v>57</v>
      </c>
      <c r="V57" s="3">
        <v>45915</v>
      </c>
      <c r="W57" s="2" t="s">
        <v>39</v>
      </c>
      <c r="X57" s="2" t="str">
        <f t="shared" si="0"/>
        <v>Calle El Rosario El Rosario, Ate, Lima, Lima, Perú</v>
      </c>
      <c r="Y57" s="22">
        <v>-12.1154916</v>
      </c>
      <c r="Z57" s="22">
        <v>-77.038951999999995</v>
      </c>
      <c r="AA57" s="33">
        <f t="shared" si="1"/>
        <v>20</v>
      </c>
      <c r="AB57" s="2" t="str">
        <f t="shared" si="2"/>
        <v>🟠 Moderada (10-20 km)</v>
      </c>
      <c r="AC57" s="2" t="str" cm="1">
        <f t="array" ref="AC57">INDEX(PARADEROS_VALIDOS!$C$2:$C$68,MATCH(MIN(6371*ACOS(COS(RADIANS(Y57))*COS(RADIANS(PARADEROS_VALIDOS!$E$2:$E$68))*COS(RADIANS(PARADEROS_VALIDOS!$F$2:$F$68)-RADIANS(Z57))+SIN(RADIANS(Y57))*SIN(RADIANS(PARADEROS_VALIDOS!$E$2:$E$68)))),6371*ACOS(COS(RADIANS(Y57))*COS(RADIANS(PARADEROS_VALIDOS!$E$2:$E$68))*COS(RADIANS(PARADEROS_VALIDOS!$F$2:$F$68)-RADIANS(Z57))+SIN(RADIANS(Y57))*SIN(RADIANS(PARADEROS_VALIDOS!$E$2:$E$68))),0))</f>
        <v>Paradero Berlín con Javier prado (cruzando el semáforo) aplica solo al ingreso.</v>
      </c>
      <c r="AD57" s="2" t="str">
        <f>IFERROR(INDEX(PARADEROS_VALIDOS!$A$2:$A$68,MATCH(AC57,PARADEROS_VALIDOS!$C$2:$C$68,0)),"")</f>
        <v>RUTA 4A</v>
      </c>
      <c r="AE57" s="33" cm="1">
        <f t="array" ref="AE57">ROUND(MIN(6371*ACOS(COS(RADIANS(Y57))*COS(RADIANS(PARADEROS_VALIDOS!$E$2:$E$68))*COS(RADIANS(PARADEROS_VALIDOS!$F$2:$F$68)-RADIANS(Z57))+SIN(RADIANS(Y57))*SIN(RADIANS(PARADEROS_VALIDOS!$E$2:$E$68)))),2)</f>
        <v>3.66</v>
      </c>
      <c r="AF57" s="2" t="str">
        <f t="shared" si="3"/>
        <v>🟠 Moderada (3-5 km)</v>
      </c>
      <c r="AG57" s="2"/>
      <c r="AH57" s="2"/>
      <c r="AI57" s="51">
        <v>-11.997563</v>
      </c>
      <c r="AJ57" s="51">
        <v>-76.900062000000005</v>
      </c>
      <c r="AK57" s="2" t="str">
        <f>IFERROR(VLOOKUP(H57,tdcargo[],2,FALSE),"DESCONOCIDO")</f>
        <v>OPERARIO</v>
      </c>
    </row>
    <row r="58" spans="1:37" x14ac:dyDescent="0.35">
      <c r="A58" s="2" t="s">
        <v>3288</v>
      </c>
      <c r="B58" s="2" t="s">
        <v>3513</v>
      </c>
      <c r="C58" s="2" t="s">
        <v>3514</v>
      </c>
      <c r="D58" s="2" t="s">
        <v>797</v>
      </c>
      <c r="E58" s="2">
        <v>32</v>
      </c>
      <c r="F58" s="2" t="s">
        <v>3255</v>
      </c>
      <c r="G58" s="2">
        <v>20513889</v>
      </c>
      <c r="H58" s="2" t="s">
        <v>2041</v>
      </c>
      <c r="I58" s="3">
        <v>42558</v>
      </c>
      <c r="J58" s="2" t="s">
        <v>31</v>
      </c>
      <c r="K58" s="3" t="s">
        <v>1968</v>
      </c>
      <c r="L58" s="2" t="s">
        <v>3515</v>
      </c>
      <c r="M58" s="2" t="s">
        <v>1968</v>
      </c>
      <c r="N58" s="2" t="s">
        <v>36</v>
      </c>
      <c r="O58" s="2" t="s">
        <v>3516</v>
      </c>
      <c r="P58" s="2" t="s">
        <v>66</v>
      </c>
      <c r="Q58" s="2" t="s">
        <v>3516</v>
      </c>
      <c r="R58" s="2" t="s">
        <v>3291</v>
      </c>
      <c r="S58" s="2" t="s">
        <v>37</v>
      </c>
      <c r="T58" s="2" t="s">
        <v>37</v>
      </c>
      <c r="U58" s="2" t="s">
        <v>57</v>
      </c>
      <c r="V58" s="3">
        <v>42558</v>
      </c>
      <c r="W58" s="2" t="s">
        <v>48</v>
      </c>
      <c r="X58" s="2" t="str">
        <f t="shared" si="0"/>
        <v>Los Llanos - Santa Clara, U.V. Unidad Vecinal Los Llanos - Santa Clara, Ate, Lima, Lima, Perú</v>
      </c>
      <c r="Y58" s="22">
        <v>-12.019954200000001</v>
      </c>
      <c r="Z58" s="22">
        <v>-76.886508500000005</v>
      </c>
      <c r="AA58" s="33">
        <f t="shared" si="1"/>
        <v>2.89</v>
      </c>
      <c r="AB58" s="2" t="str">
        <f t="shared" si="2"/>
        <v>🟢 Muy Cerca (0-5 km)</v>
      </c>
      <c r="AC58" s="2" t="str" cm="1">
        <f t="array" ref="AC58">INDEX(PARADEROS_VALIDOS!$C$2:$C$68,MATCH(MIN(6371*ACOS(COS(RADIANS(Y58))*COS(RADIANS(PARADEROS_VALIDOS!$E$2:$E$68))*COS(RADIANS(PARADEROS_VALIDOS!$F$2:$F$68)-RADIANS(Z58))+SIN(RADIANS(Y58))*SIN(RADIANS(PARADEROS_VALIDOS!$E$2:$E$68)))),6371*ACOS(COS(RADIANS(Y58))*COS(RADIANS(PARADEROS_VALIDOS!$E$2:$E$68))*COS(RADIANS(PARADEROS_VALIDOS!$F$2:$F$68)-RADIANS(Z58))+SIN(RADIANS(Y58))*SIN(RADIANS(PARADEROS_VALIDOS!$E$2:$E$68))),0))</f>
        <v>Paradero Sta. Clara</v>
      </c>
      <c r="AD58" s="2" t="str">
        <f>IFERROR(INDEX(PARADEROS_VALIDOS!$A$2:$A$68,MATCH(AC58,PARADEROS_VALIDOS!$C$2:$C$68,0)),"")</f>
        <v>RUTA 5C</v>
      </c>
      <c r="AE58" s="33" cm="1">
        <f t="array" ref="AE58">ROUND(MIN(6371*ACOS(COS(RADIANS(Y58))*COS(RADIANS(PARADEROS_VALIDOS!$E$2:$E$68))*COS(RADIANS(PARADEROS_VALIDOS!$F$2:$F$68)-RADIANS(Z58))+SIN(RADIANS(Y58))*SIN(RADIANS(PARADEROS_VALIDOS!$E$2:$E$68)))),2)</f>
        <v>0.59</v>
      </c>
      <c r="AF58" s="2" t="str">
        <f t="shared" si="3"/>
        <v>🟢 Muy Cerca (0-1 km)</v>
      </c>
      <c r="AG58" s="2"/>
      <c r="AH58" s="2"/>
      <c r="AI58" s="51">
        <v>-11.997563</v>
      </c>
      <c r="AJ58" s="51">
        <v>-76.900062000000005</v>
      </c>
      <c r="AK58" s="2" t="str">
        <f>IFERROR(VLOOKUP(H58,tdcargo[],2,FALSE),"DESCONOCIDO")</f>
        <v>STAFF</v>
      </c>
    </row>
    <row r="59" spans="1:37" x14ac:dyDescent="0.35">
      <c r="A59" s="2" t="s">
        <v>3517</v>
      </c>
      <c r="B59" s="2" t="s">
        <v>3518</v>
      </c>
      <c r="C59" s="2" t="s">
        <v>1954</v>
      </c>
      <c r="D59" s="2" t="s">
        <v>3519</v>
      </c>
      <c r="E59" s="2">
        <v>21</v>
      </c>
      <c r="F59" s="2" t="s">
        <v>3255</v>
      </c>
      <c r="G59" s="2">
        <v>20508121</v>
      </c>
      <c r="H59" s="2" t="s">
        <v>1971</v>
      </c>
      <c r="I59" s="3">
        <v>45887</v>
      </c>
      <c r="J59" s="2" t="s">
        <v>31</v>
      </c>
      <c r="K59" s="3" t="s">
        <v>1968</v>
      </c>
      <c r="L59" s="2" t="s">
        <v>3271</v>
      </c>
      <c r="M59" s="2" t="s">
        <v>3272</v>
      </c>
      <c r="N59" s="2" t="s">
        <v>34</v>
      </c>
      <c r="O59" s="2" t="s">
        <v>3520</v>
      </c>
      <c r="P59" s="2" t="s">
        <v>36</v>
      </c>
      <c r="Q59" s="2" t="s">
        <v>3521</v>
      </c>
      <c r="R59" s="2" t="s">
        <v>3291</v>
      </c>
      <c r="S59" s="2" t="s">
        <v>37</v>
      </c>
      <c r="T59" s="2" t="s">
        <v>37</v>
      </c>
      <c r="U59" s="2" t="s">
        <v>57</v>
      </c>
      <c r="V59" s="3">
        <v>45887</v>
      </c>
      <c r="W59" s="2" t="s">
        <v>39</v>
      </c>
      <c r="X59" s="2" t="str">
        <f t="shared" si="0"/>
        <v>Avenida Marginal El Carmen De Monterrico Marginal, Ate, Lima, Lima, Perú</v>
      </c>
      <c r="Y59" s="22">
        <v>-12.081856999999999</v>
      </c>
      <c r="Z59" s="22">
        <v>-76.979895299999995</v>
      </c>
      <c r="AA59" s="33">
        <f t="shared" si="1"/>
        <v>12.78</v>
      </c>
      <c r="AB59" s="2" t="str">
        <f t="shared" si="2"/>
        <v>🟠 Moderada (10-20 km)</v>
      </c>
      <c r="AC59" s="2" t="str" cm="1">
        <f t="array" ref="AC59">INDEX(PARADEROS_VALIDOS!$C$2:$C$68,MATCH(MIN(6371*ACOS(COS(RADIANS(Y59))*COS(RADIANS(PARADEROS_VALIDOS!$E$2:$E$68))*COS(RADIANS(PARADEROS_VALIDOS!$F$2:$F$68)-RADIANS(Z59))+SIN(RADIANS(Y59))*SIN(RADIANS(PARADEROS_VALIDOS!$E$2:$E$68)))),6371*ACOS(COS(RADIANS(Y59))*COS(RADIANS(PARADEROS_VALIDOS!$E$2:$E$68))*COS(RADIANS(PARADEROS_VALIDOS!$F$2:$F$68)-RADIANS(Z59))+SIN(RADIANS(Y59))*SIN(RADIANS(PARADEROS_VALIDOS!$E$2:$E$68))),0))</f>
        <v>Paradero Javier Prado</v>
      </c>
      <c r="AD59" s="2" t="str">
        <f>IFERROR(INDEX(PARADEROS_VALIDOS!$A$2:$A$68,MATCH(AC59,PARADEROS_VALIDOS!$C$2:$C$68,0)),"")</f>
        <v>RUTA 7</v>
      </c>
      <c r="AE59" s="33" cm="1">
        <f t="array" ref="AE59">ROUND(MIN(6371*ACOS(COS(RADIANS(Y59))*COS(RADIANS(PARADEROS_VALIDOS!$E$2:$E$68))*COS(RADIANS(PARADEROS_VALIDOS!$F$2:$F$68)-RADIANS(Z59))+SIN(RADIANS(Y59))*SIN(RADIANS(PARADEROS_VALIDOS!$E$2:$E$68)))),2)</f>
        <v>0.03</v>
      </c>
      <c r="AF59" s="2" t="str">
        <f t="shared" si="3"/>
        <v>🟢 Muy Cerca (0-1 km)</v>
      </c>
      <c r="AG59" s="2"/>
      <c r="AH59" s="2"/>
      <c r="AI59" s="51">
        <v>-11.997563</v>
      </c>
      <c r="AJ59" s="51">
        <v>-76.900062000000005</v>
      </c>
      <c r="AK59" s="2" t="str">
        <f>IFERROR(VLOOKUP(H59,tdcargo[],2,FALSE),"DESCONOCIDO")</f>
        <v>OPERARIO</v>
      </c>
    </row>
    <row r="60" spans="1:37" x14ac:dyDescent="0.35">
      <c r="A60" s="2" t="s">
        <v>3522</v>
      </c>
      <c r="B60" s="2" t="s">
        <v>3523</v>
      </c>
      <c r="C60" s="2" t="s">
        <v>3524</v>
      </c>
      <c r="D60" s="2" t="s">
        <v>3525</v>
      </c>
      <c r="E60" s="2">
        <v>41</v>
      </c>
      <c r="F60" s="2" t="s">
        <v>3255</v>
      </c>
      <c r="G60" s="2">
        <v>20508026</v>
      </c>
      <c r="H60" s="2" t="s">
        <v>1971</v>
      </c>
      <c r="I60" s="3">
        <v>46083</v>
      </c>
      <c r="J60" s="2" t="s">
        <v>31</v>
      </c>
      <c r="K60" s="3" t="s">
        <v>1968</v>
      </c>
      <c r="L60" s="2" t="s">
        <v>3278</v>
      </c>
      <c r="M60" s="2" t="s">
        <v>3279</v>
      </c>
      <c r="N60" s="2" t="s">
        <v>36</v>
      </c>
      <c r="O60" s="2" t="s">
        <v>3526</v>
      </c>
      <c r="P60" s="2" t="s">
        <v>36</v>
      </c>
      <c r="Q60" s="2" t="s">
        <v>1910</v>
      </c>
      <c r="R60" s="2" t="s">
        <v>3291</v>
      </c>
      <c r="S60" s="2" t="s">
        <v>37</v>
      </c>
      <c r="T60" s="2" t="s">
        <v>37</v>
      </c>
      <c r="U60" s="2" t="s">
        <v>57</v>
      </c>
      <c r="V60" s="3">
        <v>46083</v>
      </c>
      <c r="W60" s="2" t="s">
        <v>135</v>
      </c>
      <c r="X60" s="2" t="str">
        <f t="shared" si="0"/>
        <v>Portales De Nieveria HUACHIPA, Ate, Lima, Lima, Perú</v>
      </c>
      <c r="Y60" s="22">
        <v>-12.009400899999999</v>
      </c>
      <c r="Z60" s="22">
        <v>-76.904340599999998</v>
      </c>
      <c r="AA60" s="33">
        <f t="shared" si="1"/>
        <v>1.4</v>
      </c>
      <c r="AB60" s="2" t="str">
        <f t="shared" si="2"/>
        <v>🟢 Muy Cerca (0-5 km)</v>
      </c>
      <c r="AC60" s="2" t="str" cm="1">
        <f t="array" ref="AC60">INDEX(PARADEROS_VALIDOS!$C$2:$C$68,MATCH(MIN(6371*ACOS(COS(RADIANS(Y60))*COS(RADIANS(PARADEROS_VALIDOS!$E$2:$E$68))*COS(RADIANS(PARADEROS_VALIDOS!$F$2:$F$68)-RADIANS(Z60))+SIN(RADIANS(Y60))*SIN(RADIANS(PARADEROS_VALIDOS!$E$2:$E$68)))),6371*ACOS(COS(RADIANS(Y60))*COS(RADIANS(PARADEROS_VALIDOS!$E$2:$E$68))*COS(RADIANS(PARADEROS_VALIDOS!$F$2:$F$68)-RADIANS(Z60))+SIN(RADIANS(Y60))*SIN(RADIANS(PARADEROS_VALIDOS!$E$2:$E$68))),0))</f>
        <v>Tottus Huachipa</v>
      </c>
      <c r="AD60" s="2" t="str">
        <f>IFERROR(INDEX(PARADEROS_VALIDOS!$A$2:$A$68,MATCH(AC60,PARADEROS_VALIDOS!$C$2:$C$68,0)),"")</f>
        <v>RUTA 1</v>
      </c>
      <c r="AE60" s="33" cm="1">
        <f t="array" ref="AE60">ROUND(MIN(6371*ACOS(COS(RADIANS(Y60))*COS(RADIANS(PARADEROS_VALIDOS!$E$2:$E$68))*COS(RADIANS(PARADEROS_VALIDOS!$F$2:$F$68)-RADIANS(Z60))+SIN(RADIANS(Y60))*SIN(RADIANS(PARADEROS_VALIDOS!$E$2:$E$68)))),2)</f>
        <v>1.1100000000000001</v>
      </c>
      <c r="AF60" s="2" t="str">
        <f t="shared" si="3"/>
        <v>🟡 Cerca (1-3 km)</v>
      </c>
      <c r="AG60" s="2"/>
      <c r="AH60" s="2"/>
      <c r="AI60" s="51">
        <v>-11.997563</v>
      </c>
      <c r="AJ60" s="51">
        <v>-76.900062000000005</v>
      </c>
      <c r="AK60" s="2" t="str">
        <f>IFERROR(VLOOKUP(H60,tdcargo[],2,FALSE),"DESCONOCIDO")</f>
        <v>OPERARIO</v>
      </c>
    </row>
    <row r="61" spans="1:37" x14ac:dyDescent="0.35">
      <c r="A61" s="2" t="s">
        <v>3527</v>
      </c>
      <c r="B61" s="2" t="s">
        <v>3528</v>
      </c>
      <c r="C61" s="2" t="s">
        <v>181</v>
      </c>
      <c r="D61" s="2" t="s">
        <v>467</v>
      </c>
      <c r="E61" s="2">
        <v>36</v>
      </c>
      <c r="F61" s="2" t="s">
        <v>3255</v>
      </c>
      <c r="G61" s="2">
        <v>20514943</v>
      </c>
      <c r="H61" s="2" t="s">
        <v>1971</v>
      </c>
      <c r="I61" s="3">
        <v>45950</v>
      </c>
      <c r="J61" s="2" t="s">
        <v>31</v>
      </c>
      <c r="K61" s="3" t="s">
        <v>1968</v>
      </c>
      <c r="L61" s="2" t="s">
        <v>3344</v>
      </c>
      <c r="M61" s="2" t="s">
        <v>3345</v>
      </c>
      <c r="N61" s="2" t="s">
        <v>36</v>
      </c>
      <c r="O61" s="2" t="s">
        <v>3529</v>
      </c>
      <c r="P61" s="2" t="s">
        <v>36</v>
      </c>
      <c r="Q61" s="2" t="s">
        <v>620</v>
      </c>
      <c r="R61" s="2" t="s">
        <v>3274</v>
      </c>
      <c r="S61" s="2" t="s">
        <v>37</v>
      </c>
      <c r="T61" s="2" t="s">
        <v>37</v>
      </c>
      <c r="U61" s="2" t="s">
        <v>76</v>
      </c>
      <c r="V61" s="3">
        <v>45950</v>
      </c>
      <c r="W61" s="2" t="s">
        <v>39</v>
      </c>
      <c r="X61" s="2" t="str">
        <f t="shared" si="0"/>
        <v>Bolognesi Jicamarca, Lurigancho, Lima, Lima, Perú</v>
      </c>
      <c r="Y61" s="22">
        <v>-11.969461300000001</v>
      </c>
      <c r="Z61" s="22">
        <v>-76.937417300000007</v>
      </c>
      <c r="AA61" s="33">
        <f t="shared" si="1"/>
        <v>5.13</v>
      </c>
      <c r="AB61" s="2" t="str">
        <f t="shared" si="2"/>
        <v>🟡 Cerca (5-10 km)</v>
      </c>
      <c r="AC61" s="2" t="str" cm="1">
        <f t="array" ref="AC61">INDEX(PARADEROS_VALIDOS!$C$2:$C$68,MATCH(MIN(6371*ACOS(COS(RADIANS(Y61))*COS(RADIANS(PARADEROS_VALIDOS!$E$2:$E$68))*COS(RADIANS(PARADEROS_VALIDOS!$F$2:$F$68)-RADIANS(Z61))+SIN(RADIANS(Y61))*SIN(RADIANS(PARADEROS_VALIDOS!$E$2:$E$68)))),6371*ACOS(COS(RADIANS(Y61))*COS(RADIANS(PARADEROS_VALIDOS!$E$2:$E$68))*COS(RADIANS(PARADEROS_VALIDOS!$F$2:$F$68)-RADIANS(Z61))+SIN(RADIANS(Y61))*SIN(RADIANS(PARADEROS_VALIDOS!$E$2:$E$68))),0))</f>
        <v>Paradero Arco San Antonio</v>
      </c>
      <c r="AD61" s="2" t="str">
        <f>IFERROR(INDEX(PARADEROS_VALIDOS!$A$2:$A$68,MATCH(AC61,PARADEROS_VALIDOS!$C$2:$C$68,0)),"")</f>
        <v>RUTA 2</v>
      </c>
      <c r="AE61" s="33" cm="1">
        <f t="array" ref="AE61">ROUND(MIN(6371*ACOS(COS(RADIANS(Y61))*COS(RADIANS(PARADEROS_VALIDOS!$E$2:$E$68))*COS(RADIANS(PARADEROS_VALIDOS!$F$2:$F$68)-RADIANS(Z61))+SIN(RADIANS(Y61))*SIN(RADIANS(PARADEROS_VALIDOS!$E$2:$E$68)))),2)</f>
        <v>4.59</v>
      </c>
      <c r="AF61" s="2" t="str">
        <f t="shared" si="3"/>
        <v>🟠 Moderada (3-5 km)</v>
      </c>
      <c r="AG61" s="2"/>
      <c r="AH61" s="2"/>
      <c r="AI61" s="51">
        <v>-11.997563</v>
      </c>
      <c r="AJ61" s="51">
        <v>-76.900062000000005</v>
      </c>
      <c r="AK61" s="2" t="str">
        <f>IFERROR(VLOOKUP(H61,tdcargo[],2,FALSE),"DESCONOCIDO")</f>
        <v>OPERARIO</v>
      </c>
    </row>
    <row r="62" spans="1:37" x14ac:dyDescent="0.35">
      <c r="A62" s="2" t="s">
        <v>3530</v>
      </c>
      <c r="B62" s="2" t="s">
        <v>3531</v>
      </c>
      <c r="C62" s="2" t="s">
        <v>80</v>
      </c>
      <c r="D62" s="2" t="s">
        <v>989</v>
      </c>
      <c r="E62" s="2">
        <v>28</v>
      </c>
      <c r="F62" s="2" t="s">
        <v>3255</v>
      </c>
      <c r="G62" s="2">
        <v>20507965</v>
      </c>
      <c r="H62" s="2" t="s">
        <v>3532</v>
      </c>
      <c r="I62" s="3">
        <v>44812</v>
      </c>
      <c r="J62" s="2" t="s">
        <v>31</v>
      </c>
      <c r="K62" s="3" t="s">
        <v>1968</v>
      </c>
      <c r="L62" s="2" t="s">
        <v>3533</v>
      </c>
      <c r="M62" s="2" t="s">
        <v>1968</v>
      </c>
      <c r="N62" s="2" t="s">
        <v>53</v>
      </c>
      <c r="O62" s="2" t="s">
        <v>3534</v>
      </c>
      <c r="P62" s="2" t="s">
        <v>186</v>
      </c>
      <c r="Q62" s="2" t="s">
        <v>46</v>
      </c>
      <c r="R62" s="2" t="s">
        <v>3260</v>
      </c>
      <c r="S62" s="2" t="s">
        <v>37</v>
      </c>
      <c r="T62" s="2" t="s">
        <v>37</v>
      </c>
      <c r="U62" s="2" t="s">
        <v>38</v>
      </c>
      <c r="V62" s="3">
        <v>44812</v>
      </c>
      <c r="W62" s="2" t="s">
        <v>48</v>
      </c>
      <c r="X62" s="2" t="str">
        <f t="shared" si="0"/>
        <v>Jirón Domingo Espinar, Urb. Urbanización, San Juan De Lurigancho, Lima, Lima, Perú</v>
      </c>
      <c r="Y62" s="22">
        <v>-12.0539799</v>
      </c>
      <c r="Z62" s="22">
        <v>-77.049209599999998</v>
      </c>
      <c r="AA62" s="33">
        <f t="shared" si="1"/>
        <v>17.39</v>
      </c>
      <c r="AB62" s="2" t="str">
        <f t="shared" si="2"/>
        <v>🟠 Moderada (10-20 km)</v>
      </c>
      <c r="AC62" s="2" t="str" cm="1">
        <f t="array" ref="AC62">INDEX(PARADEROS_VALIDOS!$C$2:$C$68,MATCH(MIN(6371*ACOS(COS(RADIANS(Y62))*COS(RADIANS(PARADEROS_VALIDOS!$E$2:$E$68))*COS(RADIANS(PARADEROS_VALIDOS!$F$2:$F$68)-RADIANS(Z62))+SIN(RADIANS(Y62))*SIN(RADIANS(PARADEROS_VALIDOS!$E$2:$E$68)))),6371*ACOS(COS(RADIANS(Y62))*COS(RADIANS(PARADEROS_VALIDOS!$E$2:$E$68))*COS(RADIANS(PARADEROS_VALIDOS!$F$2:$F$68)-RADIANS(Z62))+SIN(RADIANS(Y62))*SIN(RADIANS(PARADEROS_VALIDOS!$E$2:$E$68))),0))</f>
        <v>Paradero Rompemuelle</v>
      </c>
      <c r="AD62" s="2" t="str">
        <f>IFERROR(INDEX(PARADEROS_VALIDOS!$A$2:$A$68,MATCH(AC62,PARADEROS_VALIDOS!$C$2:$C$68,0)),"")</f>
        <v>RUTA 3</v>
      </c>
      <c r="AE62" s="33" cm="1">
        <f t="array" ref="AE62">ROUND(MIN(6371*ACOS(COS(RADIANS(Y62))*COS(RADIANS(PARADEROS_VALIDOS!$E$2:$E$68))*COS(RADIANS(PARADEROS_VALIDOS!$F$2:$F$68)-RADIANS(Z62))+SIN(RADIANS(Y62))*SIN(RADIANS(PARADEROS_VALIDOS!$E$2:$E$68)))),2)</f>
        <v>1.05</v>
      </c>
      <c r="AF62" s="2" t="str">
        <f t="shared" si="3"/>
        <v>🟡 Cerca (1-3 km)</v>
      </c>
      <c r="AG62" s="2"/>
      <c r="AH62" s="2"/>
      <c r="AI62" s="51">
        <v>-11.997563</v>
      </c>
      <c r="AJ62" s="51">
        <v>-76.900062000000005</v>
      </c>
      <c r="AK62" s="2" t="str">
        <f>IFERROR(VLOOKUP(H62,tdcargo[],2,FALSE),"DESCONOCIDO")</f>
        <v>STAFF</v>
      </c>
    </row>
    <row r="63" spans="1:37" x14ac:dyDescent="0.35">
      <c r="A63" s="2" t="s">
        <v>3535</v>
      </c>
      <c r="B63" s="2" t="s">
        <v>3536</v>
      </c>
      <c r="C63" s="2" t="s">
        <v>3537</v>
      </c>
      <c r="D63" s="2" t="s">
        <v>949</v>
      </c>
      <c r="E63" s="2">
        <v>20</v>
      </c>
      <c r="F63" s="2" t="s">
        <v>3255</v>
      </c>
      <c r="G63" s="2">
        <v>20510512</v>
      </c>
      <c r="H63" s="2" t="s">
        <v>1971</v>
      </c>
      <c r="I63" s="3">
        <v>45583</v>
      </c>
      <c r="J63" s="2" t="s">
        <v>31</v>
      </c>
      <c r="K63" s="3" t="s">
        <v>1968</v>
      </c>
      <c r="L63" s="2" t="s">
        <v>3263</v>
      </c>
      <c r="M63" s="2" t="s">
        <v>3264</v>
      </c>
      <c r="N63" s="2" t="s">
        <v>36</v>
      </c>
      <c r="O63" s="2" t="s">
        <v>3538</v>
      </c>
      <c r="P63" s="2" t="s">
        <v>36</v>
      </c>
      <c r="Q63" s="2" t="s">
        <v>798</v>
      </c>
      <c r="R63" s="2" t="s">
        <v>3291</v>
      </c>
      <c r="S63" s="2" t="s">
        <v>37</v>
      </c>
      <c r="T63" s="2" t="s">
        <v>37</v>
      </c>
      <c r="U63" s="2" t="s">
        <v>57</v>
      </c>
      <c r="V63" s="3">
        <v>45583</v>
      </c>
      <c r="W63" s="2" t="s">
        <v>48</v>
      </c>
      <c r="X63" s="2" t="str">
        <f t="shared" si="0"/>
        <v>Zona I Ucv 132 Luz De Vivir Mz D Lote 14 15 De Julio, Ate, Lima, Lima, Perú</v>
      </c>
      <c r="Y63" s="22">
        <v>-12.012334900000001</v>
      </c>
      <c r="Z63" s="22">
        <v>-76.824224099999995</v>
      </c>
      <c r="AA63" s="33">
        <f t="shared" si="1"/>
        <v>8.41</v>
      </c>
      <c r="AB63" s="2" t="str">
        <f t="shared" si="2"/>
        <v>🟡 Cerca (5-10 km)</v>
      </c>
      <c r="AC63" s="2" t="str" cm="1">
        <f t="array" ref="AC63">INDEX(PARADEROS_VALIDOS!$C$2:$C$68,MATCH(MIN(6371*ACOS(COS(RADIANS(Y63))*COS(RADIANS(PARADEROS_VALIDOS!$E$2:$E$68))*COS(RADIANS(PARADEROS_VALIDOS!$F$2:$F$68)-RADIANS(Z63))+SIN(RADIANS(Y63))*SIN(RADIANS(PARADEROS_VALIDOS!$E$2:$E$68)))),6371*ACOS(COS(RADIANS(Y63))*COS(RADIANS(PARADEROS_VALIDOS!$E$2:$E$68))*COS(RADIANS(PARADEROS_VALIDOS!$F$2:$F$68)-RADIANS(Z63))+SIN(RADIANS(Y63))*SIN(RADIANS(PARADEROS_VALIDOS!$E$2:$E$68))),0))</f>
        <v>Paradero Aurora</v>
      </c>
      <c r="AD63" s="2" t="str">
        <f>IFERROR(INDEX(PARADEROS_VALIDOS!$A$2:$A$68,MATCH(AC63,PARADEROS_VALIDOS!$C$2:$C$68,0)),"")</f>
        <v>RUTA 3</v>
      </c>
      <c r="AE63" s="33" cm="1">
        <f t="array" ref="AE63">ROUND(MIN(6371*ACOS(COS(RADIANS(Y63))*COS(RADIANS(PARADEROS_VALIDOS!$E$2:$E$68))*COS(RADIANS(PARADEROS_VALIDOS!$F$2:$F$68)-RADIANS(Z63))+SIN(RADIANS(Y63))*SIN(RADIANS(PARADEROS_VALIDOS!$E$2:$E$68)))),2)</f>
        <v>1.51</v>
      </c>
      <c r="AF63" s="2" t="str">
        <f t="shared" si="3"/>
        <v>🟡 Cerca (1-3 km)</v>
      </c>
      <c r="AG63" s="2"/>
      <c r="AH63" s="2"/>
      <c r="AI63" s="51">
        <v>-11.997563</v>
      </c>
      <c r="AJ63" s="51">
        <v>-76.900062000000005</v>
      </c>
      <c r="AK63" s="2" t="str">
        <f>IFERROR(VLOOKUP(H63,tdcargo[],2,FALSE),"DESCONOCIDO")</f>
        <v>OPERARIO</v>
      </c>
    </row>
    <row r="64" spans="1:37" x14ac:dyDescent="0.35">
      <c r="A64" s="2" t="s">
        <v>3539</v>
      </c>
      <c r="B64" s="2" t="s">
        <v>3540</v>
      </c>
      <c r="C64" s="2" t="s">
        <v>400</v>
      </c>
      <c r="D64" s="2" t="s">
        <v>3541</v>
      </c>
      <c r="E64" s="2">
        <v>23</v>
      </c>
      <c r="F64" s="2" t="s">
        <v>3255</v>
      </c>
      <c r="G64" s="2">
        <v>20512272</v>
      </c>
      <c r="H64" s="2" t="s">
        <v>1971</v>
      </c>
      <c r="I64" s="3">
        <v>45748</v>
      </c>
      <c r="J64" s="2" t="s">
        <v>31</v>
      </c>
      <c r="K64" s="3" t="s">
        <v>1968</v>
      </c>
      <c r="L64" s="2" t="s">
        <v>3263</v>
      </c>
      <c r="M64" s="2" t="s">
        <v>3264</v>
      </c>
      <c r="N64" s="2" t="s">
        <v>82</v>
      </c>
      <c r="O64" s="2" t="s">
        <v>620</v>
      </c>
      <c r="P64" s="2" t="s">
        <v>36</v>
      </c>
      <c r="Q64" s="2" t="s">
        <v>616</v>
      </c>
      <c r="R64" s="2" t="s">
        <v>3542</v>
      </c>
      <c r="S64" s="2" t="s">
        <v>37</v>
      </c>
      <c r="T64" s="2" t="s">
        <v>195</v>
      </c>
      <c r="U64" s="2" t="s">
        <v>196</v>
      </c>
      <c r="V64" s="3">
        <v>45748</v>
      </c>
      <c r="W64" s="2" t="s">
        <v>77</v>
      </c>
      <c r="X64" s="2" t="str">
        <f t="shared" si="0"/>
        <v>Calle Jicamarca Julio C.Tello, San Antonio, Huarochiri, Lima, Perú</v>
      </c>
      <c r="Y64" s="22">
        <v>-11.9783613</v>
      </c>
      <c r="Z64" s="22">
        <v>-76.925780799999998</v>
      </c>
      <c r="AA64" s="33">
        <f t="shared" si="1"/>
        <v>3.52</v>
      </c>
      <c r="AB64" s="2" t="str">
        <f t="shared" si="2"/>
        <v>🟢 Muy Cerca (0-5 km)</v>
      </c>
      <c r="AC64" s="2" t="str" cm="1">
        <f t="array" ref="AC64">INDEX(PARADEROS_VALIDOS!$C$2:$C$68,MATCH(MIN(6371*ACOS(COS(RADIANS(Y64))*COS(RADIANS(PARADEROS_VALIDOS!$E$2:$E$68))*COS(RADIANS(PARADEROS_VALIDOS!$F$2:$F$68)-RADIANS(Z64))+SIN(RADIANS(Y64))*SIN(RADIANS(PARADEROS_VALIDOS!$E$2:$E$68)))),6371*ACOS(COS(RADIANS(Y64))*COS(RADIANS(PARADEROS_VALIDOS!$E$2:$E$68))*COS(RADIANS(PARADEROS_VALIDOS!$F$2:$F$68)-RADIANS(Z64))+SIN(RADIANS(Y64))*SIN(RADIANS(PARADEROS_VALIDOS!$E$2:$E$68))),0))</f>
        <v>Paradero Arco San Antonio</v>
      </c>
      <c r="AD64" s="2" t="str">
        <f>IFERROR(INDEX(PARADEROS_VALIDOS!$A$2:$A$68,MATCH(AC64,PARADEROS_VALIDOS!$C$2:$C$68,0)),"")</f>
        <v>RUTA 2</v>
      </c>
      <c r="AE64" s="33" cm="1">
        <f t="array" ref="AE64">ROUND(MIN(6371*ACOS(COS(RADIANS(Y64))*COS(RADIANS(PARADEROS_VALIDOS!$E$2:$E$68))*COS(RADIANS(PARADEROS_VALIDOS!$F$2:$F$68)-RADIANS(Z64))+SIN(RADIANS(Y64))*SIN(RADIANS(PARADEROS_VALIDOS!$E$2:$E$68)))),2)</f>
        <v>2.98</v>
      </c>
      <c r="AF64" s="2" t="str">
        <f t="shared" si="3"/>
        <v>🟡 Cerca (1-3 km)</v>
      </c>
      <c r="AG64" s="2"/>
      <c r="AH64" s="2"/>
      <c r="AI64" s="51">
        <v>-11.997563</v>
      </c>
      <c r="AJ64" s="51">
        <v>-76.900062000000005</v>
      </c>
      <c r="AK64" s="2" t="str">
        <f>IFERROR(VLOOKUP(H64,tdcargo[],2,FALSE),"DESCONOCIDO")</f>
        <v>OPERARIO</v>
      </c>
    </row>
    <row r="65" spans="1:37" x14ac:dyDescent="0.35">
      <c r="A65" s="2" t="s">
        <v>3543</v>
      </c>
      <c r="B65" s="2" t="s">
        <v>3544</v>
      </c>
      <c r="C65" s="2" t="s">
        <v>364</v>
      </c>
      <c r="D65" s="2" t="s">
        <v>3545</v>
      </c>
      <c r="E65" s="2">
        <v>32</v>
      </c>
      <c r="F65" s="2" t="s">
        <v>3255</v>
      </c>
      <c r="G65" s="2">
        <v>20511986</v>
      </c>
      <c r="H65" s="2" t="s">
        <v>1971</v>
      </c>
      <c r="I65" s="3">
        <v>45628</v>
      </c>
      <c r="J65" s="2" t="s">
        <v>31</v>
      </c>
      <c r="K65" s="3" t="s">
        <v>1968</v>
      </c>
      <c r="L65" s="2" t="s">
        <v>3299</v>
      </c>
      <c r="M65" s="2" t="s">
        <v>3300</v>
      </c>
      <c r="N65" s="2" t="s">
        <v>82</v>
      </c>
      <c r="O65" s="2" t="s">
        <v>3546</v>
      </c>
      <c r="P65" s="2" t="s">
        <v>36</v>
      </c>
      <c r="Q65" s="2" t="s">
        <v>654</v>
      </c>
      <c r="R65" s="2" t="s">
        <v>3291</v>
      </c>
      <c r="S65" s="2" t="s">
        <v>37</v>
      </c>
      <c r="T65" s="2" t="s">
        <v>37</v>
      </c>
      <c r="U65" s="2" t="s">
        <v>57</v>
      </c>
      <c r="V65" s="3">
        <v>45628</v>
      </c>
      <c r="W65" s="2" t="s">
        <v>48</v>
      </c>
      <c r="X65" s="2" t="str">
        <f t="shared" si="0"/>
        <v>Calle Rosa Cruces Ate Vitarte, Ate, Lima, Lima, Perú</v>
      </c>
      <c r="Y65" s="22">
        <v>-12.026227199999999</v>
      </c>
      <c r="Z65" s="22">
        <v>-76.902575900000002</v>
      </c>
      <c r="AA65" s="33">
        <f t="shared" si="1"/>
        <v>3.2</v>
      </c>
      <c r="AB65" s="2" t="str">
        <f t="shared" si="2"/>
        <v>🟢 Muy Cerca (0-5 km)</v>
      </c>
      <c r="AC65" s="2" t="str" cm="1">
        <f t="array" ref="AC65">INDEX(PARADEROS_VALIDOS!$C$2:$C$68,MATCH(MIN(6371*ACOS(COS(RADIANS(Y65))*COS(RADIANS(PARADEROS_VALIDOS!$E$2:$E$68))*COS(RADIANS(PARADEROS_VALIDOS!$F$2:$F$68)-RADIANS(Z65))+SIN(RADIANS(Y65))*SIN(RADIANS(PARADEROS_VALIDOS!$E$2:$E$68)))),6371*ACOS(COS(RADIANS(Y65))*COS(RADIANS(PARADEROS_VALIDOS!$E$2:$E$68))*COS(RADIANS(PARADEROS_VALIDOS!$F$2:$F$68)-RADIANS(Z65))+SIN(RADIANS(Y65))*SIN(RADIANS(PARADEROS_VALIDOS!$E$2:$E$68))),0))</f>
        <v>Paradero Esperanza</v>
      </c>
      <c r="AD65" s="2" t="str">
        <f>IFERROR(INDEX(PARADEROS_VALIDOS!$A$2:$A$68,MATCH(AC65,PARADEROS_VALIDOS!$C$2:$C$68,0)),"")</f>
        <v>RUTA 4B</v>
      </c>
      <c r="AE65" s="33" cm="1">
        <f t="array" ref="AE65">ROUND(MIN(6371*ACOS(COS(RADIANS(Y65))*COS(RADIANS(PARADEROS_VALIDOS!$E$2:$E$68))*COS(RADIANS(PARADEROS_VALIDOS!$F$2:$F$68)-RADIANS(Z65))+SIN(RADIANS(Y65))*SIN(RADIANS(PARADEROS_VALIDOS!$E$2:$E$68)))),2)</f>
        <v>0.68</v>
      </c>
      <c r="AF65" s="2" t="str">
        <f t="shared" si="3"/>
        <v>🟢 Muy Cerca (0-1 km)</v>
      </c>
      <c r="AG65" s="2"/>
      <c r="AH65" s="2"/>
      <c r="AI65" s="51">
        <v>-11.997563</v>
      </c>
      <c r="AJ65" s="51">
        <v>-76.900062000000005</v>
      </c>
      <c r="AK65" s="2" t="str">
        <f>IFERROR(VLOOKUP(H65,tdcargo[],2,FALSE),"DESCONOCIDO")</f>
        <v>OPERARIO</v>
      </c>
    </row>
    <row r="66" spans="1:37" x14ac:dyDescent="0.35">
      <c r="A66" s="2" t="s">
        <v>3547</v>
      </c>
      <c r="B66" s="2" t="s">
        <v>3548</v>
      </c>
      <c r="C66" s="2" t="s">
        <v>230</v>
      </c>
      <c r="D66" s="2" t="s">
        <v>3549</v>
      </c>
      <c r="E66" s="2">
        <v>23</v>
      </c>
      <c r="F66" s="2" t="s">
        <v>3255</v>
      </c>
      <c r="G66" s="2">
        <v>20507998</v>
      </c>
      <c r="H66" s="2" t="s">
        <v>1971</v>
      </c>
      <c r="I66" s="3">
        <v>45918</v>
      </c>
      <c r="J66" s="2" t="s">
        <v>31</v>
      </c>
      <c r="K66" s="3" t="s">
        <v>1968</v>
      </c>
      <c r="L66" s="2" t="s">
        <v>3344</v>
      </c>
      <c r="M66" s="2" t="s">
        <v>3345</v>
      </c>
      <c r="N66" s="2" t="s">
        <v>36</v>
      </c>
      <c r="O66" s="2" t="s">
        <v>3550</v>
      </c>
      <c r="P66" s="2" t="s">
        <v>36</v>
      </c>
      <c r="Q66" s="2" t="s">
        <v>3058</v>
      </c>
      <c r="R66" s="2" t="s">
        <v>3260</v>
      </c>
      <c r="S66" s="2" t="s">
        <v>37</v>
      </c>
      <c r="T66" s="2" t="s">
        <v>37</v>
      </c>
      <c r="U66" s="2" t="s">
        <v>38</v>
      </c>
      <c r="V66" s="3">
        <v>45918</v>
      </c>
      <c r="W66" s="2" t="s">
        <v>39</v>
      </c>
      <c r="X66" s="2" t="str">
        <f t="shared" ref="X66:X129" si="4">_xlfn.LET(_xlpm.parte1,TRIM(IF(OR(N66="Otros / No aplica",N66=""),"",N66&amp;" ")&amp;O66&amp;IF(AND(P66&lt;&gt;"",P66&lt;&gt;"Otros / No aplica"),", "&amp;P66,"")&amp;IF(AND(Q66&lt;&gt;"",Q66&lt;&gt;"Nd",Q66&lt;&gt;0,Q66&lt;&gt;"0")," "&amp;Q66,"")),_xlpm.parte2,U66&amp;", "&amp;T66&amp;", "&amp;S66&amp;", Perú",IF(LEFT(_xlpm.parte1,1)=",",TRIM(MID(_xlpm.parte1,2,255))&amp;", "&amp;_xlpm.parte2,IF(_xlpm.parte1="",_xlpm.parte2,_xlpm.parte1&amp;", "&amp;_xlpm.parte2)))</f>
        <v>Las Bellotitas Las Violetas, San Juan De Lurigancho, Lima, Lima, Perú</v>
      </c>
      <c r="Y66" s="22">
        <v>-12.0106859</v>
      </c>
      <c r="Z66" s="22">
        <v>-77.007673600000004</v>
      </c>
      <c r="AA66" s="33">
        <f t="shared" ref="AA66:AA129" si="5">ROUND(6371*ACOS(COS(RADIANS(-11.997563))*COS(RADIANS(Y66))*COS(RADIANS(Z66)-RADIANS(-76.900062))+SIN(RADIANS(-11.997563))*SIN(RADIANS(Y66))),2)</f>
        <v>11.79</v>
      </c>
      <c r="AB66" s="2" t="str">
        <f t="shared" ref="AB66:AB129" si="6">IF(AA66&lt;=5,"🟢 Muy Cerca (0-5 km)",IF(AA66&lt;=10,"🟡 Cerca (5-10 km)",IF(AA66&lt;=20,"🟠 Moderada (10-20 km)","🔴 Lejos (&gt;20 km)")))</f>
        <v>🟠 Moderada (10-20 km)</v>
      </c>
      <c r="AC66" s="2" t="str" cm="1">
        <f t="array" ref="AC66">INDEX(PARADEROS_VALIDOS!$C$2:$C$68,MATCH(MIN(6371*ACOS(COS(RADIANS(Y66))*COS(RADIANS(PARADEROS_VALIDOS!$E$2:$E$68))*COS(RADIANS(PARADEROS_VALIDOS!$F$2:$F$68)-RADIANS(Z66))+SIN(RADIANS(Y66))*SIN(RADIANS(PARADEROS_VALIDOS!$E$2:$E$68)))),6371*ACOS(COS(RADIANS(Y66))*COS(RADIANS(PARADEROS_VALIDOS!$E$2:$E$68))*COS(RADIANS(PARADEROS_VALIDOS!$F$2:$F$68)-RADIANS(Z66))+SIN(RADIANS(Y66))*SIN(RADIANS(PARADEROS_VALIDOS!$E$2:$E$68))),0))</f>
        <v>Paradero Metro Hacienda</v>
      </c>
      <c r="AD66" s="2" t="str">
        <f>IFERROR(INDEX(PARADEROS_VALIDOS!$A$2:$A$68,MATCH(AC66,PARADEROS_VALIDOS!$C$2:$C$68,0)),"")</f>
        <v>RUTA 6B</v>
      </c>
      <c r="AE66" s="33" cm="1">
        <f t="array" ref="AE66">ROUND(MIN(6371*ACOS(COS(RADIANS(Y66))*COS(RADIANS(PARADEROS_VALIDOS!$E$2:$E$68))*COS(RADIANS(PARADEROS_VALIDOS!$F$2:$F$68)-RADIANS(Z66))+SIN(RADIANS(Y66))*SIN(RADIANS(PARADEROS_VALIDOS!$E$2:$E$68)))),2)</f>
        <v>0.47</v>
      </c>
      <c r="AF66" s="2" t="str">
        <f t="shared" ref="AF66:AF129" si="7">IF(AE66&lt;=1,"🟢 Muy Cerca (0-1 km)",IF(AE66&lt;=3,"🟡 Cerca (1-3 km)",IF(AE66&lt;=5,"🟠 Moderada (3-5 km)","🔴 Lejos (&gt;5 km)")))</f>
        <v>🟢 Muy Cerca (0-1 km)</v>
      </c>
      <c r="AG66" s="2"/>
      <c r="AH66" s="2"/>
      <c r="AI66" s="51">
        <v>-11.997563</v>
      </c>
      <c r="AJ66" s="51">
        <v>-76.900062000000005</v>
      </c>
      <c r="AK66" s="2" t="str">
        <f>IFERROR(VLOOKUP(H66,tdcargo[],2,FALSE),"DESCONOCIDO")</f>
        <v>OPERARIO</v>
      </c>
    </row>
    <row r="67" spans="1:37" x14ac:dyDescent="0.35">
      <c r="A67" s="2" t="s">
        <v>3551</v>
      </c>
      <c r="B67" s="2" t="s">
        <v>3552</v>
      </c>
      <c r="C67" s="2" t="s">
        <v>3553</v>
      </c>
      <c r="D67" s="2" t="s">
        <v>1392</v>
      </c>
      <c r="E67" s="2">
        <v>21</v>
      </c>
      <c r="F67" s="2" t="s">
        <v>3255</v>
      </c>
      <c r="G67" s="2">
        <v>20511216</v>
      </c>
      <c r="H67" s="2" t="s">
        <v>1971</v>
      </c>
      <c r="I67" s="3">
        <v>46055</v>
      </c>
      <c r="J67" s="2" t="s">
        <v>31</v>
      </c>
      <c r="K67" s="3" t="s">
        <v>1968</v>
      </c>
      <c r="L67" s="2" t="s">
        <v>3256</v>
      </c>
      <c r="M67" s="2" t="s">
        <v>3257</v>
      </c>
      <c r="N67" s="2" t="s">
        <v>82</v>
      </c>
      <c r="O67" s="2" t="s">
        <v>3554</v>
      </c>
      <c r="P67" s="2" t="s">
        <v>36</v>
      </c>
      <c r="Q67" s="2" t="s">
        <v>1910</v>
      </c>
      <c r="R67" s="2" t="s">
        <v>3274</v>
      </c>
      <c r="S67" s="2" t="s">
        <v>37</v>
      </c>
      <c r="T67" s="2" t="s">
        <v>37</v>
      </c>
      <c r="U67" s="2" t="s">
        <v>76</v>
      </c>
      <c r="V67" s="3">
        <v>46055</v>
      </c>
      <c r="W67" s="2" t="s">
        <v>135</v>
      </c>
      <c r="X67" s="2" t="str">
        <f t="shared" si="4"/>
        <v>Calle Parcel Medio De Huac HUACHIPA, Lurigancho, Lima, Lima, Perú</v>
      </c>
      <c r="Y67" s="22">
        <v>-12.014094699999999</v>
      </c>
      <c r="Z67" s="22">
        <v>-76.916338100000004</v>
      </c>
      <c r="AA67" s="33">
        <f t="shared" si="5"/>
        <v>2.5499999999999998</v>
      </c>
      <c r="AB67" s="2" t="str">
        <f t="shared" si="6"/>
        <v>🟢 Muy Cerca (0-5 km)</v>
      </c>
      <c r="AC67" s="2" t="str" cm="1">
        <f t="array" ref="AC67">INDEX(PARADEROS_VALIDOS!$C$2:$C$68,MATCH(MIN(6371*ACOS(COS(RADIANS(Y67))*COS(RADIANS(PARADEROS_VALIDOS!$E$2:$E$68))*COS(RADIANS(PARADEROS_VALIDOS!$F$2:$F$68)-RADIANS(Z67))+SIN(RADIANS(Y67))*SIN(RADIANS(PARADEROS_VALIDOS!$E$2:$E$68)))),6371*ACOS(COS(RADIANS(Y67))*COS(RADIANS(PARADEROS_VALIDOS!$E$2:$E$68))*COS(RADIANS(PARADEROS_VALIDOS!$F$2:$F$68)-RADIANS(Z67))+SIN(RADIANS(Y67))*SIN(RADIANS(PARADEROS_VALIDOS!$E$2:$E$68))),0))</f>
        <v>Estadio Huachipa</v>
      </c>
      <c r="AD67" s="2" t="str">
        <f>IFERROR(INDEX(PARADEROS_VALIDOS!$A$2:$A$68,MATCH(AC67,PARADEROS_VALIDOS!$C$2:$C$68,0)),"")</f>
        <v>RUTA 5C</v>
      </c>
      <c r="AE67" s="33" cm="1">
        <f t="array" ref="AE67">ROUND(MIN(6371*ACOS(COS(RADIANS(Y67))*COS(RADIANS(PARADEROS_VALIDOS!$E$2:$E$68))*COS(RADIANS(PARADEROS_VALIDOS!$F$2:$F$68)-RADIANS(Z67))+SIN(RADIANS(Y67))*SIN(RADIANS(PARADEROS_VALIDOS!$E$2:$E$68)))),2)</f>
        <v>0</v>
      </c>
      <c r="AF67" s="2" t="str">
        <f t="shared" si="7"/>
        <v>🟢 Muy Cerca (0-1 km)</v>
      </c>
      <c r="AG67" s="2"/>
      <c r="AH67" s="2"/>
      <c r="AI67" s="51">
        <v>-11.997563</v>
      </c>
      <c r="AJ67" s="51">
        <v>-76.900062000000005</v>
      </c>
      <c r="AK67" s="2" t="str">
        <f>IFERROR(VLOOKUP(H67,tdcargo[],2,FALSE),"DESCONOCIDO")</f>
        <v>OPERARIO</v>
      </c>
    </row>
    <row r="68" spans="1:37" x14ac:dyDescent="0.35">
      <c r="A68" s="2" t="s">
        <v>3555</v>
      </c>
      <c r="B68" s="2" t="s">
        <v>3556</v>
      </c>
      <c r="C68" s="2" t="s">
        <v>1233</v>
      </c>
      <c r="D68" s="2" t="s">
        <v>1000</v>
      </c>
      <c r="E68" s="2">
        <v>27</v>
      </c>
      <c r="F68" s="2" t="s">
        <v>3255</v>
      </c>
      <c r="G68" s="2">
        <v>20508060</v>
      </c>
      <c r="H68" s="2" t="s">
        <v>1971</v>
      </c>
      <c r="I68" s="3">
        <v>44902</v>
      </c>
      <c r="J68" s="2" t="s">
        <v>31</v>
      </c>
      <c r="K68" s="3" t="s">
        <v>1968</v>
      </c>
      <c r="L68" s="2" t="s">
        <v>3299</v>
      </c>
      <c r="M68" s="2" t="s">
        <v>3300</v>
      </c>
      <c r="N68" s="2" t="s">
        <v>34</v>
      </c>
      <c r="O68" s="2" t="s">
        <v>3058</v>
      </c>
      <c r="P68" s="2" t="s">
        <v>88</v>
      </c>
      <c r="Q68" s="2" t="s">
        <v>505</v>
      </c>
      <c r="R68" s="2" t="s">
        <v>3274</v>
      </c>
      <c r="S68" s="2" t="s">
        <v>37</v>
      </c>
      <c r="T68" s="2" t="s">
        <v>37</v>
      </c>
      <c r="U68" s="2" t="s">
        <v>76</v>
      </c>
      <c r="V68" s="3">
        <v>44902</v>
      </c>
      <c r="W68" s="2" t="s">
        <v>48</v>
      </c>
      <c r="X68" s="2" t="str">
        <f t="shared" si="4"/>
        <v>Avenida Las Violetas, A.H. Asentamiento Humano Paraiso De Cajamarquilla, Lurigancho, Lima, Lima, Perú</v>
      </c>
      <c r="Y68" s="22">
        <v>-11.977463999999999</v>
      </c>
      <c r="Z68" s="22">
        <v>-76.908793200000005</v>
      </c>
      <c r="AA68" s="33">
        <f t="shared" si="5"/>
        <v>2.4300000000000002</v>
      </c>
      <c r="AB68" s="2" t="str">
        <f t="shared" si="6"/>
        <v>🟢 Muy Cerca (0-5 km)</v>
      </c>
      <c r="AC68" s="2" t="str" cm="1">
        <f t="array" ref="AC68">INDEX(PARADEROS_VALIDOS!$C$2:$C$68,MATCH(MIN(6371*ACOS(COS(RADIANS(Y68))*COS(RADIANS(PARADEROS_VALIDOS!$E$2:$E$68))*COS(RADIANS(PARADEROS_VALIDOS!$F$2:$F$68)-RADIANS(Z68))+SIN(RADIANS(Y68))*SIN(RADIANS(PARADEROS_VALIDOS!$E$2:$E$68)))),6371*ACOS(COS(RADIANS(Y68))*COS(RADIANS(PARADEROS_VALIDOS!$E$2:$E$68))*COS(RADIANS(PARADEROS_VALIDOS!$F$2:$F$68)-RADIANS(Z68))+SIN(RADIANS(Y68))*SIN(RADIANS(PARADEROS_VALIDOS!$E$2:$E$68))),0))</f>
        <v>Paradero Arco San Antonio</v>
      </c>
      <c r="AD68" s="2" t="str">
        <f>IFERROR(INDEX(PARADEROS_VALIDOS!$A$2:$A$68,MATCH(AC68,PARADEROS_VALIDOS!$C$2:$C$68,0)),"")</f>
        <v>RUTA 2</v>
      </c>
      <c r="AE68" s="33" cm="1">
        <f t="array" ref="AE68">ROUND(MIN(6371*ACOS(COS(RADIANS(Y68))*COS(RADIANS(PARADEROS_VALIDOS!$E$2:$E$68))*COS(RADIANS(PARADEROS_VALIDOS!$F$2:$F$68)-RADIANS(Z68))+SIN(RADIANS(Y68))*SIN(RADIANS(PARADEROS_VALIDOS!$E$2:$E$68)))),2)</f>
        <v>1.89</v>
      </c>
      <c r="AF68" s="2" t="str">
        <f t="shared" si="7"/>
        <v>🟡 Cerca (1-3 km)</v>
      </c>
      <c r="AG68" s="2"/>
      <c r="AH68" s="2"/>
      <c r="AI68" s="51">
        <v>-11.997563</v>
      </c>
      <c r="AJ68" s="51">
        <v>-76.900062000000005</v>
      </c>
      <c r="AK68" s="2" t="str">
        <f>IFERROR(VLOOKUP(H68,tdcargo[],2,FALSE),"DESCONOCIDO")</f>
        <v>OPERARIO</v>
      </c>
    </row>
    <row r="69" spans="1:37" x14ac:dyDescent="0.35">
      <c r="A69" s="2" t="s">
        <v>3557</v>
      </c>
      <c r="B69" s="2" t="s">
        <v>3558</v>
      </c>
      <c r="C69" s="2" t="s">
        <v>3559</v>
      </c>
      <c r="D69" s="2" t="s">
        <v>277</v>
      </c>
      <c r="E69" s="2">
        <v>42</v>
      </c>
      <c r="F69" s="2" t="s">
        <v>3255</v>
      </c>
      <c r="G69" s="2">
        <v>20510510</v>
      </c>
      <c r="H69" s="2" t="s">
        <v>1971</v>
      </c>
      <c r="I69" s="3">
        <v>45607</v>
      </c>
      <c r="J69" s="2" t="s">
        <v>31</v>
      </c>
      <c r="K69" s="3" t="s">
        <v>1968</v>
      </c>
      <c r="L69" s="2" t="s">
        <v>3299</v>
      </c>
      <c r="M69" s="2" t="s">
        <v>3300</v>
      </c>
      <c r="N69" s="2" t="s">
        <v>82</v>
      </c>
      <c r="O69" s="2" t="s">
        <v>1144</v>
      </c>
      <c r="P69" s="2" t="s">
        <v>36</v>
      </c>
      <c r="Q69" s="2" t="s">
        <v>3560</v>
      </c>
      <c r="R69" s="2" t="s">
        <v>3291</v>
      </c>
      <c r="S69" s="2" t="s">
        <v>37</v>
      </c>
      <c r="T69" s="2" t="s">
        <v>37</v>
      </c>
      <c r="U69" s="2" t="s">
        <v>57</v>
      </c>
      <c r="V69" s="3">
        <v>45607</v>
      </c>
      <c r="W69" s="2" t="s">
        <v>48</v>
      </c>
      <c r="X69" s="2" t="str">
        <f t="shared" si="4"/>
        <v>Calle Sin Numero Pariachi -3 Etapa, Ate, Lima, Lima, Perú</v>
      </c>
      <c r="Y69" s="22">
        <v>-12.0075226</v>
      </c>
      <c r="Z69" s="22">
        <v>-76.845428799999993</v>
      </c>
      <c r="AA69" s="33">
        <f t="shared" si="5"/>
        <v>6.04</v>
      </c>
      <c r="AB69" s="2" t="str">
        <f t="shared" si="6"/>
        <v>🟡 Cerca (5-10 km)</v>
      </c>
      <c r="AC69" s="2" t="str" cm="1">
        <f t="array" ref="AC69">INDEX(PARADEROS_VALIDOS!$C$2:$C$68,MATCH(MIN(6371*ACOS(COS(RADIANS(Y69))*COS(RADIANS(PARADEROS_VALIDOS!$E$2:$E$68))*COS(RADIANS(PARADEROS_VALIDOS!$F$2:$F$68)-RADIANS(Z69))+SIN(RADIANS(Y69))*SIN(RADIANS(PARADEROS_VALIDOS!$E$2:$E$68)))),6371*ACOS(COS(RADIANS(Y69))*COS(RADIANS(PARADEROS_VALIDOS!$E$2:$E$68))*COS(RADIANS(PARADEROS_VALIDOS!$F$2:$F$68)-RADIANS(Z69))+SIN(RADIANS(Y69))*SIN(RADIANS(PARADEROS_VALIDOS!$E$2:$E$68))),0))</f>
        <v>Entrada Horacio</v>
      </c>
      <c r="AD69" s="2" t="str">
        <f>IFERROR(INDEX(PARADEROS_VALIDOS!$A$2:$A$68,MATCH(AC69,PARADEROS_VALIDOS!$C$2:$C$68,0)),"")</f>
        <v>RUTA 5B</v>
      </c>
      <c r="AE69" s="33" cm="1">
        <f t="array" ref="AE69">ROUND(MIN(6371*ACOS(COS(RADIANS(Y69))*COS(RADIANS(PARADEROS_VALIDOS!$E$2:$E$68))*COS(RADIANS(PARADEROS_VALIDOS!$F$2:$F$68)-RADIANS(Z69))+SIN(RADIANS(Y69))*SIN(RADIANS(PARADEROS_VALIDOS!$E$2:$E$68)))),2)</f>
        <v>0.38</v>
      </c>
      <c r="AF69" s="2" t="str">
        <f t="shared" si="7"/>
        <v>🟢 Muy Cerca (0-1 km)</v>
      </c>
      <c r="AG69" s="2"/>
      <c r="AH69" s="2"/>
      <c r="AI69" s="51">
        <v>-11.997563</v>
      </c>
      <c r="AJ69" s="51">
        <v>-76.900062000000005</v>
      </c>
      <c r="AK69" s="2" t="str">
        <f>IFERROR(VLOOKUP(H69,tdcargo[],2,FALSE),"DESCONOCIDO")</f>
        <v>OPERARIO</v>
      </c>
    </row>
    <row r="70" spans="1:37" x14ac:dyDescent="0.35">
      <c r="A70" s="2" t="s">
        <v>3420</v>
      </c>
      <c r="B70" s="2" t="s">
        <v>3561</v>
      </c>
      <c r="C70" s="2" t="s">
        <v>370</v>
      </c>
      <c r="D70" s="2" t="s">
        <v>3562</v>
      </c>
      <c r="E70" s="2">
        <v>43</v>
      </c>
      <c r="F70" s="2" t="s">
        <v>3255</v>
      </c>
      <c r="G70" s="2">
        <v>20510509</v>
      </c>
      <c r="H70" s="2" t="s">
        <v>2041</v>
      </c>
      <c r="I70" s="3">
        <v>44301</v>
      </c>
      <c r="J70" s="2" t="s">
        <v>31</v>
      </c>
      <c r="K70" s="3" t="s">
        <v>1968</v>
      </c>
      <c r="L70" s="2" t="s">
        <v>3563</v>
      </c>
      <c r="M70" s="2" t="s">
        <v>1968</v>
      </c>
      <c r="N70" s="2" t="s">
        <v>82</v>
      </c>
      <c r="O70" s="2" t="s">
        <v>3564</v>
      </c>
      <c r="P70" s="2" t="s">
        <v>186</v>
      </c>
      <c r="Q70" s="2" t="s">
        <v>2896</v>
      </c>
      <c r="R70" s="2" t="s">
        <v>3291</v>
      </c>
      <c r="S70" s="2" t="s">
        <v>37</v>
      </c>
      <c r="T70" s="2" t="s">
        <v>37</v>
      </c>
      <c r="U70" s="2" t="s">
        <v>57</v>
      </c>
      <c r="V70" s="3">
        <v>44301</v>
      </c>
      <c r="W70" s="2" t="s">
        <v>48</v>
      </c>
      <c r="X70" s="2" t="str">
        <f t="shared" si="4"/>
        <v>Calle Osa Mayor, Urb. Urbanización Sol De Vitarte, Ate, Lima, Lima, Perú</v>
      </c>
      <c r="Y70" s="22">
        <v>-12.0359827</v>
      </c>
      <c r="Z70" s="22">
        <v>-76.936308800000006</v>
      </c>
      <c r="AA70" s="33">
        <f t="shared" si="5"/>
        <v>5.81</v>
      </c>
      <c r="AB70" s="2" t="str">
        <f t="shared" si="6"/>
        <v>🟡 Cerca (5-10 km)</v>
      </c>
      <c r="AC70" s="2" t="str" cm="1">
        <f t="array" ref="AC70">INDEX(PARADEROS_VALIDOS!$C$2:$C$68,MATCH(MIN(6371*ACOS(COS(RADIANS(Y70))*COS(RADIANS(PARADEROS_VALIDOS!$E$2:$E$68))*COS(RADIANS(PARADEROS_VALIDOS!$F$2:$F$68)-RADIANS(Z70))+SIN(RADIANS(Y70))*SIN(RADIANS(PARADEROS_VALIDOS!$E$2:$E$68)))),6371*ACOS(COS(RADIANS(Y70))*COS(RADIANS(PARADEROS_VALIDOS!$E$2:$E$68))*COS(RADIANS(PARADEROS_VALIDOS!$F$2:$F$68)-RADIANS(Z70))+SIN(RADIANS(Y70))*SIN(RADIANS(PARADEROS_VALIDOS!$E$2:$E$68))),0))</f>
        <v>Real Plaza Puruchuco (Grifo Primax)</v>
      </c>
      <c r="AD70" s="2" t="str">
        <f>IFERROR(INDEX(PARADEROS_VALIDOS!$A$2:$A$68,MATCH(AC70,PARADEROS_VALIDOS!$C$2:$C$68,0)),"")</f>
        <v>RUTA 4A</v>
      </c>
      <c r="AE70" s="33" cm="1">
        <f t="array" ref="AE70">ROUND(MIN(6371*ACOS(COS(RADIANS(Y70))*COS(RADIANS(PARADEROS_VALIDOS!$E$2:$E$68))*COS(RADIANS(PARADEROS_VALIDOS!$F$2:$F$68)-RADIANS(Z70))+SIN(RADIANS(Y70))*SIN(RADIANS(PARADEROS_VALIDOS!$E$2:$E$68)))),2)</f>
        <v>0.76</v>
      </c>
      <c r="AF70" s="2" t="str">
        <f t="shared" si="7"/>
        <v>🟢 Muy Cerca (0-1 km)</v>
      </c>
      <c r="AG70" s="2"/>
      <c r="AH70" s="2"/>
      <c r="AI70" s="51">
        <v>-11.997563</v>
      </c>
      <c r="AJ70" s="51">
        <v>-76.900062000000005</v>
      </c>
      <c r="AK70" s="2" t="str">
        <f>IFERROR(VLOOKUP(H70,tdcargo[],2,FALSE),"DESCONOCIDO")</f>
        <v>STAFF</v>
      </c>
    </row>
    <row r="71" spans="1:37" x14ac:dyDescent="0.35">
      <c r="A71" s="2" t="s">
        <v>3308</v>
      </c>
      <c r="B71" s="2" t="s">
        <v>3565</v>
      </c>
      <c r="C71" s="2" t="s">
        <v>3566</v>
      </c>
      <c r="D71" s="2" t="s">
        <v>191</v>
      </c>
      <c r="E71" s="2">
        <v>53</v>
      </c>
      <c r="F71" s="2" t="s">
        <v>3255</v>
      </c>
      <c r="G71" s="2">
        <v>20511997</v>
      </c>
      <c r="H71" s="2" t="s">
        <v>1745</v>
      </c>
      <c r="I71" s="3">
        <v>45614</v>
      </c>
      <c r="J71" s="2" t="s">
        <v>31</v>
      </c>
      <c r="K71" s="3" t="s">
        <v>1968</v>
      </c>
      <c r="L71" s="2" t="s">
        <v>1746</v>
      </c>
      <c r="M71" s="2" t="s">
        <v>1968</v>
      </c>
      <c r="N71" s="2" t="s">
        <v>82</v>
      </c>
      <c r="O71" s="2" t="s">
        <v>3567</v>
      </c>
      <c r="P71" s="2" t="s">
        <v>186</v>
      </c>
      <c r="Q71" s="2" t="s">
        <v>3568</v>
      </c>
      <c r="R71" s="2" t="s">
        <v>3291</v>
      </c>
      <c r="S71" s="2" t="s">
        <v>37</v>
      </c>
      <c r="T71" s="2" t="s">
        <v>37</v>
      </c>
      <c r="U71" s="2" t="s">
        <v>57</v>
      </c>
      <c r="V71" s="3">
        <v>45965</v>
      </c>
      <c r="W71" s="2" t="s">
        <v>3308</v>
      </c>
      <c r="X71" s="2" t="str">
        <f t="shared" si="4"/>
        <v>Calle Los Aymaras, Urb. Urbanización Urbanizacion Salamanca De Monterrico, Ate, Lima, Lima, Perú</v>
      </c>
      <c r="Y71" s="22">
        <v>-12.0753615</v>
      </c>
      <c r="Z71" s="22">
        <v>-76.988452199999998</v>
      </c>
      <c r="AA71" s="33">
        <f t="shared" si="5"/>
        <v>12.93</v>
      </c>
      <c r="AB71" s="2" t="str">
        <f t="shared" si="6"/>
        <v>🟠 Moderada (10-20 km)</v>
      </c>
      <c r="AC71" s="2" t="str" cm="1">
        <f t="array" ref="AC71">INDEX(PARADEROS_VALIDOS!$C$2:$C$68,MATCH(MIN(6371*ACOS(COS(RADIANS(Y71))*COS(RADIANS(PARADEROS_VALIDOS!$E$2:$E$68))*COS(RADIANS(PARADEROS_VALIDOS!$F$2:$F$68)-RADIANS(Z71))+SIN(RADIANS(Y71))*SIN(RADIANS(PARADEROS_VALIDOS!$E$2:$E$68)))),6371*ACOS(COS(RADIANS(Y71))*COS(RADIANS(PARADEROS_VALIDOS!$E$2:$E$68))*COS(RADIANS(PARADEROS_VALIDOS!$F$2:$F$68)-RADIANS(Z71))+SIN(RADIANS(Y71))*SIN(RADIANS(PARADEROS_VALIDOS!$E$2:$E$68))),0))</f>
        <v>Paradero Javier Prado</v>
      </c>
      <c r="AD71" s="2" t="str">
        <f>IFERROR(INDEX(PARADEROS_VALIDOS!$A$2:$A$68,MATCH(AC71,PARADEROS_VALIDOS!$C$2:$C$68,0)),"")</f>
        <v>RUTA 7</v>
      </c>
      <c r="AE71" s="33" cm="1">
        <f t="array" ref="AE71">ROUND(MIN(6371*ACOS(COS(RADIANS(Y71))*COS(RADIANS(PARADEROS_VALIDOS!$E$2:$E$68))*COS(RADIANS(PARADEROS_VALIDOS!$F$2:$F$68)-RADIANS(Z71))+SIN(RADIANS(Y71))*SIN(RADIANS(PARADEROS_VALIDOS!$E$2:$E$68)))),2)</f>
        <v>1.21</v>
      </c>
      <c r="AF71" s="2" t="str">
        <f t="shared" si="7"/>
        <v>🟡 Cerca (1-3 km)</v>
      </c>
      <c r="AG71" s="2"/>
      <c r="AH71" s="2"/>
      <c r="AI71" s="51">
        <v>-11.997563</v>
      </c>
      <c r="AJ71" s="51">
        <v>-76.900062000000005</v>
      </c>
      <c r="AK71" s="2" t="str">
        <f>IFERROR(VLOOKUP(H71,tdcargo[],2,FALSE),"DESCONOCIDO")</f>
        <v>STAFF</v>
      </c>
    </row>
    <row r="72" spans="1:37" x14ac:dyDescent="0.35">
      <c r="A72" s="2" t="s">
        <v>3569</v>
      </c>
      <c r="B72" s="2" t="s">
        <v>3570</v>
      </c>
      <c r="C72" s="2" t="s">
        <v>3571</v>
      </c>
      <c r="D72" s="2" t="s">
        <v>3572</v>
      </c>
      <c r="E72" s="2">
        <v>23</v>
      </c>
      <c r="F72" s="2" t="s">
        <v>3255</v>
      </c>
      <c r="G72" s="2">
        <v>20515057</v>
      </c>
      <c r="H72" s="2" t="s">
        <v>1971</v>
      </c>
      <c r="I72" s="3">
        <v>45964</v>
      </c>
      <c r="J72" s="2" t="s">
        <v>31</v>
      </c>
      <c r="K72" s="3" t="s">
        <v>1968</v>
      </c>
      <c r="L72" s="2" t="s">
        <v>3271</v>
      </c>
      <c r="M72" s="2" t="s">
        <v>3272</v>
      </c>
      <c r="N72" s="2" t="s">
        <v>36</v>
      </c>
      <c r="O72" s="2" t="s">
        <v>1669</v>
      </c>
      <c r="P72" s="2" t="s">
        <v>36</v>
      </c>
      <c r="Q72" s="2" t="s">
        <v>1669</v>
      </c>
      <c r="R72" s="2" t="s">
        <v>3291</v>
      </c>
      <c r="S72" s="2" t="s">
        <v>37</v>
      </c>
      <c r="T72" s="2" t="s">
        <v>37</v>
      </c>
      <c r="U72" s="2" t="s">
        <v>57</v>
      </c>
      <c r="V72" s="3">
        <v>45964</v>
      </c>
      <c r="W72" s="2" t="s">
        <v>39</v>
      </c>
      <c r="X72" s="2" t="str">
        <f t="shared" si="4"/>
        <v>Ramiro Priale Ramiro Priale, Ate, Lima, Lima, Perú</v>
      </c>
      <c r="Y72" s="22">
        <v>-12.0534035</v>
      </c>
      <c r="Z72" s="22">
        <v>-76.957381799999993</v>
      </c>
      <c r="AA72" s="33">
        <f t="shared" si="5"/>
        <v>8.8000000000000007</v>
      </c>
      <c r="AB72" s="2" t="str">
        <f t="shared" si="6"/>
        <v>🟡 Cerca (5-10 km)</v>
      </c>
      <c r="AC72" s="2" t="str" cm="1">
        <f t="array" ref="AC72">INDEX(PARADEROS_VALIDOS!$C$2:$C$68,MATCH(MIN(6371*ACOS(COS(RADIANS(Y72))*COS(RADIANS(PARADEROS_VALIDOS!$E$2:$E$68))*COS(RADIANS(PARADEROS_VALIDOS!$F$2:$F$68)-RADIANS(Z72))+SIN(RADIANS(Y72))*SIN(RADIANS(PARADEROS_VALIDOS!$E$2:$E$68)))),6371*ACOS(COS(RADIANS(Y72))*COS(RADIANS(PARADEROS_VALIDOS!$E$2:$E$68))*COS(RADIANS(PARADEROS_VALIDOS!$F$2:$F$68)-RADIANS(Z72))+SIN(RADIANS(Y72))*SIN(RADIANS(PARADEROS_VALIDOS!$E$2:$E$68))),0))</f>
        <v>Pte. Prialé (solo aplica para la salida)</v>
      </c>
      <c r="AD72" s="2" t="str">
        <f>IFERROR(INDEX(PARADEROS_VALIDOS!$A$2:$A$68,MATCH(AC72,PARADEROS_VALIDOS!$C$2:$C$68,0)),"")</f>
        <v>RUTA 7</v>
      </c>
      <c r="AE72" s="33" cm="1">
        <f t="array" ref="AE72">ROUND(MIN(6371*ACOS(COS(RADIANS(Y72))*COS(RADIANS(PARADEROS_VALIDOS!$E$2:$E$68))*COS(RADIANS(PARADEROS_VALIDOS!$F$2:$F$68)-RADIANS(Z72))+SIN(RADIANS(Y72))*SIN(RADIANS(PARADEROS_VALIDOS!$E$2:$E$68)))),2)</f>
        <v>0</v>
      </c>
      <c r="AF72" s="2" t="str">
        <f t="shared" si="7"/>
        <v>🟢 Muy Cerca (0-1 km)</v>
      </c>
      <c r="AG72" s="2"/>
      <c r="AH72" s="2"/>
      <c r="AI72" s="51">
        <v>-11.997563</v>
      </c>
      <c r="AJ72" s="51">
        <v>-76.900062000000005</v>
      </c>
      <c r="AK72" s="2" t="str">
        <f>IFERROR(VLOOKUP(H72,tdcargo[],2,FALSE),"DESCONOCIDO")</f>
        <v>OPERARIO</v>
      </c>
    </row>
    <row r="73" spans="1:37" x14ac:dyDescent="0.35">
      <c r="A73" s="2" t="s">
        <v>3573</v>
      </c>
      <c r="B73" s="2" t="s">
        <v>3574</v>
      </c>
      <c r="C73" s="2" t="s">
        <v>461</v>
      </c>
      <c r="D73" s="2" t="s">
        <v>462</v>
      </c>
      <c r="E73" s="2">
        <v>23</v>
      </c>
      <c r="F73" s="2" t="s">
        <v>3255</v>
      </c>
      <c r="G73" s="2">
        <v>20508034</v>
      </c>
      <c r="H73" s="2" t="s">
        <v>1971</v>
      </c>
      <c r="I73" s="3">
        <v>45828</v>
      </c>
      <c r="J73" s="2" t="s">
        <v>31</v>
      </c>
      <c r="K73" s="3" t="s">
        <v>1968</v>
      </c>
      <c r="L73" s="2" t="s">
        <v>3278</v>
      </c>
      <c r="M73" s="2" t="s">
        <v>3279</v>
      </c>
      <c r="N73" s="2" t="s">
        <v>36</v>
      </c>
      <c r="O73" s="2" t="s">
        <v>3575</v>
      </c>
      <c r="P73" s="2" t="s">
        <v>36</v>
      </c>
      <c r="Q73" s="2" t="s">
        <v>464</v>
      </c>
      <c r="R73" s="2" t="s">
        <v>3291</v>
      </c>
      <c r="S73" s="2" t="s">
        <v>37</v>
      </c>
      <c r="T73" s="2" t="s">
        <v>37</v>
      </c>
      <c r="U73" s="2" t="s">
        <v>57</v>
      </c>
      <c r="V73" s="3">
        <v>45828</v>
      </c>
      <c r="W73" s="2" t="s">
        <v>39</v>
      </c>
      <c r="X73" s="2" t="str">
        <f t="shared" si="4"/>
        <v>Cruz De Ate Vitarte Cruz De Ate, Ate, Lima, Lima, Perú</v>
      </c>
      <c r="Y73" s="22">
        <v>-12.0528984</v>
      </c>
      <c r="Z73" s="22">
        <v>-76.951163199999996</v>
      </c>
      <c r="AA73" s="33">
        <f t="shared" si="5"/>
        <v>8.2899999999999991</v>
      </c>
      <c r="AB73" s="2" t="str">
        <f t="shared" si="6"/>
        <v>🟡 Cerca (5-10 km)</v>
      </c>
      <c r="AC73" s="2" t="str" cm="1">
        <f t="array" ref="AC73">INDEX(PARADEROS_VALIDOS!$C$2:$C$68,MATCH(MIN(6371*ACOS(COS(RADIANS(Y73))*COS(RADIANS(PARADEROS_VALIDOS!$E$2:$E$68))*COS(RADIANS(PARADEROS_VALIDOS!$F$2:$F$68)-RADIANS(Z73))+SIN(RADIANS(Y73))*SIN(RADIANS(PARADEROS_VALIDOS!$E$2:$E$68)))),6371*ACOS(COS(RADIANS(Y73))*COS(RADIANS(PARADEROS_VALIDOS!$E$2:$E$68))*COS(RADIANS(PARADEROS_VALIDOS!$F$2:$F$68)-RADIANS(Z73))+SIN(RADIANS(Y73))*SIN(RADIANS(PARADEROS_VALIDOS!$E$2:$E$68))),0))</f>
        <v>Pte. Prialé (solo aplica para la salida)</v>
      </c>
      <c r="AD73" s="2" t="str">
        <f>IFERROR(INDEX(PARADEROS_VALIDOS!$A$2:$A$68,MATCH(AC73,PARADEROS_VALIDOS!$C$2:$C$68,0)),"")</f>
        <v>RUTA 7</v>
      </c>
      <c r="AE73" s="33" cm="1">
        <f t="array" ref="AE73">ROUND(MIN(6371*ACOS(COS(RADIANS(Y73))*COS(RADIANS(PARADEROS_VALIDOS!$E$2:$E$68))*COS(RADIANS(PARADEROS_VALIDOS!$F$2:$F$68)-RADIANS(Z73))+SIN(RADIANS(Y73))*SIN(RADIANS(PARADEROS_VALIDOS!$E$2:$E$68)))),2)</f>
        <v>0.68</v>
      </c>
      <c r="AF73" s="2" t="str">
        <f t="shared" si="7"/>
        <v>🟢 Muy Cerca (0-1 km)</v>
      </c>
      <c r="AG73" s="2"/>
      <c r="AH73" s="2"/>
      <c r="AI73" s="51">
        <v>-11.997563</v>
      </c>
      <c r="AJ73" s="51">
        <v>-76.900062000000005</v>
      </c>
      <c r="AK73" s="2" t="str">
        <f>IFERROR(VLOOKUP(H73,tdcargo[],2,FALSE),"DESCONOCIDO")</f>
        <v>OPERARIO</v>
      </c>
    </row>
    <row r="74" spans="1:37" x14ac:dyDescent="0.35">
      <c r="A74" s="2" t="s">
        <v>3576</v>
      </c>
      <c r="B74" s="2" t="s">
        <v>3577</v>
      </c>
      <c r="C74" s="2" t="s">
        <v>3578</v>
      </c>
      <c r="D74" s="2" t="s">
        <v>1810</v>
      </c>
      <c r="E74" s="2">
        <v>42</v>
      </c>
      <c r="F74" s="2" t="s">
        <v>3255</v>
      </c>
      <c r="G74" s="2">
        <v>20508028</v>
      </c>
      <c r="H74" s="2" t="s">
        <v>1971</v>
      </c>
      <c r="I74" s="3">
        <v>45607</v>
      </c>
      <c r="J74" s="2" t="s">
        <v>31</v>
      </c>
      <c r="K74" s="3" t="s">
        <v>1968</v>
      </c>
      <c r="L74" s="2" t="s">
        <v>3278</v>
      </c>
      <c r="M74" s="2" t="s">
        <v>3279</v>
      </c>
      <c r="N74" s="2" t="s">
        <v>34</v>
      </c>
      <c r="O74" s="2" t="s">
        <v>74</v>
      </c>
      <c r="P74" s="2" t="s">
        <v>36</v>
      </c>
      <c r="Q74" s="2" t="s">
        <v>74</v>
      </c>
      <c r="R74" s="2" t="s">
        <v>3274</v>
      </c>
      <c r="S74" s="2" t="s">
        <v>37</v>
      </c>
      <c r="T74" s="2" t="s">
        <v>37</v>
      </c>
      <c r="U74" s="2" t="s">
        <v>76</v>
      </c>
      <c r="V74" s="3">
        <v>45607</v>
      </c>
      <c r="W74" s="2" t="s">
        <v>48</v>
      </c>
      <c r="X74" s="2" t="str">
        <f t="shared" si="4"/>
        <v>Avenida La Campiã‘A La Campiã‘A, Lurigancho, Lima, Lima, Perú</v>
      </c>
      <c r="Y74" s="22">
        <v>-12.009696699999999</v>
      </c>
      <c r="Z74" s="22">
        <v>-76.905361299999996</v>
      </c>
      <c r="AA74" s="33">
        <f t="shared" si="5"/>
        <v>1.47</v>
      </c>
      <c r="AB74" s="2" t="str">
        <f t="shared" si="6"/>
        <v>🟢 Muy Cerca (0-5 km)</v>
      </c>
      <c r="AC74" s="2" t="str" cm="1">
        <f t="array" ref="AC74">INDEX(PARADEROS_VALIDOS!$C$2:$C$68,MATCH(MIN(6371*ACOS(COS(RADIANS(Y74))*COS(RADIANS(PARADEROS_VALIDOS!$E$2:$E$68))*COS(RADIANS(PARADEROS_VALIDOS!$F$2:$F$68)-RADIANS(Z74))+SIN(RADIANS(Y74))*SIN(RADIANS(PARADEROS_VALIDOS!$E$2:$E$68)))),6371*ACOS(COS(RADIANS(Y74))*COS(RADIANS(PARADEROS_VALIDOS!$E$2:$E$68))*COS(RADIANS(PARADEROS_VALIDOS!$F$2:$F$68)-RADIANS(Z74))+SIN(RADIANS(Y74))*SIN(RADIANS(PARADEROS_VALIDOS!$E$2:$E$68))),0))</f>
        <v>Tottus Huachipa</v>
      </c>
      <c r="AD74" s="2" t="str">
        <f>IFERROR(INDEX(PARADEROS_VALIDOS!$A$2:$A$68,MATCH(AC74,PARADEROS_VALIDOS!$C$2:$C$68,0)),"")</f>
        <v>RUTA 1</v>
      </c>
      <c r="AE74" s="33" cm="1">
        <f t="array" ref="AE74">ROUND(MIN(6371*ACOS(COS(RADIANS(Y74))*COS(RADIANS(PARADEROS_VALIDOS!$E$2:$E$68))*COS(RADIANS(PARADEROS_VALIDOS!$F$2:$F$68)-RADIANS(Z74))+SIN(RADIANS(Y74))*SIN(RADIANS(PARADEROS_VALIDOS!$E$2:$E$68)))),2)</f>
        <v>1.18</v>
      </c>
      <c r="AF74" s="2" t="str">
        <f t="shared" si="7"/>
        <v>🟡 Cerca (1-3 km)</v>
      </c>
      <c r="AG74" s="2"/>
      <c r="AH74" s="2"/>
      <c r="AI74" s="51">
        <v>-11.997563</v>
      </c>
      <c r="AJ74" s="51">
        <v>-76.900062000000005</v>
      </c>
      <c r="AK74" s="2" t="str">
        <f>IFERROR(VLOOKUP(H74,tdcargo[],2,FALSE),"DESCONOCIDO")</f>
        <v>OPERARIO</v>
      </c>
    </row>
    <row r="75" spans="1:37" x14ac:dyDescent="0.35">
      <c r="A75" s="2" t="s">
        <v>3579</v>
      </c>
      <c r="B75" s="2" t="s">
        <v>3580</v>
      </c>
      <c r="C75" s="2" t="s">
        <v>139</v>
      </c>
      <c r="D75" s="2" t="s">
        <v>265</v>
      </c>
      <c r="E75" s="2">
        <v>39</v>
      </c>
      <c r="F75" s="2" t="s">
        <v>3255</v>
      </c>
      <c r="G75" s="2">
        <v>20508047</v>
      </c>
      <c r="H75" s="2" t="s">
        <v>1971</v>
      </c>
      <c r="I75" s="3">
        <v>42754</v>
      </c>
      <c r="J75" s="2" t="s">
        <v>31</v>
      </c>
      <c r="K75" s="3" t="s">
        <v>1968</v>
      </c>
      <c r="L75" s="2" t="s">
        <v>3299</v>
      </c>
      <c r="M75" s="2" t="s">
        <v>3300</v>
      </c>
      <c r="N75" s="2" t="s">
        <v>36</v>
      </c>
      <c r="O75" s="2" t="s">
        <v>3581</v>
      </c>
      <c r="P75" s="2" t="s">
        <v>66</v>
      </c>
      <c r="Q75" s="2" t="s">
        <v>3581</v>
      </c>
      <c r="R75" s="2" t="s">
        <v>3291</v>
      </c>
      <c r="S75" s="2" t="s">
        <v>37</v>
      </c>
      <c r="T75" s="2" t="s">
        <v>37</v>
      </c>
      <c r="U75" s="2" t="s">
        <v>57</v>
      </c>
      <c r="V75" s="3">
        <v>42754</v>
      </c>
      <c r="W75" s="2" t="s">
        <v>48</v>
      </c>
      <c r="X75" s="2" t="str">
        <f t="shared" si="4"/>
        <v>Villa Hermosa, U.V. Unidad Vecinal Villa Hermosa, Ate, Lima, Lima, Perú</v>
      </c>
      <c r="Y75" s="22">
        <v>-12.008668800000001</v>
      </c>
      <c r="Z75" s="22">
        <v>-76.832813900000005</v>
      </c>
      <c r="AA75" s="33">
        <f t="shared" si="5"/>
        <v>7.42</v>
      </c>
      <c r="AB75" s="2" t="str">
        <f t="shared" si="6"/>
        <v>🟡 Cerca (5-10 km)</v>
      </c>
      <c r="AC75" s="2" t="str" cm="1">
        <f t="array" ref="AC75">INDEX(PARADEROS_VALIDOS!$C$2:$C$68,MATCH(MIN(6371*ACOS(COS(RADIANS(Y75))*COS(RADIANS(PARADEROS_VALIDOS!$E$2:$E$68))*COS(RADIANS(PARADEROS_VALIDOS!$F$2:$F$68)-RADIANS(Z75))+SIN(RADIANS(Y75))*SIN(RADIANS(PARADEROS_VALIDOS!$E$2:$E$68)))),6371*ACOS(COS(RADIANS(Y75))*COS(RADIANS(PARADEROS_VALIDOS!$E$2:$E$68))*COS(RADIANS(PARADEROS_VALIDOS!$F$2:$F$68)-RADIANS(Z75))+SIN(RADIANS(Y75))*SIN(RADIANS(PARADEROS_VALIDOS!$E$2:$E$68))),0))</f>
        <v>Entrada Horacio</v>
      </c>
      <c r="AD75" s="2" t="str">
        <f>IFERROR(INDEX(PARADEROS_VALIDOS!$A$2:$A$68,MATCH(AC75,PARADEROS_VALIDOS!$C$2:$C$68,0)),"")</f>
        <v>RUTA 5B</v>
      </c>
      <c r="AE75" s="33" cm="1">
        <f t="array" ref="AE75">ROUND(MIN(6371*ACOS(COS(RADIANS(Y75))*COS(RADIANS(PARADEROS_VALIDOS!$E$2:$E$68))*COS(RADIANS(PARADEROS_VALIDOS!$F$2:$F$68)-RADIANS(Z75))+SIN(RADIANS(Y75))*SIN(RADIANS(PARADEROS_VALIDOS!$E$2:$E$68)))),2)</f>
        <v>1</v>
      </c>
      <c r="AF75" s="2" t="str">
        <f t="shared" si="7"/>
        <v>🟢 Muy Cerca (0-1 km)</v>
      </c>
      <c r="AG75" s="2"/>
      <c r="AH75" s="2"/>
      <c r="AI75" s="51">
        <v>-11.997563</v>
      </c>
      <c r="AJ75" s="51">
        <v>-76.900062000000005</v>
      </c>
      <c r="AK75" s="2" t="str">
        <f>IFERROR(VLOOKUP(H75,tdcargo[],2,FALSE),"DESCONOCIDO")</f>
        <v>OPERARIO</v>
      </c>
    </row>
    <row r="76" spans="1:37" x14ac:dyDescent="0.35">
      <c r="A76" s="2" t="s">
        <v>3582</v>
      </c>
      <c r="B76" s="2" t="s">
        <v>3583</v>
      </c>
      <c r="C76" s="2" t="s">
        <v>423</v>
      </c>
      <c r="D76" s="2" t="s">
        <v>424</v>
      </c>
      <c r="E76" s="2">
        <v>25</v>
      </c>
      <c r="F76" s="2" t="s">
        <v>3255</v>
      </c>
      <c r="G76" s="2">
        <v>20508122</v>
      </c>
      <c r="H76" s="2" t="s">
        <v>2001</v>
      </c>
      <c r="I76" s="3">
        <v>44231</v>
      </c>
      <c r="J76" s="2" t="s">
        <v>31</v>
      </c>
      <c r="K76" s="3" t="s">
        <v>1968</v>
      </c>
      <c r="L76" s="2" t="s">
        <v>3271</v>
      </c>
      <c r="M76" s="2" t="s">
        <v>3272</v>
      </c>
      <c r="N76" s="2" t="s">
        <v>36</v>
      </c>
      <c r="O76" s="2" t="s">
        <v>46</v>
      </c>
      <c r="P76" s="2" t="s">
        <v>88</v>
      </c>
      <c r="Q76" s="2" t="s">
        <v>46</v>
      </c>
      <c r="R76" s="2" t="s">
        <v>3260</v>
      </c>
      <c r="S76" s="2" t="s">
        <v>37</v>
      </c>
      <c r="T76" s="2" t="s">
        <v>37</v>
      </c>
      <c r="U76" s="2" t="s">
        <v>38</v>
      </c>
      <c r="V76" s="3">
        <v>44231</v>
      </c>
      <c r="W76" s="2" t="s">
        <v>48</v>
      </c>
      <c r="X76" s="2" t="str">
        <f t="shared" si="4"/>
        <v>Nd, A.H. Asentamiento Humano, San Juan De Lurigancho, Lima, Lima, Perú</v>
      </c>
      <c r="Y76" s="22">
        <v>-11.968179599999999</v>
      </c>
      <c r="Z76" s="22">
        <v>-77.004263699999996</v>
      </c>
      <c r="AA76" s="33">
        <f t="shared" si="5"/>
        <v>11.8</v>
      </c>
      <c r="AB76" s="2" t="str">
        <f t="shared" si="6"/>
        <v>🟠 Moderada (10-20 km)</v>
      </c>
      <c r="AC76" s="2" t="str" cm="1">
        <f t="array" ref="AC76">INDEX(PARADEROS_VALIDOS!$C$2:$C$68,MATCH(MIN(6371*ACOS(COS(RADIANS(Y76))*COS(RADIANS(PARADEROS_VALIDOS!$E$2:$E$68))*COS(RADIANS(PARADEROS_VALIDOS!$F$2:$F$68)-RADIANS(Z76))+SIN(RADIANS(Y76))*SIN(RADIANS(PARADEROS_VALIDOS!$E$2:$E$68)))),6371*ACOS(COS(RADIANS(Y76))*COS(RADIANS(PARADEROS_VALIDOS!$E$2:$E$68))*COS(RADIANS(PARADEROS_VALIDOS!$F$2:$F$68)-RADIANS(Z76))+SIN(RADIANS(Y76))*SIN(RADIANS(PARADEROS_VALIDOS!$E$2:$E$68))),0))</f>
        <v>Paradero Acho</v>
      </c>
      <c r="AD76" s="2" t="str">
        <f>IFERROR(INDEX(PARADEROS_VALIDOS!$A$2:$A$68,MATCH(AC76,PARADEROS_VALIDOS!$C$2:$C$68,0)),"")</f>
        <v>RUTA 8</v>
      </c>
      <c r="AE76" s="33" cm="1">
        <f t="array" ref="AE76">ROUND(MIN(6371*ACOS(COS(RADIANS(Y76))*COS(RADIANS(PARADEROS_VALIDOS!$E$2:$E$68))*COS(RADIANS(PARADEROS_VALIDOS!$F$2:$F$68)-RADIANS(Z76))+SIN(RADIANS(Y76))*SIN(RADIANS(PARADEROS_VALIDOS!$E$2:$E$68)))),2)</f>
        <v>0.46</v>
      </c>
      <c r="AF76" s="2" t="str">
        <f t="shared" si="7"/>
        <v>🟢 Muy Cerca (0-1 km)</v>
      </c>
      <c r="AG76" s="2"/>
      <c r="AH76" s="2"/>
      <c r="AI76" s="51">
        <v>-11.997563</v>
      </c>
      <c r="AJ76" s="51">
        <v>-76.900062000000005</v>
      </c>
      <c r="AK76" s="2" t="str">
        <f>IFERROR(VLOOKUP(H76,tdcargo[],2,FALSE),"DESCONOCIDO")</f>
        <v>OPERARIO</v>
      </c>
    </row>
    <row r="77" spans="1:37" x14ac:dyDescent="0.35">
      <c r="A77" s="2" t="s">
        <v>3584</v>
      </c>
      <c r="B77" s="2" t="s">
        <v>3585</v>
      </c>
      <c r="C77" s="2" t="s">
        <v>3586</v>
      </c>
      <c r="D77" s="2" t="s">
        <v>3587</v>
      </c>
      <c r="E77" s="2">
        <v>26</v>
      </c>
      <c r="F77" s="2" t="s">
        <v>3255</v>
      </c>
      <c r="G77" s="2">
        <v>20510517</v>
      </c>
      <c r="H77" s="2" t="s">
        <v>1971</v>
      </c>
      <c r="I77" s="3">
        <v>45505</v>
      </c>
      <c r="J77" s="2" t="s">
        <v>31</v>
      </c>
      <c r="K77" s="3" t="s">
        <v>1968</v>
      </c>
      <c r="L77" s="2" t="s">
        <v>3336</v>
      </c>
      <c r="M77" s="2" t="s">
        <v>3337</v>
      </c>
      <c r="N77" s="2" t="s">
        <v>34</v>
      </c>
      <c r="O77" s="2" t="s">
        <v>3588</v>
      </c>
      <c r="P77" s="2" t="s">
        <v>36</v>
      </c>
      <c r="Q77" s="2" t="s">
        <v>1023</v>
      </c>
      <c r="R77" s="2" t="s">
        <v>3291</v>
      </c>
      <c r="S77" s="2" t="s">
        <v>37</v>
      </c>
      <c r="T77" s="2" t="s">
        <v>37</v>
      </c>
      <c r="U77" s="2" t="s">
        <v>57</v>
      </c>
      <c r="V77" s="3">
        <v>45505</v>
      </c>
      <c r="W77" s="2" t="s">
        <v>48</v>
      </c>
      <c r="X77" s="2" t="str">
        <f t="shared" si="4"/>
        <v>Avenida Circunvalacion Con Los Brillantes La Capitana, Ate, Lima, Lima, Perú</v>
      </c>
      <c r="Y77" s="22">
        <v>-12.0172507</v>
      </c>
      <c r="Z77" s="22">
        <v>-76.917690300000004</v>
      </c>
      <c r="AA77" s="33">
        <f t="shared" si="5"/>
        <v>2.91</v>
      </c>
      <c r="AB77" s="2" t="str">
        <f t="shared" si="6"/>
        <v>🟢 Muy Cerca (0-5 km)</v>
      </c>
      <c r="AC77" s="2" t="str" cm="1">
        <f t="array" ref="AC77">INDEX(PARADEROS_VALIDOS!$C$2:$C$68,MATCH(MIN(6371*ACOS(COS(RADIANS(Y77))*COS(RADIANS(PARADEROS_VALIDOS!$E$2:$E$68))*COS(RADIANS(PARADEROS_VALIDOS!$F$2:$F$68)-RADIANS(Z77))+SIN(RADIANS(Y77))*SIN(RADIANS(PARADEROS_VALIDOS!$E$2:$E$68)))),6371*ACOS(COS(RADIANS(Y77))*COS(RADIANS(PARADEROS_VALIDOS!$E$2:$E$68))*COS(RADIANS(PARADEROS_VALIDOS!$F$2:$F$68)-RADIANS(Z77))+SIN(RADIANS(Y77))*SIN(RADIANS(PARADEROS_VALIDOS!$E$2:$E$68))),0))</f>
        <v>Estadio Huachipa</v>
      </c>
      <c r="AD77" s="2" t="str">
        <f>IFERROR(INDEX(PARADEROS_VALIDOS!$A$2:$A$68,MATCH(AC77,PARADEROS_VALIDOS!$C$2:$C$68,0)),"")</f>
        <v>RUTA 5C</v>
      </c>
      <c r="AE77" s="33" cm="1">
        <f t="array" ref="AE77">ROUND(MIN(6371*ACOS(COS(RADIANS(Y77))*COS(RADIANS(PARADEROS_VALIDOS!$E$2:$E$68))*COS(RADIANS(PARADEROS_VALIDOS!$F$2:$F$68)-RADIANS(Z77))+SIN(RADIANS(Y77))*SIN(RADIANS(PARADEROS_VALIDOS!$E$2:$E$68)))),2)</f>
        <v>0.38</v>
      </c>
      <c r="AF77" s="2" t="str">
        <f t="shared" si="7"/>
        <v>🟢 Muy Cerca (0-1 km)</v>
      </c>
      <c r="AG77" s="2"/>
      <c r="AH77" s="2"/>
      <c r="AI77" s="51">
        <v>-11.997563</v>
      </c>
      <c r="AJ77" s="51">
        <v>-76.900062000000005</v>
      </c>
      <c r="AK77" s="2" t="str">
        <f>IFERROR(VLOOKUP(H77,tdcargo[],2,FALSE),"DESCONOCIDO")</f>
        <v>OPERARIO</v>
      </c>
    </row>
    <row r="78" spans="1:37" x14ac:dyDescent="0.35">
      <c r="A78" s="2" t="s">
        <v>3589</v>
      </c>
      <c r="B78" s="2" t="s">
        <v>3590</v>
      </c>
      <c r="C78" s="2" t="s">
        <v>3591</v>
      </c>
      <c r="D78" s="2" t="s">
        <v>3592</v>
      </c>
      <c r="E78" s="2">
        <v>25</v>
      </c>
      <c r="F78" s="2" t="s">
        <v>3255</v>
      </c>
      <c r="G78" s="2">
        <v>20511220</v>
      </c>
      <c r="H78" s="2" t="s">
        <v>1971</v>
      </c>
      <c r="I78" s="3">
        <v>45670</v>
      </c>
      <c r="J78" s="2" t="s">
        <v>31</v>
      </c>
      <c r="K78" s="3" t="s">
        <v>1968</v>
      </c>
      <c r="L78" s="2" t="s">
        <v>3344</v>
      </c>
      <c r="M78" s="2" t="s">
        <v>3345</v>
      </c>
      <c r="N78" s="2" t="s">
        <v>82</v>
      </c>
      <c r="O78" s="2" t="s">
        <v>3593</v>
      </c>
      <c r="P78" s="2" t="s">
        <v>36</v>
      </c>
      <c r="Q78" s="2" t="s">
        <v>3593</v>
      </c>
      <c r="R78" s="2" t="s">
        <v>3291</v>
      </c>
      <c r="S78" s="2" t="s">
        <v>37</v>
      </c>
      <c r="T78" s="2" t="s">
        <v>37</v>
      </c>
      <c r="U78" s="2" t="s">
        <v>57</v>
      </c>
      <c r="V78" s="3">
        <v>45670</v>
      </c>
      <c r="W78" s="2" t="s">
        <v>77</v>
      </c>
      <c r="X78" s="2" t="str">
        <f t="shared" si="4"/>
        <v>Calle Asociacion Cajamarquilla Mz L Te 10 Asociacion Cajamarquilla Mz L Te 10, Ate, Lima, Lima, Perú</v>
      </c>
      <c r="Y78" s="22">
        <v>-12.023711</v>
      </c>
      <c r="Z78" s="22">
        <v>-76.894016899999997</v>
      </c>
      <c r="AA78" s="33">
        <f t="shared" si="5"/>
        <v>2.98</v>
      </c>
      <c r="AB78" s="2" t="str">
        <f t="shared" si="6"/>
        <v>🟢 Muy Cerca (0-5 km)</v>
      </c>
      <c r="AC78" s="2" t="str" cm="1">
        <f t="array" ref="AC78">INDEX(PARADEROS_VALIDOS!$C$2:$C$68,MATCH(MIN(6371*ACOS(COS(RADIANS(Y78))*COS(RADIANS(PARADEROS_VALIDOS!$E$2:$E$68))*COS(RADIANS(PARADEROS_VALIDOS!$F$2:$F$68)-RADIANS(Z78))+SIN(RADIANS(Y78))*SIN(RADIANS(PARADEROS_VALIDOS!$E$2:$E$68)))),6371*ACOS(COS(RADIANS(Y78))*COS(RADIANS(PARADEROS_VALIDOS!$E$2:$E$68))*COS(RADIANS(PARADEROS_VALIDOS!$F$2:$F$68)-RADIANS(Z78))+SIN(RADIANS(Y78))*SIN(RADIANS(PARADEROS_VALIDOS!$E$2:$E$68))),0))</f>
        <v>Paradero Sta. Clara</v>
      </c>
      <c r="AD78" s="2" t="str">
        <f>IFERROR(INDEX(PARADEROS_VALIDOS!$A$2:$A$68,MATCH(AC78,PARADEROS_VALIDOS!$C$2:$C$68,0)),"")</f>
        <v>RUTA 5C</v>
      </c>
      <c r="AE78" s="33" cm="1">
        <f t="array" ref="AE78">ROUND(MIN(6371*ACOS(COS(RADIANS(Y78))*COS(RADIANS(PARADEROS_VALIDOS!$E$2:$E$68))*COS(RADIANS(PARADEROS_VALIDOS!$F$2:$F$68)-RADIANS(Z78))+SIN(RADIANS(Y78))*SIN(RADIANS(PARADEROS_VALIDOS!$E$2:$E$68)))),2)</f>
        <v>1.37</v>
      </c>
      <c r="AF78" s="2" t="str">
        <f t="shared" si="7"/>
        <v>🟡 Cerca (1-3 km)</v>
      </c>
      <c r="AG78" s="2"/>
      <c r="AH78" s="2"/>
      <c r="AI78" s="51">
        <v>-11.997563</v>
      </c>
      <c r="AJ78" s="51">
        <v>-76.900062000000005</v>
      </c>
      <c r="AK78" s="2" t="str">
        <f>IFERROR(VLOOKUP(H78,tdcargo[],2,FALSE),"DESCONOCIDO")</f>
        <v>OPERARIO</v>
      </c>
    </row>
    <row r="79" spans="1:37" x14ac:dyDescent="0.35">
      <c r="A79" s="2" t="s">
        <v>3594</v>
      </c>
      <c r="B79" s="2" t="s">
        <v>3595</v>
      </c>
      <c r="C79" s="2" t="s">
        <v>87</v>
      </c>
      <c r="D79" s="2" t="s">
        <v>3596</v>
      </c>
      <c r="E79" s="2">
        <v>24</v>
      </c>
      <c r="F79" s="2" t="s">
        <v>3255</v>
      </c>
      <c r="G79" s="2">
        <v>20515076</v>
      </c>
      <c r="H79" s="2" t="s">
        <v>2006</v>
      </c>
      <c r="I79" s="3">
        <v>45936</v>
      </c>
      <c r="J79" s="2" t="s">
        <v>31</v>
      </c>
      <c r="K79" s="3" t="s">
        <v>1968</v>
      </c>
      <c r="L79" s="2" t="s">
        <v>3597</v>
      </c>
      <c r="M79" s="2" t="s">
        <v>1968</v>
      </c>
      <c r="N79" s="2" t="s">
        <v>34</v>
      </c>
      <c r="O79" s="2" t="s">
        <v>658</v>
      </c>
      <c r="P79" s="2" t="s">
        <v>36</v>
      </c>
      <c r="Q79" s="2" t="s">
        <v>2958</v>
      </c>
      <c r="R79" s="2" t="s">
        <v>3291</v>
      </c>
      <c r="S79" s="2" t="s">
        <v>37</v>
      </c>
      <c r="T79" s="2" t="s">
        <v>37</v>
      </c>
      <c r="U79" s="2" t="s">
        <v>57</v>
      </c>
      <c r="V79" s="3">
        <v>45936</v>
      </c>
      <c r="W79" s="2" t="s">
        <v>39</v>
      </c>
      <c r="X79" s="2" t="str">
        <f t="shared" si="4"/>
        <v>Avenida Jose Carlos Mariategui Javier Heraud, Ate, Lima, Lima, Perú</v>
      </c>
      <c r="Y79" s="22">
        <v>-12.0266383</v>
      </c>
      <c r="Z79" s="22">
        <v>-76.916933799999995</v>
      </c>
      <c r="AA79" s="33">
        <f t="shared" si="5"/>
        <v>3.72</v>
      </c>
      <c r="AB79" s="2" t="str">
        <f t="shared" si="6"/>
        <v>🟢 Muy Cerca (0-5 km)</v>
      </c>
      <c r="AC79" s="2" t="str" cm="1">
        <f t="array" ref="AC79">INDEX(PARADEROS_VALIDOS!$C$2:$C$68,MATCH(MIN(6371*ACOS(COS(RADIANS(Y79))*COS(RADIANS(PARADEROS_VALIDOS!$E$2:$E$68))*COS(RADIANS(PARADEROS_VALIDOS!$F$2:$F$68)-RADIANS(Z79))+SIN(RADIANS(Y79))*SIN(RADIANS(PARADEROS_VALIDOS!$E$2:$E$68)))),6371*ACOS(COS(RADIANS(Y79))*COS(RADIANS(PARADEROS_VALIDOS!$E$2:$E$68))*COS(RADIANS(PARADEROS_VALIDOS!$F$2:$F$68)-RADIANS(Z79))+SIN(RADIANS(Y79))*SIN(RADIANS(PARADEROS_VALIDOS!$E$2:$E$68))),0))</f>
        <v>Panadería Marcela (cruce de la carretera central, con Av. Jose Carlos Mariátegui)</v>
      </c>
      <c r="AD79" s="2" t="str">
        <f>IFERROR(INDEX(PARADEROS_VALIDOS!$A$2:$A$68,MATCH(AC79,PARADEROS_VALIDOS!$C$2:$C$68,0)),"")</f>
        <v>RUTA 4B</v>
      </c>
      <c r="AE79" s="33" cm="1">
        <f t="array" ref="AE79">ROUND(MIN(6371*ACOS(COS(RADIANS(Y79))*COS(RADIANS(PARADEROS_VALIDOS!$E$2:$E$68))*COS(RADIANS(PARADEROS_VALIDOS!$F$2:$F$68)-RADIANS(Z79))+SIN(RADIANS(Y79))*SIN(RADIANS(PARADEROS_VALIDOS!$E$2:$E$68)))),2)</f>
        <v>0.4</v>
      </c>
      <c r="AF79" s="2" t="str">
        <f t="shared" si="7"/>
        <v>🟢 Muy Cerca (0-1 km)</v>
      </c>
      <c r="AG79" s="2"/>
      <c r="AH79" s="2"/>
      <c r="AI79" s="51">
        <v>-11.997563</v>
      </c>
      <c r="AJ79" s="51">
        <v>-76.900062000000005</v>
      </c>
      <c r="AK79" s="2" t="str">
        <f>IFERROR(VLOOKUP(H79,tdcargo[],2,FALSE),"DESCONOCIDO")</f>
        <v>OPERARIO</v>
      </c>
    </row>
    <row r="80" spans="1:37" x14ac:dyDescent="0.35">
      <c r="A80" s="2" t="s">
        <v>3598</v>
      </c>
      <c r="B80" s="2" t="s">
        <v>3599</v>
      </c>
      <c r="C80" s="2" t="s">
        <v>364</v>
      </c>
      <c r="D80" s="2" t="s">
        <v>1885</v>
      </c>
      <c r="E80" s="2">
        <v>34</v>
      </c>
      <c r="F80" s="2" t="s">
        <v>3255</v>
      </c>
      <c r="G80" s="2">
        <v>20508023</v>
      </c>
      <c r="H80" s="2" t="s">
        <v>1971</v>
      </c>
      <c r="I80" s="3">
        <v>46037</v>
      </c>
      <c r="J80" s="2" t="s">
        <v>31</v>
      </c>
      <c r="K80" s="3" t="s">
        <v>1968</v>
      </c>
      <c r="L80" s="2" t="s">
        <v>3344</v>
      </c>
      <c r="M80" s="2" t="s">
        <v>3345</v>
      </c>
      <c r="N80" s="2" t="s">
        <v>82</v>
      </c>
      <c r="O80" s="2" t="s">
        <v>3600</v>
      </c>
      <c r="P80" s="2" t="s">
        <v>55</v>
      </c>
      <c r="Q80" s="2" t="s">
        <v>3601</v>
      </c>
      <c r="R80" s="2" t="s">
        <v>3274</v>
      </c>
      <c r="S80" s="2" t="s">
        <v>37</v>
      </c>
      <c r="T80" s="2" t="s">
        <v>37</v>
      </c>
      <c r="U80" s="2" t="s">
        <v>76</v>
      </c>
      <c r="V80" s="3">
        <v>46037</v>
      </c>
      <c r="W80" s="2" t="s">
        <v>135</v>
      </c>
      <c r="X80" s="2" t="str">
        <f t="shared" si="4"/>
        <v>Calle Las Fragatas, Coo. Cooperativa LAS FRAGATAS, Lurigancho, Lima, Lima, Perú</v>
      </c>
      <c r="Y80" s="22">
        <v>-12.082593599999999</v>
      </c>
      <c r="Z80" s="22">
        <v>-76.918194999999997</v>
      </c>
      <c r="AA80" s="33">
        <f t="shared" si="5"/>
        <v>9.66</v>
      </c>
      <c r="AB80" s="2" t="str">
        <f t="shared" si="6"/>
        <v>🟡 Cerca (5-10 km)</v>
      </c>
      <c r="AC80" s="2" t="str" cm="1">
        <f t="array" ref="AC80">INDEX(PARADEROS_VALIDOS!$C$2:$C$68,MATCH(MIN(6371*ACOS(COS(RADIANS(Y80))*COS(RADIANS(PARADEROS_VALIDOS!$E$2:$E$68))*COS(RADIANS(PARADEROS_VALIDOS!$F$2:$F$68)-RADIANS(Z80))+SIN(RADIANS(Y80))*SIN(RADIANS(PARADEROS_VALIDOS!$E$2:$E$68)))),6371*ACOS(COS(RADIANS(Y80))*COS(RADIANS(PARADEROS_VALIDOS!$E$2:$E$68))*COS(RADIANS(PARADEROS_VALIDOS!$F$2:$F$68)-RADIANS(Z80))+SIN(RADIANS(Y80))*SIN(RADIANS(PARADEROS_VALIDOS!$E$2:$E$68))),0))</f>
        <v>Paradero Paraíso</v>
      </c>
      <c r="AD80" s="2" t="str">
        <f>IFERROR(INDEX(PARADEROS_VALIDOS!$A$2:$A$68,MATCH(AC80,PARADEROS_VALIDOS!$C$2:$C$68,0)),"")</f>
        <v>RUTA 2</v>
      </c>
      <c r="AE80" s="33" cm="1">
        <f t="array" ref="AE80">ROUND(MIN(6371*ACOS(COS(RADIANS(Y80))*COS(RADIANS(PARADEROS_VALIDOS!$E$2:$E$68))*COS(RADIANS(PARADEROS_VALIDOS!$F$2:$F$68)-RADIANS(Z80))+SIN(RADIANS(Y80))*SIN(RADIANS(PARADEROS_VALIDOS!$E$2:$E$68)))),2)</f>
        <v>0.7</v>
      </c>
      <c r="AF80" s="2" t="str">
        <f t="shared" si="7"/>
        <v>🟢 Muy Cerca (0-1 km)</v>
      </c>
      <c r="AG80" s="2"/>
      <c r="AH80" s="2"/>
      <c r="AI80" s="51">
        <v>-11.997563</v>
      </c>
      <c r="AJ80" s="51">
        <v>-76.900062000000005</v>
      </c>
      <c r="AK80" s="2" t="str">
        <f>IFERROR(VLOOKUP(H80,tdcargo[],2,FALSE),"DESCONOCIDO")</f>
        <v>OPERARIO</v>
      </c>
    </row>
    <row r="81" spans="1:37" x14ac:dyDescent="0.35">
      <c r="A81" s="2" t="s">
        <v>3602</v>
      </c>
      <c r="B81" s="2" t="s">
        <v>3603</v>
      </c>
      <c r="C81" s="2" t="s">
        <v>3604</v>
      </c>
      <c r="D81" s="2" t="s">
        <v>3605</v>
      </c>
      <c r="E81" s="2">
        <v>34</v>
      </c>
      <c r="F81" s="2" t="s">
        <v>3255</v>
      </c>
      <c r="G81" s="2">
        <v>20507974</v>
      </c>
      <c r="H81" s="2" t="s">
        <v>2628</v>
      </c>
      <c r="I81" s="3">
        <v>44308</v>
      </c>
      <c r="J81" s="2" t="s">
        <v>31</v>
      </c>
      <c r="K81" s="3" t="s">
        <v>1968</v>
      </c>
      <c r="L81" s="2" t="s">
        <v>3606</v>
      </c>
      <c r="M81" s="2" t="s">
        <v>3607</v>
      </c>
      <c r="N81" s="2" t="s">
        <v>34</v>
      </c>
      <c r="O81" s="2" t="s">
        <v>3608</v>
      </c>
      <c r="P81" s="2" t="s">
        <v>88</v>
      </c>
      <c r="Q81" s="2" t="s">
        <v>2066</v>
      </c>
      <c r="R81" s="2" t="s">
        <v>3260</v>
      </c>
      <c r="S81" s="2" t="s">
        <v>37</v>
      </c>
      <c r="T81" s="2" t="s">
        <v>37</v>
      </c>
      <c r="U81" s="2" t="s">
        <v>38</v>
      </c>
      <c r="V81" s="3">
        <v>44308</v>
      </c>
      <c r="W81" s="2" t="s">
        <v>48</v>
      </c>
      <c r="X81" s="2" t="str">
        <f t="shared" si="4"/>
        <v>Avenida Rompe Muelle, A.H. Asentamiento Humano Casa Blanca, San Juan De Lurigancho, Lima, Lima, Perú</v>
      </c>
      <c r="Y81" s="22">
        <v>-11.940677600000001</v>
      </c>
      <c r="Z81" s="22">
        <v>-76.998146899999995</v>
      </c>
      <c r="AA81" s="33">
        <f t="shared" si="5"/>
        <v>12.4</v>
      </c>
      <c r="AB81" s="2" t="str">
        <f t="shared" si="6"/>
        <v>🟠 Moderada (10-20 km)</v>
      </c>
      <c r="AC81" s="2" t="str" cm="1">
        <f t="array" ref="AC81">INDEX(PARADEROS_VALIDOS!$C$2:$C$68,MATCH(MIN(6371*ACOS(COS(RADIANS(Y81))*COS(RADIANS(PARADEROS_VALIDOS!$E$2:$E$68))*COS(RADIANS(PARADEROS_VALIDOS!$F$2:$F$68)-RADIANS(Z81))+SIN(RADIANS(Y81))*SIN(RADIANS(PARADEROS_VALIDOS!$E$2:$E$68)))),6371*ACOS(COS(RADIANS(Y81))*COS(RADIANS(PARADEROS_VALIDOS!$E$2:$E$68))*COS(RADIANS(PARADEROS_VALIDOS!$F$2:$F$68)-RADIANS(Z81))+SIN(RADIANS(Y81))*SIN(RADIANS(PARADEROS_VALIDOS!$E$2:$E$68))),0))</f>
        <v>Paradero Acho</v>
      </c>
      <c r="AD81" s="2" t="str">
        <f>IFERROR(INDEX(PARADEROS_VALIDOS!$A$2:$A$68,MATCH(AC81,PARADEROS_VALIDOS!$C$2:$C$68,0)),"")</f>
        <v>RUTA 8</v>
      </c>
      <c r="AE81" s="33" cm="1">
        <f t="array" ref="AE81">ROUND(MIN(6371*ACOS(COS(RADIANS(Y81))*COS(RADIANS(PARADEROS_VALIDOS!$E$2:$E$68))*COS(RADIANS(PARADEROS_VALIDOS!$F$2:$F$68)-RADIANS(Z81))+SIN(RADIANS(Y81))*SIN(RADIANS(PARADEROS_VALIDOS!$E$2:$E$68)))),2)</f>
        <v>3.58</v>
      </c>
      <c r="AF81" s="2" t="str">
        <f t="shared" si="7"/>
        <v>🟠 Moderada (3-5 km)</v>
      </c>
      <c r="AG81" s="2"/>
      <c r="AH81" s="2"/>
      <c r="AI81" s="51">
        <v>-11.997563</v>
      </c>
      <c r="AJ81" s="51">
        <v>-76.900062000000005</v>
      </c>
      <c r="AK81" s="2" t="str">
        <f>IFERROR(VLOOKUP(H81,tdcargo[],2,FALSE),"DESCONOCIDO")</f>
        <v>STAFF</v>
      </c>
    </row>
    <row r="82" spans="1:37" x14ac:dyDescent="0.35">
      <c r="A82" s="2" t="s">
        <v>3609</v>
      </c>
      <c r="B82" s="2" t="s">
        <v>3610</v>
      </c>
      <c r="C82" s="2" t="s">
        <v>3611</v>
      </c>
      <c r="D82" s="2" t="s">
        <v>3612</v>
      </c>
      <c r="E82" s="2">
        <v>19</v>
      </c>
      <c r="F82" s="2" t="s">
        <v>3255</v>
      </c>
      <c r="G82" s="2">
        <v>20511534</v>
      </c>
      <c r="H82" s="2" t="s">
        <v>1971</v>
      </c>
      <c r="I82" s="3">
        <v>46055</v>
      </c>
      <c r="J82" s="2" t="s">
        <v>31</v>
      </c>
      <c r="K82" s="3" t="s">
        <v>1968</v>
      </c>
      <c r="L82" s="2" t="s">
        <v>3256</v>
      </c>
      <c r="M82" s="2" t="s">
        <v>3257</v>
      </c>
      <c r="N82" s="2" t="s">
        <v>34</v>
      </c>
      <c r="O82" s="2" t="s">
        <v>798</v>
      </c>
      <c r="P82" s="2" t="s">
        <v>1054</v>
      </c>
      <c r="Q82" s="2" t="s">
        <v>3613</v>
      </c>
      <c r="R82" s="2" t="s">
        <v>3291</v>
      </c>
      <c r="S82" s="2" t="s">
        <v>37</v>
      </c>
      <c r="T82" s="2" t="s">
        <v>37</v>
      </c>
      <c r="U82" s="2" t="s">
        <v>57</v>
      </c>
      <c r="V82" s="3">
        <v>46055</v>
      </c>
      <c r="W82" s="2" t="s">
        <v>135</v>
      </c>
      <c r="X82" s="2" t="str">
        <f t="shared" si="4"/>
        <v>Avenida 15 De Julio, Z.I. Zona Industrial ZONA B, Ate, Lima, Lima, Perú</v>
      </c>
      <c r="Y82" s="22">
        <v>-12.016420999999999</v>
      </c>
      <c r="Z82" s="22">
        <v>-76.825003800000005</v>
      </c>
      <c r="AA82" s="33">
        <f t="shared" si="5"/>
        <v>8.43</v>
      </c>
      <c r="AB82" s="2" t="str">
        <f t="shared" si="6"/>
        <v>🟡 Cerca (5-10 km)</v>
      </c>
      <c r="AC82" s="2" t="str" cm="1">
        <f t="array" ref="AC82">INDEX(PARADEROS_VALIDOS!$C$2:$C$68,MATCH(MIN(6371*ACOS(COS(RADIANS(Y82))*COS(RADIANS(PARADEROS_VALIDOS!$E$2:$E$68))*COS(RADIANS(PARADEROS_VALIDOS!$F$2:$F$68)-RADIANS(Z82))+SIN(RADIANS(Y82))*SIN(RADIANS(PARADEROS_VALIDOS!$E$2:$E$68)))),6371*ACOS(COS(RADIANS(Y82))*COS(RADIANS(PARADEROS_VALIDOS!$E$2:$E$68))*COS(RADIANS(PARADEROS_VALIDOS!$F$2:$F$68)-RADIANS(Z82))+SIN(RADIANS(Y82))*SIN(RADIANS(PARADEROS_VALIDOS!$E$2:$E$68))),0))</f>
        <v>Paradero Aurora</v>
      </c>
      <c r="AD82" s="2" t="str">
        <f>IFERROR(INDEX(PARADEROS_VALIDOS!$A$2:$A$68,MATCH(AC82,PARADEROS_VALIDOS!$C$2:$C$68,0)),"")</f>
        <v>RUTA 3</v>
      </c>
      <c r="AE82" s="33" cm="1">
        <f t="array" ref="AE82">ROUND(MIN(6371*ACOS(COS(RADIANS(Y82))*COS(RADIANS(PARADEROS_VALIDOS!$E$2:$E$68))*COS(RADIANS(PARADEROS_VALIDOS!$F$2:$F$68)-RADIANS(Z82))+SIN(RADIANS(Y82))*SIN(RADIANS(PARADEROS_VALIDOS!$E$2:$E$68)))),2)</f>
        <v>1.08</v>
      </c>
      <c r="AF82" s="2" t="str">
        <f t="shared" si="7"/>
        <v>🟡 Cerca (1-3 km)</v>
      </c>
      <c r="AG82" s="2"/>
      <c r="AH82" s="2"/>
      <c r="AI82" s="51">
        <v>-11.997563</v>
      </c>
      <c r="AJ82" s="51">
        <v>-76.900062000000005</v>
      </c>
      <c r="AK82" s="2" t="str">
        <f>IFERROR(VLOOKUP(H82,tdcargo[],2,FALSE),"DESCONOCIDO")</f>
        <v>OPERARIO</v>
      </c>
    </row>
    <row r="83" spans="1:37" x14ac:dyDescent="0.35">
      <c r="A83" s="2" t="s">
        <v>3614</v>
      </c>
      <c r="B83" s="2" t="s">
        <v>3615</v>
      </c>
      <c r="C83" s="2" t="s">
        <v>213</v>
      </c>
      <c r="D83" s="2" t="s">
        <v>3357</v>
      </c>
      <c r="E83" s="2">
        <v>23</v>
      </c>
      <c r="F83" s="2" t="s">
        <v>3255</v>
      </c>
      <c r="G83" s="2">
        <v>20507994</v>
      </c>
      <c r="H83" s="2" t="s">
        <v>1971</v>
      </c>
      <c r="I83" s="3">
        <v>46055</v>
      </c>
      <c r="J83" s="2" t="s">
        <v>31</v>
      </c>
      <c r="K83" s="3" t="s">
        <v>1968</v>
      </c>
      <c r="L83" s="2" t="s">
        <v>3256</v>
      </c>
      <c r="M83" s="2" t="s">
        <v>3257</v>
      </c>
      <c r="N83" s="2" t="s">
        <v>36</v>
      </c>
      <c r="O83" s="2" t="s">
        <v>3616</v>
      </c>
      <c r="P83" s="2" t="s">
        <v>36</v>
      </c>
      <c r="Q83" s="2" t="s">
        <v>3617</v>
      </c>
      <c r="R83" s="2" t="s">
        <v>3291</v>
      </c>
      <c r="S83" s="2" t="s">
        <v>37</v>
      </c>
      <c r="T83" s="2" t="s">
        <v>37</v>
      </c>
      <c r="U83" s="2" t="s">
        <v>57</v>
      </c>
      <c r="V83" s="3">
        <v>46055</v>
      </c>
      <c r="W83" s="2" t="s">
        <v>135</v>
      </c>
      <c r="X83" s="2" t="str">
        <f t="shared" si="4"/>
        <v>Ucv 178 Lt45 ZONA O, Ate, Lima, Lima, Perú</v>
      </c>
      <c r="Y83" s="22">
        <v>-12.023711</v>
      </c>
      <c r="Z83" s="22">
        <v>-76.894016899999997</v>
      </c>
      <c r="AA83" s="33">
        <f t="shared" si="5"/>
        <v>2.98</v>
      </c>
      <c r="AB83" s="2" t="str">
        <f t="shared" si="6"/>
        <v>🟢 Muy Cerca (0-5 km)</v>
      </c>
      <c r="AC83" s="2" t="str" cm="1">
        <f t="array" ref="AC83">INDEX(PARADEROS_VALIDOS!$C$2:$C$68,MATCH(MIN(6371*ACOS(COS(RADIANS(Y83))*COS(RADIANS(PARADEROS_VALIDOS!$E$2:$E$68))*COS(RADIANS(PARADEROS_VALIDOS!$F$2:$F$68)-RADIANS(Z83))+SIN(RADIANS(Y83))*SIN(RADIANS(PARADEROS_VALIDOS!$E$2:$E$68)))),6371*ACOS(COS(RADIANS(Y83))*COS(RADIANS(PARADEROS_VALIDOS!$E$2:$E$68))*COS(RADIANS(PARADEROS_VALIDOS!$F$2:$F$68)-RADIANS(Z83))+SIN(RADIANS(Y83))*SIN(RADIANS(PARADEROS_VALIDOS!$E$2:$E$68))),0))</f>
        <v>Paradero Sta. Clara</v>
      </c>
      <c r="AD83" s="2" t="str">
        <f>IFERROR(INDEX(PARADEROS_VALIDOS!$A$2:$A$68,MATCH(AC83,PARADEROS_VALIDOS!$C$2:$C$68,0)),"")</f>
        <v>RUTA 5C</v>
      </c>
      <c r="AE83" s="33" cm="1">
        <f t="array" ref="AE83">ROUND(MIN(6371*ACOS(COS(RADIANS(Y83))*COS(RADIANS(PARADEROS_VALIDOS!$E$2:$E$68))*COS(RADIANS(PARADEROS_VALIDOS!$F$2:$F$68)-RADIANS(Z83))+SIN(RADIANS(Y83))*SIN(RADIANS(PARADEROS_VALIDOS!$E$2:$E$68)))),2)</f>
        <v>1.37</v>
      </c>
      <c r="AF83" s="2" t="str">
        <f t="shared" si="7"/>
        <v>🟡 Cerca (1-3 km)</v>
      </c>
      <c r="AG83" s="2"/>
      <c r="AH83" s="2"/>
      <c r="AI83" s="51">
        <v>-11.997563</v>
      </c>
      <c r="AJ83" s="51">
        <v>-76.900062000000005</v>
      </c>
      <c r="AK83" s="2" t="str">
        <f>IFERROR(VLOOKUP(H83,tdcargo[],2,FALSE),"DESCONOCIDO")</f>
        <v>OPERARIO</v>
      </c>
    </row>
    <row r="84" spans="1:37" x14ac:dyDescent="0.35">
      <c r="A84" s="2" t="s">
        <v>3618</v>
      </c>
      <c r="B84" s="2" t="s">
        <v>3619</v>
      </c>
      <c r="C84" s="2" t="s">
        <v>3620</v>
      </c>
      <c r="D84" s="2" t="s">
        <v>3357</v>
      </c>
      <c r="E84" s="2">
        <v>23</v>
      </c>
      <c r="F84" s="2" t="s">
        <v>3255</v>
      </c>
      <c r="G84" s="2">
        <v>20508076</v>
      </c>
      <c r="H84" s="2" t="s">
        <v>1971</v>
      </c>
      <c r="I84" s="3">
        <v>45334</v>
      </c>
      <c r="J84" s="2" t="s">
        <v>31</v>
      </c>
      <c r="K84" s="3" t="s">
        <v>1968</v>
      </c>
      <c r="L84" s="2" t="s">
        <v>3299</v>
      </c>
      <c r="M84" s="2" t="s">
        <v>3300</v>
      </c>
      <c r="N84" s="2" t="s">
        <v>82</v>
      </c>
      <c r="O84" s="2" t="s">
        <v>3621</v>
      </c>
      <c r="P84" s="2" t="s">
        <v>36</v>
      </c>
      <c r="Q84" s="2" t="s">
        <v>3622</v>
      </c>
      <c r="R84" s="2" t="s">
        <v>3291</v>
      </c>
      <c r="S84" s="2" t="s">
        <v>37</v>
      </c>
      <c r="T84" s="2" t="s">
        <v>37</v>
      </c>
      <c r="U84" s="2" t="s">
        <v>57</v>
      </c>
      <c r="V84" s="3">
        <v>45334</v>
      </c>
      <c r="W84" s="2" t="s">
        <v>48</v>
      </c>
      <c r="X84" s="2" t="str">
        <f t="shared" si="4"/>
        <v>Calle Oracio San Sebastian, Ate, Lima, Lima, Perú</v>
      </c>
      <c r="Y84" s="22">
        <v>-12.018471999999999</v>
      </c>
      <c r="Z84" s="22">
        <v>-76.836958899999999</v>
      </c>
      <c r="AA84" s="33">
        <f t="shared" si="5"/>
        <v>7.25</v>
      </c>
      <c r="AB84" s="2" t="str">
        <f t="shared" si="6"/>
        <v>🟡 Cerca (5-10 km)</v>
      </c>
      <c r="AC84" s="2" t="str" cm="1">
        <f t="array" ref="AC84">INDEX(PARADEROS_VALIDOS!$C$2:$C$68,MATCH(MIN(6371*ACOS(COS(RADIANS(Y84))*COS(RADIANS(PARADEROS_VALIDOS!$E$2:$E$68))*COS(RADIANS(PARADEROS_VALIDOS!$F$2:$F$68)-RADIANS(Z84))+SIN(RADIANS(Y84))*SIN(RADIANS(PARADEROS_VALIDOS!$E$2:$E$68)))),6371*ACOS(COS(RADIANS(Y84))*COS(RADIANS(PARADEROS_VALIDOS!$E$2:$E$68))*COS(RADIANS(PARADEROS_VALIDOS!$F$2:$F$68)-RADIANS(Z84))+SIN(RADIANS(Y84))*SIN(RADIANS(PARADEROS_VALIDOS!$E$2:$E$68))),0))</f>
        <v>Entrada Horacio</v>
      </c>
      <c r="AD84" s="2" t="str">
        <f>IFERROR(INDEX(PARADEROS_VALIDOS!$A$2:$A$68,MATCH(AC84,PARADEROS_VALIDOS!$C$2:$C$68,0)),"")</f>
        <v>RUTA 5B</v>
      </c>
      <c r="AE84" s="33" cm="1">
        <f t="array" ref="AE84">ROUND(MIN(6371*ACOS(COS(RADIANS(Y84))*COS(RADIANS(PARADEROS_VALIDOS!$E$2:$E$68))*COS(RADIANS(PARADEROS_VALIDOS!$F$2:$F$68)-RADIANS(Z84))+SIN(RADIANS(Y84))*SIN(RADIANS(PARADEROS_VALIDOS!$E$2:$E$68)))),2)</f>
        <v>1.25</v>
      </c>
      <c r="AF84" s="2" t="str">
        <f t="shared" si="7"/>
        <v>🟡 Cerca (1-3 km)</v>
      </c>
      <c r="AG84" s="2"/>
      <c r="AH84" s="2"/>
      <c r="AI84" s="51">
        <v>-11.997563</v>
      </c>
      <c r="AJ84" s="51">
        <v>-76.900062000000005</v>
      </c>
      <c r="AK84" s="2" t="str">
        <f>IFERROR(VLOOKUP(H84,tdcargo[],2,FALSE),"DESCONOCIDO")</f>
        <v>OPERARIO</v>
      </c>
    </row>
    <row r="85" spans="1:37" x14ac:dyDescent="0.35">
      <c r="A85" s="2" t="s">
        <v>3623</v>
      </c>
      <c r="B85" s="2" t="s">
        <v>3624</v>
      </c>
      <c r="C85" s="2" t="s">
        <v>745</v>
      </c>
      <c r="D85" s="2" t="s">
        <v>273</v>
      </c>
      <c r="E85" s="2">
        <v>30</v>
      </c>
      <c r="F85" s="2" t="s">
        <v>3255</v>
      </c>
      <c r="G85" s="2">
        <v>20508132</v>
      </c>
      <c r="H85" s="2" t="s">
        <v>3625</v>
      </c>
      <c r="I85" s="3">
        <v>44214</v>
      </c>
      <c r="J85" s="2" t="s">
        <v>31</v>
      </c>
      <c r="K85" s="3" t="s">
        <v>1968</v>
      </c>
      <c r="L85" s="2" t="s">
        <v>3307</v>
      </c>
      <c r="M85" s="2" t="s">
        <v>3308</v>
      </c>
      <c r="N85" s="2" t="s">
        <v>34</v>
      </c>
      <c r="O85" s="2" t="s">
        <v>1725</v>
      </c>
      <c r="P85" s="2" t="s">
        <v>88</v>
      </c>
      <c r="Q85" s="2" t="s">
        <v>1415</v>
      </c>
      <c r="R85" s="2" t="s">
        <v>3274</v>
      </c>
      <c r="S85" s="2" t="s">
        <v>37</v>
      </c>
      <c r="T85" s="2" t="s">
        <v>37</v>
      </c>
      <c r="U85" s="2" t="s">
        <v>76</v>
      </c>
      <c r="V85" s="3">
        <v>44214</v>
      </c>
      <c r="W85" s="2" t="s">
        <v>48</v>
      </c>
      <c r="X85" s="2" t="str">
        <f t="shared" si="4"/>
        <v>Avenida Chosica, A.H. Asentamiento Humano Las Praderas, Lurigancho, Lima, Lima, Perú</v>
      </c>
      <c r="Y85" s="22">
        <v>-11.983504999999999</v>
      </c>
      <c r="Z85" s="22">
        <v>-76.893615600000004</v>
      </c>
      <c r="AA85" s="33">
        <f t="shared" si="5"/>
        <v>1.71</v>
      </c>
      <c r="AB85" s="2" t="str">
        <f t="shared" si="6"/>
        <v>🟢 Muy Cerca (0-5 km)</v>
      </c>
      <c r="AC85" s="2" t="str" cm="1">
        <f t="array" ref="AC85">INDEX(PARADEROS_VALIDOS!$C$2:$C$68,MATCH(MIN(6371*ACOS(COS(RADIANS(Y85))*COS(RADIANS(PARADEROS_VALIDOS!$E$2:$E$68))*COS(RADIANS(PARADEROS_VALIDOS!$F$2:$F$68)-RADIANS(Z85))+SIN(RADIANS(Y85))*SIN(RADIANS(PARADEROS_VALIDOS!$E$2:$E$68)))),6371*ACOS(COS(RADIANS(Y85))*COS(RADIANS(PARADEROS_VALIDOS!$E$2:$E$68))*COS(RADIANS(PARADEROS_VALIDOS!$F$2:$F$68)-RADIANS(Z85))+SIN(RADIANS(Y85))*SIN(RADIANS(PARADEROS_VALIDOS!$E$2:$E$68))),0))</f>
        <v>Paradero Arco San Antonio</v>
      </c>
      <c r="AD85" s="2" t="str">
        <f>IFERROR(INDEX(PARADEROS_VALIDOS!$A$2:$A$68,MATCH(AC85,PARADEROS_VALIDOS!$C$2:$C$68,0)),"")</f>
        <v>RUTA 2</v>
      </c>
      <c r="AE85" s="33" cm="1">
        <f t="array" ref="AE85">ROUND(MIN(6371*ACOS(COS(RADIANS(Y85))*COS(RADIANS(PARADEROS_VALIDOS!$E$2:$E$68))*COS(RADIANS(PARADEROS_VALIDOS!$F$2:$F$68)-RADIANS(Z85))+SIN(RADIANS(Y85))*SIN(RADIANS(PARADEROS_VALIDOS!$E$2:$E$68)))),2)</f>
        <v>1.52</v>
      </c>
      <c r="AF85" s="2" t="str">
        <f t="shared" si="7"/>
        <v>🟡 Cerca (1-3 km)</v>
      </c>
      <c r="AG85" s="2"/>
      <c r="AH85" s="2"/>
      <c r="AI85" s="51">
        <v>-11.997563</v>
      </c>
      <c r="AJ85" s="51">
        <v>-76.900062000000005</v>
      </c>
      <c r="AK85" s="2" t="str">
        <f>IFERROR(VLOOKUP(H85,tdcargo[],2,FALSE),"DESCONOCIDO")</f>
        <v>STAFF</v>
      </c>
    </row>
    <row r="86" spans="1:37" x14ac:dyDescent="0.35">
      <c r="A86" s="2" t="s">
        <v>3626</v>
      </c>
      <c r="B86" s="2" t="s">
        <v>3627</v>
      </c>
      <c r="C86" s="2" t="s">
        <v>1755</v>
      </c>
      <c r="D86" s="2" t="s">
        <v>3628</v>
      </c>
      <c r="E86" s="2">
        <v>19</v>
      </c>
      <c r="F86" s="2" t="s">
        <v>3255</v>
      </c>
      <c r="G86" s="2">
        <v>20508108</v>
      </c>
      <c r="H86" s="2" t="s">
        <v>1971</v>
      </c>
      <c r="I86" s="3">
        <v>45964</v>
      </c>
      <c r="J86" s="2" t="s">
        <v>31</v>
      </c>
      <c r="K86" s="3" t="s">
        <v>1968</v>
      </c>
      <c r="L86" s="2" t="s">
        <v>3263</v>
      </c>
      <c r="M86" s="2" t="s">
        <v>3264</v>
      </c>
      <c r="N86" s="2" t="s">
        <v>36</v>
      </c>
      <c r="O86" s="2" t="s">
        <v>3629</v>
      </c>
      <c r="P86" s="2" t="s">
        <v>36</v>
      </c>
      <c r="Q86" s="2" t="s">
        <v>3630</v>
      </c>
      <c r="R86" s="2" t="s">
        <v>3291</v>
      </c>
      <c r="S86" s="2" t="s">
        <v>37</v>
      </c>
      <c r="T86" s="2" t="s">
        <v>37</v>
      </c>
      <c r="U86" s="2" t="s">
        <v>57</v>
      </c>
      <c r="V86" s="3">
        <v>45964</v>
      </c>
      <c r="W86" s="2" t="s">
        <v>39</v>
      </c>
      <c r="X86" s="2" t="str">
        <f t="shared" si="4"/>
        <v>Asoc. Los Pinos De Ate Asoc. Los Pinos De A, Ate, Lima, Lima, Perú</v>
      </c>
      <c r="Y86" s="22">
        <v>-12.0137126</v>
      </c>
      <c r="Z86" s="22">
        <v>-76.868177399999993</v>
      </c>
      <c r="AA86" s="33">
        <f t="shared" si="5"/>
        <v>3.91</v>
      </c>
      <c r="AB86" s="2" t="str">
        <f t="shared" si="6"/>
        <v>🟢 Muy Cerca (0-5 km)</v>
      </c>
      <c r="AC86" s="2" t="str" cm="1">
        <f t="array" ref="AC86">INDEX(PARADEROS_VALIDOS!$C$2:$C$68,MATCH(MIN(6371*ACOS(COS(RADIANS(Y86))*COS(RADIANS(PARADEROS_VALIDOS!$E$2:$E$68))*COS(RADIANS(PARADEROS_VALIDOS!$F$2:$F$68)-RADIANS(Z86))+SIN(RADIANS(Y86))*SIN(RADIANS(PARADEROS_VALIDOS!$E$2:$E$68)))),6371*ACOS(COS(RADIANS(Y86))*COS(RADIANS(PARADEROS_VALIDOS!$E$2:$E$68))*COS(RADIANS(PARADEROS_VALIDOS!$F$2:$F$68)-RADIANS(Z86))+SIN(RADIANS(Y86))*SIN(RADIANS(PARADEROS_VALIDOS!$E$2:$E$68))),0))</f>
        <v>Paradero la Cruz</v>
      </c>
      <c r="AD86" s="2" t="str">
        <f>IFERROR(INDEX(PARADEROS_VALIDOS!$A$2:$A$68,MATCH(AC86,PARADEROS_VALIDOS!$C$2:$C$68,0)),"")</f>
        <v>RUTA 4B</v>
      </c>
      <c r="AE86" s="33" cm="1">
        <f t="array" ref="AE86">ROUND(MIN(6371*ACOS(COS(RADIANS(Y86))*COS(RADIANS(PARADEROS_VALIDOS!$E$2:$E$68))*COS(RADIANS(PARADEROS_VALIDOS!$F$2:$F$68)-RADIANS(Z86))+SIN(RADIANS(Y86))*SIN(RADIANS(PARADEROS_VALIDOS!$E$2:$E$68)))),2)</f>
        <v>1.84</v>
      </c>
      <c r="AF86" s="2" t="str">
        <f t="shared" si="7"/>
        <v>🟡 Cerca (1-3 km)</v>
      </c>
      <c r="AG86" s="2"/>
      <c r="AH86" s="2"/>
      <c r="AI86" s="51">
        <v>-11.997563</v>
      </c>
      <c r="AJ86" s="51">
        <v>-76.900062000000005</v>
      </c>
      <c r="AK86" s="2" t="str">
        <f>IFERROR(VLOOKUP(H86,tdcargo[],2,FALSE),"DESCONOCIDO")</f>
        <v>OPERARIO</v>
      </c>
    </row>
    <row r="87" spans="1:37" x14ac:dyDescent="0.35">
      <c r="A87" s="2" t="s">
        <v>3631</v>
      </c>
      <c r="B87" s="2" t="s">
        <v>3632</v>
      </c>
      <c r="C87" s="2" t="s">
        <v>1134</v>
      </c>
      <c r="D87" s="2" t="s">
        <v>26</v>
      </c>
      <c r="E87" s="2">
        <v>21</v>
      </c>
      <c r="F87" s="2" t="s">
        <v>3255</v>
      </c>
      <c r="G87" s="2">
        <v>20508020</v>
      </c>
      <c r="H87" s="2" t="s">
        <v>1971</v>
      </c>
      <c r="I87" s="3">
        <v>45796</v>
      </c>
      <c r="J87" s="2" t="s">
        <v>31</v>
      </c>
      <c r="K87" s="3" t="s">
        <v>1968</v>
      </c>
      <c r="L87" s="2" t="s">
        <v>3344</v>
      </c>
      <c r="M87" s="2" t="s">
        <v>3345</v>
      </c>
      <c r="N87" s="2" t="s">
        <v>34</v>
      </c>
      <c r="O87" s="2" t="s">
        <v>3633</v>
      </c>
      <c r="P87" s="2" t="s">
        <v>36</v>
      </c>
      <c r="Q87" s="2" t="s">
        <v>1012</v>
      </c>
      <c r="R87" s="2" t="s">
        <v>3274</v>
      </c>
      <c r="S87" s="2" t="s">
        <v>37</v>
      </c>
      <c r="T87" s="2" t="s">
        <v>37</v>
      </c>
      <c r="U87" s="2" t="s">
        <v>76</v>
      </c>
      <c r="V87" s="3">
        <v>45796</v>
      </c>
      <c r="W87" s="2" t="s">
        <v>39</v>
      </c>
      <c r="X87" s="2" t="str">
        <f t="shared" si="4"/>
        <v>Avenida Av.16 De Mayo Basilio Auqui, Lurigancho, Lima, Lima, Perú</v>
      </c>
      <c r="Y87" s="22">
        <v>-11.993431599999999</v>
      </c>
      <c r="Z87" s="22">
        <v>-76.951778399999995</v>
      </c>
      <c r="AA87" s="33">
        <f t="shared" si="5"/>
        <v>5.64</v>
      </c>
      <c r="AB87" s="2" t="str">
        <f t="shared" si="6"/>
        <v>🟡 Cerca (5-10 km)</v>
      </c>
      <c r="AC87" s="2" t="str" cm="1">
        <f t="array" ref="AC87">INDEX(PARADEROS_VALIDOS!$C$2:$C$68,MATCH(MIN(6371*ACOS(COS(RADIANS(Y87))*COS(RADIANS(PARADEROS_VALIDOS!$E$2:$E$68))*COS(RADIANS(PARADEROS_VALIDOS!$F$2:$F$68)-RADIANS(Z87))+SIN(RADIANS(Y87))*SIN(RADIANS(PARADEROS_VALIDOS!$E$2:$E$68)))),6371*ACOS(COS(RADIANS(Y87))*COS(RADIANS(PARADEROS_VALIDOS!$E$2:$E$68))*COS(RADIANS(PARADEROS_VALIDOS!$F$2:$F$68)-RADIANS(Z87))+SIN(RADIANS(Y87))*SIN(RADIANS(PARADEROS_VALIDOS!$E$2:$E$68))),0))</f>
        <v>Paradero Saracoto</v>
      </c>
      <c r="AD87" s="2" t="str">
        <f>IFERROR(INDEX(PARADEROS_VALIDOS!$A$2:$A$68,MATCH(AC87,PARADEROS_VALIDOS!$C$2:$C$68,0)),"")</f>
        <v>RUTA 1</v>
      </c>
      <c r="AE87" s="33" cm="1">
        <f t="array" ref="AE87">ROUND(MIN(6371*ACOS(COS(RADIANS(Y87))*COS(RADIANS(PARADEROS_VALIDOS!$E$2:$E$68))*COS(RADIANS(PARADEROS_VALIDOS!$F$2:$F$68)-RADIANS(Z87))+SIN(RADIANS(Y87))*SIN(RADIANS(PARADEROS_VALIDOS!$E$2:$E$68)))),2)</f>
        <v>3.87</v>
      </c>
      <c r="AF87" s="2" t="str">
        <f t="shared" si="7"/>
        <v>🟠 Moderada (3-5 km)</v>
      </c>
      <c r="AG87" s="2"/>
      <c r="AH87" s="2"/>
      <c r="AI87" s="51">
        <v>-11.997563</v>
      </c>
      <c r="AJ87" s="51">
        <v>-76.900062000000005</v>
      </c>
      <c r="AK87" s="2" t="str">
        <f>IFERROR(VLOOKUP(H87,tdcargo[],2,FALSE),"DESCONOCIDO")</f>
        <v>OPERARIO</v>
      </c>
    </row>
    <row r="88" spans="1:37" x14ac:dyDescent="0.35">
      <c r="A88" s="2" t="s">
        <v>3634</v>
      </c>
      <c r="B88" s="2" t="s">
        <v>3635</v>
      </c>
      <c r="C88" s="2" t="s">
        <v>3636</v>
      </c>
      <c r="D88" s="2" t="s">
        <v>1532</v>
      </c>
      <c r="E88" s="2">
        <v>44</v>
      </c>
      <c r="F88" s="2" t="s">
        <v>3255</v>
      </c>
      <c r="G88" s="2">
        <v>20508038</v>
      </c>
      <c r="H88" s="2" t="s">
        <v>1971</v>
      </c>
      <c r="I88" s="3">
        <v>42240</v>
      </c>
      <c r="J88" s="2" t="s">
        <v>31</v>
      </c>
      <c r="K88" s="3" t="s">
        <v>1968</v>
      </c>
      <c r="L88" s="2" t="s">
        <v>3278</v>
      </c>
      <c r="M88" s="2" t="s">
        <v>3279</v>
      </c>
      <c r="N88" s="2" t="s">
        <v>36</v>
      </c>
      <c r="O88" s="2" t="s">
        <v>1017</v>
      </c>
      <c r="P88" s="2" t="s">
        <v>88</v>
      </c>
      <c r="Q88" s="2" t="s">
        <v>220</v>
      </c>
      <c r="R88" s="2" t="s">
        <v>3274</v>
      </c>
      <c r="S88" s="2" t="s">
        <v>37</v>
      </c>
      <c r="T88" s="2" t="s">
        <v>37</v>
      </c>
      <c r="U88" s="2" t="s">
        <v>76</v>
      </c>
      <c r="V88" s="3">
        <v>42240</v>
      </c>
      <c r="W88" s="2" t="s">
        <v>48</v>
      </c>
      <c r="X88" s="2" t="str">
        <f t="shared" si="4"/>
        <v>Cajamarquilla, A.H. Asentamiento Humano Santa Cruz De Cajamarquilla, Lurigancho, Lima, Lima, Perú</v>
      </c>
      <c r="Y88" s="22">
        <v>-11.9810269</v>
      </c>
      <c r="Z88" s="22">
        <v>-76.910819900000007</v>
      </c>
      <c r="AA88" s="33">
        <f t="shared" si="5"/>
        <v>2.1800000000000002</v>
      </c>
      <c r="AB88" s="2" t="str">
        <f t="shared" si="6"/>
        <v>🟢 Muy Cerca (0-5 km)</v>
      </c>
      <c r="AC88" s="2" t="str" cm="1">
        <f t="array" ref="AC88">INDEX(PARADEROS_VALIDOS!$C$2:$C$68,MATCH(MIN(6371*ACOS(COS(RADIANS(Y88))*COS(RADIANS(PARADEROS_VALIDOS!$E$2:$E$68))*COS(RADIANS(PARADEROS_VALIDOS!$F$2:$F$68)-RADIANS(Z88))+SIN(RADIANS(Y88))*SIN(RADIANS(PARADEROS_VALIDOS!$E$2:$E$68)))),6371*ACOS(COS(RADIANS(Y88))*COS(RADIANS(PARADEROS_VALIDOS!$E$2:$E$68))*COS(RADIANS(PARADEROS_VALIDOS!$F$2:$F$68)-RADIANS(Z88))+SIN(RADIANS(Y88))*SIN(RADIANS(PARADEROS_VALIDOS!$E$2:$E$68))),0))</f>
        <v>Paradero Arco San Antonio</v>
      </c>
      <c r="AD88" s="2" t="str">
        <f>IFERROR(INDEX(PARADEROS_VALIDOS!$A$2:$A$68,MATCH(AC88,PARADEROS_VALIDOS!$C$2:$C$68,0)),"")</f>
        <v>RUTA 2</v>
      </c>
      <c r="AE88" s="33" cm="1">
        <f t="array" ref="AE88">ROUND(MIN(6371*ACOS(COS(RADIANS(Y88))*COS(RADIANS(PARADEROS_VALIDOS!$E$2:$E$68))*COS(RADIANS(PARADEROS_VALIDOS!$F$2:$F$68)-RADIANS(Z88))+SIN(RADIANS(Y88))*SIN(RADIANS(PARADEROS_VALIDOS!$E$2:$E$68)))),2)</f>
        <v>1.62</v>
      </c>
      <c r="AF88" s="2" t="str">
        <f t="shared" si="7"/>
        <v>🟡 Cerca (1-3 km)</v>
      </c>
      <c r="AG88" s="2"/>
      <c r="AH88" s="2"/>
      <c r="AI88" s="51">
        <v>-11.997563</v>
      </c>
      <c r="AJ88" s="51">
        <v>-76.900062000000005</v>
      </c>
      <c r="AK88" s="2" t="str">
        <f>IFERROR(VLOOKUP(H88,tdcargo[],2,FALSE),"DESCONOCIDO")</f>
        <v>OPERARIO</v>
      </c>
    </row>
    <row r="89" spans="1:37" x14ac:dyDescent="0.35">
      <c r="A89" s="2" t="s">
        <v>3637</v>
      </c>
      <c r="B89" s="2" t="s">
        <v>779</v>
      </c>
      <c r="C89" s="2" t="s">
        <v>3638</v>
      </c>
      <c r="D89" s="2" t="s">
        <v>3639</v>
      </c>
      <c r="E89" s="2">
        <v>37</v>
      </c>
      <c r="F89" s="2" t="s">
        <v>3255</v>
      </c>
      <c r="G89" s="2">
        <v>20508114</v>
      </c>
      <c r="H89" s="2" t="s">
        <v>1971</v>
      </c>
      <c r="I89" s="3">
        <v>44858</v>
      </c>
      <c r="J89" s="2" t="s">
        <v>31</v>
      </c>
      <c r="K89" s="3" t="s">
        <v>1968</v>
      </c>
      <c r="L89" s="2" t="s">
        <v>3271</v>
      </c>
      <c r="M89" s="2" t="s">
        <v>3272</v>
      </c>
      <c r="N89" s="2" t="s">
        <v>2889</v>
      </c>
      <c r="O89" s="2" t="s">
        <v>1313</v>
      </c>
      <c r="P89" s="2" t="s">
        <v>55</v>
      </c>
      <c r="Q89" s="2" t="s">
        <v>1313</v>
      </c>
      <c r="R89" s="2" t="s">
        <v>3291</v>
      </c>
      <c r="S89" s="2" t="s">
        <v>37</v>
      </c>
      <c r="T89" s="2" t="s">
        <v>37</v>
      </c>
      <c r="U89" s="2" t="s">
        <v>57</v>
      </c>
      <c r="V89" s="3">
        <v>44858</v>
      </c>
      <c r="W89" s="2" t="s">
        <v>48</v>
      </c>
      <c r="X89" s="2" t="str">
        <f t="shared" si="4"/>
        <v>Prolongación Las Palmeras, Coo. Cooperativa Las Palmeras, Ate, Lima, Lima, Perú</v>
      </c>
      <c r="Y89" s="22">
        <v>-12.039498500000001</v>
      </c>
      <c r="Z89" s="22">
        <v>-76.904965000000004</v>
      </c>
      <c r="AA89" s="33">
        <f t="shared" si="5"/>
        <v>4.6900000000000004</v>
      </c>
      <c r="AB89" s="2" t="str">
        <f t="shared" si="6"/>
        <v>🟢 Muy Cerca (0-5 km)</v>
      </c>
      <c r="AC89" s="2" t="str" cm="1">
        <f t="array" ref="AC89">INDEX(PARADEROS_VALIDOS!$C$2:$C$68,MATCH(MIN(6371*ACOS(COS(RADIANS(Y89))*COS(RADIANS(PARADEROS_VALIDOS!$E$2:$E$68))*COS(RADIANS(PARADEROS_VALIDOS!$F$2:$F$68)-RADIANS(Z89))+SIN(RADIANS(Y89))*SIN(RADIANS(PARADEROS_VALIDOS!$E$2:$E$68)))),6371*ACOS(COS(RADIANS(Y89))*COS(RADIANS(PARADEROS_VALIDOS!$E$2:$E$68))*COS(RADIANS(PARADEROS_VALIDOS!$F$2:$F$68)-RADIANS(Z89))+SIN(RADIANS(Y89))*SIN(RADIANS(PARADEROS_VALIDOS!$E$2:$E$68))),0))</f>
        <v>Paradero Esperanza</v>
      </c>
      <c r="AD89" s="2" t="str">
        <f>IFERROR(INDEX(PARADEROS_VALIDOS!$A$2:$A$68,MATCH(AC89,PARADEROS_VALIDOS!$C$2:$C$68,0)),"")</f>
        <v>RUTA 4B</v>
      </c>
      <c r="AE89" s="33" cm="1">
        <f t="array" ref="AE89">ROUND(MIN(6371*ACOS(COS(RADIANS(Y89))*COS(RADIANS(PARADEROS_VALIDOS!$E$2:$E$68))*COS(RADIANS(PARADEROS_VALIDOS!$F$2:$F$68)-RADIANS(Z89))+SIN(RADIANS(Y89))*SIN(RADIANS(PARADEROS_VALIDOS!$E$2:$E$68)))),2)</f>
        <v>1.98</v>
      </c>
      <c r="AF89" s="2" t="str">
        <f t="shared" si="7"/>
        <v>🟡 Cerca (1-3 km)</v>
      </c>
      <c r="AG89" s="2"/>
      <c r="AH89" s="2"/>
      <c r="AI89" s="51">
        <v>-11.997563</v>
      </c>
      <c r="AJ89" s="51">
        <v>-76.900062000000005</v>
      </c>
      <c r="AK89" s="2" t="str">
        <f>IFERROR(VLOOKUP(H89,tdcargo[],2,FALSE),"DESCONOCIDO")</f>
        <v>OPERARIO</v>
      </c>
    </row>
    <row r="90" spans="1:37" x14ac:dyDescent="0.35">
      <c r="A90" s="2" t="s">
        <v>3640</v>
      </c>
      <c r="B90" s="2" t="s">
        <v>3641</v>
      </c>
      <c r="C90" s="2" t="s">
        <v>714</v>
      </c>
      <c r="D90" s="2" t="s">
        <v>468</v>
      </c>
      <c r="E90" s="2">
        <v>28</v>
      </c>
      <c r="F90" s="2" t="s">
        <v>3255</v>
      </c>
      <c r="G90" s="2">
        <v>20510503</v>
      </c>
      <c r="H90" s="2" t="s">
        <v>1971</v>
      </c>
      <c r="I90" s="3">
        <v>45537</v>
      </c>
      <c r="J90" s="2" t="s">
        <v>31</v>
      </c>
      <c r="K90" s="3" t="s">
        <v>1968</v>
      </c>
      <c r="L90" s="2" t="s">
        <v>3344</v>
      </c>
      <c r="M90" s="2" t="s">
        <v>3345</v>
      </c>
      <c r="N90" s="2" t="s">
        <v>82</v>
      </c>
      <c r="O90" s="2" t="s">
        <v>3642</v>
      </c>
      <c r="P90" s="2" t="s">
        <v>36</v>
      </c>
      <c r="Q90" s="2" t="s">
        <v>1751</v>
      </c>
      <c r="R90" s="2" t="s">
        <v>3274</v>
      </c>
      <c r="S90" s="2" t="s">
        <v>37</v>
      </c>
      <c r="T90" s="2" t="s">
        <v>37</v>
      </c>
      <c r="U90" s="2" t="s">
        <v>76</v>
      </c>
      <c r="V90" s="3">
        <v>45537</v>
      </c>
      <c r="W90" s="2" t="s">
        <v>48</v>
      </c>
      <c r="X90" s="2" t="str">
        <f t="shared" si="4"/>
        <v>Calle San Francisco- Las Colinas Las Colinas, Lurigancho, Lima, Lima, Perú</v>
      </c>
      <c r="Y90" s="22">
        <v>-11.9697941</v>
      </c>
      <c r="Z90" s="22">
        <v>-76.778375299999993</v>
      </c>
      <c r="AA90" s="33">
        <f t="shared" si="5"/>
        <v>13.59</v>
      </c>
      <c r="AB90" s="2" t="str">
        <f t="shared" si="6"/>
        <v>🟠 Moderada (10-20 km)</v>
      </c>
      <c r="AC90" s="2" t="str" cm="1">
        <f t="array" ref="AC90">INDEX(PARADEROS_VALIDOS!$C$2:$C$68,MATCH(MIN(6371*ACOS(COS(RADIANS(Y90))*COS(RADIANS(PARADEROS_VALIDOS!$E$2:$E$68))*COS(RADIANS(PARADEROS_VALIDOS!$F$2:$F$68)-RADIANS(Z90))+SIN(RADIANS(Y90))*SIN(RADIANS(PARADEROS_VALIDOS!$E$2:$E$68)))),6371*ACOS(COS(RADIANS(Y90))*COS(RADIANS(PARADEROS_VALIDOS!$E$2:$E$68))*COS(RADIANS(PARADEROS_VALIDOS!$F$2:$F$68)-RADIANS(Z90))+SIN(RADIANS(Y90))*SIN(RADIANS(PARADEROS_VALIDOS!$E$2:$E$68))),0))</f>
        <v>Mercado Ramiro Prialé</v>
      </c>
      <c r="AD90" s="2" t="str">
        <f>IFERROR(INDEX(PARADEROS_VALIDOS!$A$2:$A$68,MATCH(AC90,PARADEROS_VALIDOS!$C$2:$C$68,0)),"")</f>
        <v>RUTA 5A</v>
      </c>
      <c r="AE90" s="33" cm="1">
        <f t="array" ref="AE90">ROUND(MIN(6371*ACOS(COS(RADIANS(Y90))*COS(RADIANS(PARADEROS_VALIDOS!$E$2:$E$68))*COS(RADIANS(PARADEROS_VALIDOS!$F$2:$F$68)-RADIANS(Z90))+SIN(RADIANS(Y90))*SIN(RADIANS(PARADEROS_VALIDOS!$E$2:$E$68)))),2)</f>
        <v>0.86</v>
      </c>
      <c r="AF90" s="2" t="str">
        <f t="shared" si="7"/>
        <v>🟢 Muy Cerca (0-1 km)</v>
      </c>
      <c r="AG90" s="2"/>
      <c r="AH90" s="2"/>
      <c r="AI90" s="51">
        <v>-11.997563</v>
      </c>
      <c r="AJ90" s="51">
        <v>-76.900062000000005</v>
      </c>
      <c r="AK90" s="2" t="str">
        <f>IFERROR(VLOOKUP(H90,tdcargo[],2,FALSE),"DESCONOCIDO")</f>
        <v>OPERARIO</v>
      </c>
    </row>
    <row r="91" spans="1:37" x14ac:dyDescent="0.35">
      <c r="A91" s="2" t="s">
        <v>3643</v>
      </c>
      <c r="B91" s="2" t="s">
        <v>3644</v>
      </c>
      <c r="C91" s="2" t="s">
        <v>43</v>
      </c>
      <c r="D91" s="2" t="s">
        <v>3645</v>
      </c>
      <c r="E91" s="2">
        <v>43</v>
      </c>
      <c r="F91" s="2" t="s">
        <v>3255</v>
      </c>
      <c r="G91" s="2">
        <v>20511207</v>
      </c>
      <c r="H91" s="2" t="s">
        <v>1971</v>
      </c>
      <c r="I91" s="3">
        <v>45659</v>
      </c>
      <c r="J91" s="2" t="s">
        <v>31</v>
      </c>
      <c r="K91" s="3" t="s">
        <v>1968</v>
      </c>
      <c r="L91" s="2" t="s">
        <v>3256</v>
      </c>
      <c r="M91" s="2" t="s">
        <v>3257</v>
      </c>
      <c r="N91" s="2" t="s">
        <v>53</v>
      </c>
      <c r="O91" s="2" t="s">
        <v>2237</v>
      </c>
      <c r="P91" s="2" t="s">
        <v>36</v>
      </c>
      <c r="Q91" s="2" t="s">
        <v>3226</v>
      </c>
      <c r="R91" s="2" t="s">
        <v>3291</v>
      </c>
      <c r="S91" s="2" t="s">
        <v>37</v>
      </c>
      <c r="T91" s="2" t="s">
        <v>37</v>
      </c>
      <c r="U91" s="2" t="s">
        <v>57</v>
      </c>
      <c r="V91" s="3">
        <v>45659</v>
      </c>
      <c r="W91" s="2" t="s">
        <v>77</v>
      </c>
      <c r="X91" s="2" t="str">
        <f t="shared" si="4"/>
        <v>Jirón Ayacucho Pampachiri, Ate, Lima, Lima, Perú</v>
      </c>
      <c r="Y91" s="22">
        <v>-12.023711</v>
      </c>
      <c r="Z91" s="22">
        <v>-76.894016899999997</v>
      </c>
      <c r="AA91" s="33">
        <f t="shared" si="5"/>
        <v>2.98</v>
      </c>
      <c r="AB91" s="2" t="str">
        <f t="shared" si="6"/>
        <v>🟢 Muy Cerca (0-5 km)</v>
      </c>
      <c r="AC91" s="2" t="str" cm="1">
        <f t="array" ref="AC91">INDEX(PARADEROS_VALIDOS!$C$2:$C$68,MATCH(MIN(6371*ACOS(COS(RADIANS(Y91))*COS(RADIANS(PARADEROS_VALIDOS!$E$2:$E$68))*COS(RADIANS(PARADEROS_VALIDOS!$F$2:$F$68)-RADIANS(Z91))+SIN(RADIANS(Y91))*SIN(RADIANS(PARADEROS_VALIDOS!$E$2:$E$68)))),6371*ACOS(COS(RADIANS(Y91))*COS(RADIANS(PARADEROS_VALIDOS!$E$2:$E$68))*COS(RADIANS(PARADEROS_VALIDOS!$F$2:$F$68)-RADIANS(Z91))+SIN(RADIANS(Y91))*SIN(RADIANS(PARADEROS_VALIDOS!$E$2:$E$68))),0))</f>
        <v>Paradero Sta. Clara</v>
      </c>
      <c r="AD91" s="2" t="str">
        <f>IFERROR(INDEX(PARADEROS_VALIDOS!$A$2:$A$68,MATCH(AC91,PARADEROS_VALIDOS!$C$2:$C$68,0)),"")</f>
        <v>RUTA 5C</v>
      </c>
      <c r="AE91" s="33" cm="1">
        <f t="array" ref="AE91">ROUND(MIN(6371*ACOS(COS(RADIANS(Y91))*COS(RADIANS(PARADEROS_VALIDOS!$E$2:$E$68))*COS(RADIANS(PARADEROS_VALIDOS!$F$2:$F$68)-RADIANS(Z91))+SIN(RADIANS(Y91))*SIN(RADIANS(PARADEROS_VALIDOS!$E$2:$E$68)))),2)</f>
        <v>1.37</v>
      </c>
      <c r="AF91" s="2" t="str">
        <f t="shared" si="7"/>
        <v>🟡 Cerca (1-3 km)</v>
      </c>
      <c r="AG91" s="2"/>
      <c r="AH91" s="2"/>
      <c r="AI91" s="51">
        <v>-11.997563</v>
      </c>
      <c r="AJ91" s="51">
        <v>-76.900062000000005</v>
      </c>
      <c r="AK91" s="2" t="str">
        <f>IFERROR(VLOOKUP(H91,tdcargo[],2,FALSE),"DESCONOCIDO")</f>
        <v>OPERARIO</v>
      </c>
    </row>
    <row r="92" spans="1:37" x14ac:dyDescent="0.35">
      <c r="A92" s="2" t="s">
        <v>3646</v>
      </c>
      <c r="B92" s="2" t="s">
        <v>3647</v>
      </c>
      <c r="C92" s="2" t="s">
        <v>3648</v>
      </c>
      <c r="D92" s="2" t="s">
        <v>653</v>
      </c>
      <c r="E92" s="2">
        <v>22</v>
      </c>
      <c r="F92" s="2" t="s">
        <v>3255</v>
      </c>
      <c r="G92" s="2">
        <v>20515110</v>
      </c>
      <c r="H92" s="2" t="s">
        <v>2031</v>
      </c>
      <c r="I92" s="3">
        <v>44662</v>
      </c>
      <c r="J92" s="2" t="s">
        <v>31</v>
      </c>
      <c r="K92" s="3" t="s">
        <v>1968</v>
      </c>
      <c r="L92" s="2" t="s">
        <v>3336</v>
      </c>
      <c r="M92" s="2" t="s">
        <v>3337</v>
      </c>
      <c r="N92" s="2" t="s">
        <v>53</v>
      </c>
      <c r="O92" s="2" t="s">
        <v>2487</v>
      </c>
      <c r="P92" s="2" t="s">
        <v>609</v>
      </c>
      <c r="Q92" s="2" t="s">
        <v>3649</v>
      </c>
      <c r="R92" s="2" t="s">
        <v>3274</v>
      </c>
      <c r="S92" s="2" t="s">
        <v>37</v>
      </c>
      <c r="T92" s="2" t="s">
        <v>37</v>
      </c>
      <c r="U92" s="2" t="s">
        <v>76</v>
      </c>
      <c r="V92" s="3">
        <v>44662</v>
      </c>
      <c r="W92" s="2" t="s">
        <v>48</v>
      </c>
      <c r="X92" s="2" t="str">
        <f t="shared" si="4"/>
        <v>Jirón Progreso, P.J. Pueblo Joven Nicolã�S De Pierola, Lurigancho, Lima, Lima, Perú</v>
      </c>
      <c r="Y92" s="22">
        <v>-12.164983599999999</v>
      </c>
      <c r="Z92" s="22">
        <v>-76.946869599999999</v>
      </c>
      <c r="AA92" s="33">
        <f t="shared" si="5"/>
        <v>19.3</v>
      </c>
      <c r="AB92" s="2" t="str">
        <f t="shared" si="6"/>
        <v>🟠 Moderada (10-20 km)</v>
      </c>
      <c r="AC92" s="2" t="str" cm="1">
        <f t="array" ref="AC92">INDEX(PARADEROS_VALIDOS!$C$2:$C$68,MATCH(MIN(6371*ACOS(COS(RADIANS(Y92))*COS(RADIANS(PARADEROS_VALIDOS!$E$2:$E$68))*COS(RADIANS(PARADEROS_VALIDOS!$F$2:$F$68)-RADIANS(Z92))+SIN(RADIANS(Y92))*SIN(RADIANS(PARADEROS_VALIDOS!$E$2:$E$68)))),6371*ACOS(COS(RADIANS(Y92))*COS(RADIANS(PARADEROS_VALIDOS!$E$2:$E$68))*COS(RADIANS(PARADEROS_VALIDOS!$F$2:$F$68)-RADIANS(Z92))+SIN(RADIANS(Y92))*SIN(RADIANS(PARADEROS_VALIDOS!$E$2:$E$68))),0))</f>
        <v>Puente Alipio</v>
      </c>
      <c r="AD92" s="2" t="str">
        <f>IFERROR(INDEX(PARADEROS_VALIDOS!$A$2:$A$68,MATCH(AC92,PARADEROS_VALIDOS!$C$2:$C$68,0)),"")</f>
        <v>RUTA 7</v>
      </c>
      <c r="AE92" s="33" cm="1">
        <f t="array" ref="AE92">ROUND(MIN(6371*ACOS(COS(RADIANS(Y92))*COS(RADIANS(PARADEROS_VALIDOS!$E$2:$E$68))*COS(RADIANS(PARADEROS_VALIDOS!$F$2:$F$68)-RADIANS(Z92))+SIN(RADIANS(Y92))*SIN(RADIANS(PARADEROS_VALIDOS!$E$2:$E$68)))),2)</f>
        <v>3.54</v>
      </c>
      <c r="AF92" s="2" t="str">
        <f t="shared" si="7"/>
        <v>🟠 Moderada (3-5 km)</v>
      </c>
      <c r="AG92" s="2"/>
      <c r="AH92" s="2"/>
      <c r="AI92" s="51">
        <v>-11.997563</v>
      </c>
      <c r="AJ92" s="51">
        <v>-76.900062000000005</v>
      </c>
      <c r="AK92" s="2" t="str">
        <f>IFERROR(VLOOKUP(H92,tdcargo[],2,FALSE),"DESCONOCIDO")</f>
        <v>STAFF</v>
      </c>
    </row>
    <row r="93" spans="1:37" x14ac:dyDescent="0.35">
      <c r="A93" s="2" t="s">
        <v>3650</v>
      </c>
      <c r="B93" s="2" t="s">
        <v>3651</v>
      </c>
      <c r="C93" s="2" t="s">
        <v>3652</v>
      </c>
      <c r="D93" s="2" t="s">
        <v>3653</v>
      </c>
      <c r="E93" s="2">
        <v>39</v>
      </c>
      <c r="F93" s="2" t="s">
        <v>3255</v>
      </c>
      <c r="G93" s="2">
        <v>20507625</v>
      </c>
      <c r="H93" s="2" t="s">
        <v>2006</v>
      </c>
      <c r="I93" s="3">
        <v>44602</v>
      </c>
      <c r="J93" s="2" t="s">
        <v>31</v>
      </c>
      <c r="K93" s="3" t="s">
        <v>1968</v>
      </c>
      <c r="L93" s="2" t="s">
        <v>3654</v>
      </c>
      <c r="M93" s="2" t="s">
        <v>1968</v>
      </c>
      <c r="N93" s="2" t="s">
        <v>34</v>
      </c>
      <c r="O93" s="2" t="s">
        <v>3655</v>
      </c>
      <c r="P93" s="2" t="s">
        <v>186</v>
      </c>
      <c r="Q93" s="2" t="s">
        <v>2640</v>
      </c>
      <c r="R93" s="2" t="s">
        <v>3291</v>
      </c>
      <c r="S93" s="2" t="s">
        <v>37</v>
      </c>
      <c r="T93" s="2" t="s">
        <v>37</v>
      </c>
      <c r="U93" s="2" t="s">
        <v>57</v>
      </c>
      <c r="V93" s="3">
        <v>44602</v>
      </c>
      <c r="W93" s="2" t="s">
        <v>48</v>
      </c>
      <c r="X93" s="2" t="str">
        <f t="shared" si="4"/>
        <v>Avenida Metropolitana, Urb. Urbanización Ceres 2Da Etapa, Ate, Lima, Lima, Perú</v>
      </c>
      <c r="Y93" s="22">
        <v>-12.0302779</v>
      </c>
      <c r="Z93" s="22">
        <v>-76.9345955</v>
      </c>
      <c r="AA93" s="33">
        <f t="shared" si="5"/>
        <v>5.23</v>
      </c>
      <c r="AB93" s="2" t="str">
        <f t="shared" si="6"/>
        <v>🟡 Cerca (5-10 km)</v>
      </c>
      <c r="AC93" s="2" t="str" cm="1">
        <f t="array" ref="AC93">INDEX(PARADEROS_VALIDOS!$C$2:$C$68,MATCH(MIN(6371*ACOS(COS(RADIANS(Y93))*COS(RADIANS(PARADEROS_VALIDOS!$E$2:$E$68))*COS(RADIANS(PARADEROS_VALIDOS!$F$2:$F$68)-RADIANS(Z93))+SIN(RADIANS(Y93))*SIN(RADIANS(PARADEROS_VALIDOS!$E$2:$E$68)))),6371*ACOS(COS(RADIANS(Y93))*COS(RADIANS(PARADEROS_VALIDOS!$E$2:$E$68))*COS(RADIANS(PARADEROS_VALIDOS!$F$2:$F$68)-RADIANS(Z93))+SIN(RADIANS(Y93))*SIN(RADIANS(PARADEROS_VALIDOS!$E$2:$E$68))),0))</f>
        <v>Real Plaza Puruchuco (Grifo Primax)</v>
      </c>
      <c r="AD93" s="2" t="str">
        <f>IFERROR(INDEX(PARADEROS_VALIDOS!$A$2:$A$68,MATCH(AC93,PARADEROS_VALIDOS!$C$2:$C$68,0)),"")</f>
        <v>RUTA 4A</v>
      </c>
      <c r="AE93" s="33" cm="1">
        <f t="array" ref="AE93">ROUND(MIN(6371*ACOS(COS(RADIANS(Y93))*COS(RADIANS(PARADEROS_VALIDOS!$E$2:$E$68))*COS(RADIANS(PARADEROS_VALIDOS!$F$2:$F$68)-RADIANS(Z93))+SIN(RADIANS(Y93))*SIN(RADIANS(PARADEROS_VALIDOS!$E$2:$E$68)))),2)</f>
        <v>1.27</v>
      </c>
      <c r="AF93" s="2" t="str">
        <f t="shared" si="7"/>
        <v>🟡 Cerca (1-3 km)</v>
      </c>
      <c r="AG93" s="2"/>
      <c r="AH93" s="2"/>
      <c r="AI93" s="51">
        <v>-11.997563</v>
      </c>
      <c r="AJ93" s="51">
        <v>-76.900062000000005</v>
      </c>
      <c r="AK93" s="2" t="str">
        <f>IFERROR(VLOOKUP(H93,tdcargo[],2,FALSE),"DESCONOCIDO")</f>
        <v>OPERARIO</v>
      </c>
    </row>
    <row r="94" spans="1:37" x14ac:dyDescent="0.35">
      <c r="A94" s="2" t="s">
        <v>3656</v>
      </c>
      <c r="B94" s="2" t="s">
        <v>3657</v>
      </c>
      <c r="C94" s="2" t="s">
        <v>3652</v>
      </c>
      <c r="D94" s="2" t="s">
        <v>42</v>
      </c>
      <c r="E94" s="2">
        <v>24</v>
      </c>
      <c r="F94" s="2" t="s">
        <v>3255</v>
      </c>
      <c r="G94" s="2">
        <v>20507966</v>
      </c>
      <c r="H94" s="2" t="s">
        <v>2006</v>
      </c>
      <c r="I94" s="3">
        <v>45555</v>
      </c>
      <c r="J94" s="2" t="s">
        <v>31</v>
      </c>
      <c r="K94" s="3" t="s">
        <v>1968</v>
      </c>
      <c r="L94" s="2" t="s">
        <v>3654</v>
      </c>
      <c r="M94" s="2" t="s">
        <v>1968</v>
      </c>
      <c r="N94" s="2" t="s">
        <v>53</v>
      </c>
      <c r="O94" s="2" t="s">
        <v>3534</v>
      </c>
      <c r="P94" s="2" t="s">
        <v>186</v>
      </c>
      <c r="Q94" s="2" t="s">
        <v>1990</v>
      </c>
      <c r="R94" s="2" t="s">
        <v>3260</v>
      </c>
      <c r="S94" s="2" t="s">
        <v>37</v>
      </c>
      <c r="T94" s="2" t="s">
        <v>37</v>
      </c>
      <c r="U94" s="2" t="s">
        <v>38</v>
      </c>
      <c r="V94" s="3">
        <v>45555</v>
      </c>
      <c r="W94" s="2" t="s">
        <v>48</v>
      </c>
      <c r="X94" s="2" t="str">
        <f t="shared" si="4"/>
        <v>Jirón Domingo Espinar, Urb. Urbanización Mariscal Caceres, San Juan De Lurigancho, Lima, Lima, Perú</v>
      </c>
      <c r="Y94" s="22">
        <v>-11.9571147</v>
      </c>
      <c r="Z94" s="22">
        <v>-76.979417499999997</v>
      </c>
      <c r="AA94" s="33">
        <f t="shared" si="5"/>
        <v>9.73</v>
      </c>
      <c r="AB94" s="2" t="str">
        <f t="shared" si="6"/>
        <v>🟡 Cerca (5-10 km)</v>
      </c>
      <c r="AC94" s="2" t="str" cm="1">
        <f t="array" ref="AC94">INDEX(PARADEROS_VALIDOS!$C$2:$C$68,MATCH(MIN(6371*ACOS(COS(RADIANS(Y94))*COS(RADIANS(PARADEROS_VALIDOS!$E$2:$E$68))*COS(RADIANS(PARADEROS_VALIDOS!$F$2:$F$68)-RADIANS(Z94))+SIN(RADIANS(Y94))*SIN(RADIANS(PARADEROS_VALIDOS!$E$2:$E$68)))),6371*ACOS(COS(RADIANS(Y94))*COS(RADIANS(PARADEROS_VALIDOS!$E$2:$E$68))*COS(RADIANS(PARADEROS_VALIDOS!$F$2:$F$68)-RADIANS(Z94))+SIN(RADIANS(Y94))*SIN(RADIANS(PARADEROS_VALIDOS!$E$2:$E$68))),0))</f>
        <v>Paradero San Martin</v>
      </c>
      <c r="AD94" s="2" t="str">
        <f>IFERROR(INDEX(PARADEROS_VALIDOS!$A$2:$A$68,MATCH(AC94,PARADEROS_VALIDOS!$C$2:$C$68,0)),"")</f>
        <v>RUTA 6A</v>
      </c>
      <c r="AE94" s="33" cm="1">
        <f t="array" ref="AE94">ROUND(MIN(6371*ACOS(COS(RADIANS(Y94))*COS(RADIANS(PARADEROS_VALIDOS!$E$2:$E$68))*COS(RADIANS(PARADEROS_VALIDOS!$F$2:$F$68)-RADIANS(Z94))+SIN(RADIANS(Y94))*SIN(RADIANS(PARADEROS_VALIDOS!$E$2:$E$68)))),2)</f>
        <v>3.01</v>
      </c>
      <c r="AF94" s="2" t="str">
        <f t="shared" si="7"/>
        <v>🟠 Moderada (3-5 km)</v>
      </c>
      <c r="AG94" s="2"/>
      <c r="AH94" s="2"/>
      <c r="AI94" s="51">
        <v>-11.997563</v>
      </c>
      <c r="AJ94" s="51">
        <v>-76.900062000000005</v>
      </c>
      <c r="AK94" s="2" t="str">
        <f>IFERROR(VLOOKUP(H94,tdcargo[],2,FALSE),"DESCONOCIDO")</f>
        <v>OPERARIO</v>
      </c>
    </row>
    <row r="95" spans="1:37" x14ac:dyDescent="0.35">
      <c r="A95" s="2" t="s">
        <v>3658</v>
      </c>
      <c r="B95" s="2" t="s">
        <v>3659</v>
      </c>
      <c r="C95" s="2" t="s">
        <v>273</v>
      </c>
      <c r="D95" s="2" t="s">
        <v>3660</v>
      </c>
      <c r="E95" s="2">
        <v>23</v>
      </c>
      <c r="F95" s="2" t="s">
        <v>3255</v>
      </c>
      <c r="G95" s="2">
        <v>20508005</v>
      </c>
      <c r="H95" s="2" t="s">
        <v>1971</v>
      </c>
      <c r="I95" s="3">
        <v>46037</v>
      </c>
      <c r="J95" s="2" t="s">
        <v>31</v>
      </c>
      <c r="K95" s="3" t="s">
        <v>1968</v>
      </c>
      <c r="L95" s="2" t="s">
        <v>3344</v>
      </c>
      <c r="M95" s="2" t="s">
        <v>3345</v>
      </c>
      <c r="N95" s="2" t="s">
        <v>148</v>
      </c>
      <c r="O95" s="2" t="s">
        <v>3661</v>
      </c>
      <c r="P95" s="2" t="s">
        <v>88</v>
      </c>
      <c r="Q95" s="2" t="s">
        <v>3662</v>
      </c>
      <c r="R95" s="2" t="s">
        <v>3663</v>
      </c>
      <c r="S95" s="2" t="s">
        <v>37</v>
      </c>
      <c r="T95" s="2" t="s">
        <v>37</v>
      </c>
      <c r="U95" s="2" t="s">
        <v>347</v>
      </c>
      <c r="V95" s="3">
        <v>46037</v>
      </c>
      <c r="W95" s="2" t="s">
        <v>135</v>
      </c>
      <c r="X95" s="2" t="str">
        <f t="shared" si="4"/>
        <v>Pasaje Cahuide, A.H. Asentamiento Humano SIETE VENTANAS, El Agustino, Lima, Lima, Perú</v>
      </c>
      <c r="Y95" s="22">
        <v>-12.0379475</v>
      </c>
      <c r="Z95" s="22">
        <v>-76.989550699999995</v>
      </c>
      <c r="AA95" s="33">
        <f t="shared" si="5"/>
        <v>10.72</v>
      </c>
      <c r="AB95" s="2" t="str">
        <f t="shared" si="6"/>
        <v>🟠 Moderada (10-20 km)</v>
      </c>
      <c r="AC95" s="2" t="str" cm="1">
        <f t="array" ref="AC95">INDEX(PARADEROS_VALIDOS!$C$2:$C$68,MATCH(MIN(6371*ACOS(COS(RADIANS(Y95))*COS(RADIANS(PARADEROS_VALIDOS!$E$2:$E$68))*COS(RADIANS(PARADEROS_VALIDOS!$F$2:$F$68)-RADIANS(Z95))+SIN(RADIANS(Y95))*SIN(RADIANS(PARADEROS_VALIDOS!$E$2:$E$68)))),6371*ACOS(COS(RADIANS(Y95))*COS(RADIANS(PARADEROS_VALIDOS!$E$2:$E$68))*COS(RADIANS(PARADEROS_VALIDOS!$F$2:$F$68)-RADIANS(Z95))+SIN(RADIANS(Y95))*SIN(RADIANS(PARADEROS_VALIDOS!$E$2:$E$68))),0))</f>
        <v>Paradero Villa Hermosa</v>
      </c>
      <c r="AD95" s="2" t="str">
        <f>IFERROR(INDEX(PARADEROS_VALIDOS!$A$2:$A$68,MATCH(AC95,PARADEROS_VALIDOS!$C$2:$C$68,0)),"")</f>
        <v>RUTA 3</v>
      </c>
      <c r="AE95" s="33" cm="1">
        <f t="array" ref="AE95">ROUND(MIN(6371*ACOS(COS(RADIANS(Y95))*COS(RADIANS(PARADEROS_VALIDOS!$E$2:$E$68))*COS(RADIANS(PARADEROS_VALIDOS!$F$2:$F$68)-RADIANS(Z95))+SIN(RADIANS(Y95))*SIN(RADIANS(PARADEROS_VALIDOS!$E$2:$E$68)))),2)</f>
        <v>0.56000000000000005</v>
      </c>
      <c r="AF95" s="2" t="str">
        <f t="shared" si="7"/>
        <v>🟢 Muy Cerca (0-1 km)</v>
      </c>
      <c r="AG95" s="2"/>
      <c r="AH95" s="2"/>
      <c r="AI95" s="51">
        <v>-11.997563</v>
      </c>
      <c r="AJ95" s="51">
        <v>-76.900062000000005</v>
      </c>
      <c r="AK95" s="2" t="str">
        <f>IFERROR(VLOOKUP(H95,tdcargo[],2,FALSE),"DESCONOCIDO")</f>
        <v>OPERARIO</v>
      </c>
    </row>
    <row r="96" spans="1:37" x14ac:dyDescent="0.35">
      <c r="A96" s="2" t="s">
        <v>3664</v>
      </c>
      <c r="B96" s="2" t="s">
        <v>3665</v>
      </c>
      <c r="C96" s="2" t="s">
        <v>241</v>
      </c>
      <c r="D96" s="2" t="s">
        <v>3666</v>
      </c>
      <c r="E96" s="2">
        <v>25</v>
      </c>
      <c r="F96" s="2" t="s">
        <v>3255</v>
      </c>
      <c r="G96" s="2">
        <v>20512186</v>
      </c>
      <c r="H96" s="2" t="s">
        <v>2291</v>
      </c>
      <c r="I96" s="3">
        <v>46097</v>
      </c>
      <c r="J96" s="2" t="s">
        <v>31</v>
      </c>
      <c r="K96" s="3" t="s">
        <v>1968</v>
      </c>
      <c r="L96" s="2" t="s">
        <v>3667</v>
      </c>
      <c r="M96" s="2" t="s">
        <v>3668</v>
      </c>
      <c r="N96" s="2" t="s">
        <v>36</v>
      </c>
      <c r="O96" s="2" t="s">
        <v>3669</v>
      </c>
      <c r="P96" s="2" t="s">
        <v>36</v>
      </c>
      <c r="Q96" s="2" t="s">
        <v>3670</v>
      </c>
      <c r="R96" s="2" t="s">
        <v>3671</v>
      </c>
      <c r="S96" s="2" t="s">
        <v>37</v>
      </c>
      <c r="T96" s="2" t="s">
        <v>37</v>
      </c>
      <c r="U96" s="2" t="s">
        <v>1372</v>
      </c>
      <c r="V96" s="3">
        <v>46097</v>
      </c>
      <c r="W96" s="2" t="s">
        <v>135</v>
      </c>
      <c r="X96" s="2" t="str">
        <f t="shared" si="4"/>
        <v>Emancipacion SURCO, Santiago De Surco, Lima, Lima, Perú</v>
      </c>
      <c r="Y96" s="22">
        <v>-12.103987500000001</v>
      </c>
      <c r="Z96" s="22">
        <v>-76.974996399999995</v>
      </c>
      <c r="AA96" s="33">
        <f t="shared" si="5"/>
        <v>14.37</v>
      </c>
      <c r="AB96" s="2" t="str">
        <f t="shared" si="6"/>
        <v>🟠 Moderada (10-20 km)</v>
      </c>
      <c r="AC96" s="2" t="str" cm="1">
        <f t="array" ref="AC96">INDEX(PARADEROS_VALIDOS!$C$2:$C$68,MATCH(MIN(6371*ACOS(COS(RADIANS(Y96))*COS(RADIANS(PARADEROS_VALIDOS!$E$2:$E$68))*COS(RADIANS(PARADEROS_VALIDOS!$F$2:$F$68)-RADIANS(Z96))+SIN(RADIANS(Y96))*SIN(RADIANS(PARADEROS_VALIDOS!$E$2:$E$68)))),6371*ACOS(COS(RADIANS(Y96))*COS(RADIANS(PARADEROS_VALIDOS!$E$2:$E$68))*COS(RADIANS(PARADEROS_VALIDOS!$F$2:$F$68)-RADIANS(Z96))+SIN(RADIANS(Y96))*SIN(RADIANS(PARADEROS_VALIDOS!$E$2:$E$68))),0))</f>
        <v>Paradero Pte. Peatonal Primavera</v>
      </c>
      <c r="AD96" s="2" t="str">
        <f>IFERROR(INDEX(PARADEROS_VALIDOS!$A$2:$A$68,MATCH(AC96,PARADEROS_VALIDOS!$C$2:$C$68,0)),"")</f>
        <v>RUTA 8</v>
      </c>
      <c r="AE96" s="33" cm="1">
        <f t="array" ref="AE96">ROUND(MIN(6371*ACOS(COS(RADIANS(Y96))*COS(RADIANS(PARADEROS_VALIDOS!$E$2:$E$68))*COS(RADIANS(PARADEROS_VALIDOS!$F$2:$F$68)-RADIANS(Z96))+SIN(RADIANS(Y96))*SIN(RADIANS(PARADEROS_VALIDOS!$E$2:$E$68)))),2)</f>
        <v>0.76</v>
      </c>
      <c r="AF96" s="2" t="str">
        <f t="shared" si="7"/>
        <v>🟢 Muy Cerca (0-1 km)</v>
      </c>
      <c r="AG96" s="2"/>
      <c r="AH96" s="2"/>
      <c r="AI96" s="51">
        <v>-11.997563</v>
      </c>
      <c r="AJ96" s="51">
        <v>-76.900062000000005</v>
      </c>
      <c r="AK96" s="2" t="str">
        <f>IFERROR(VLOOKUP(H96,tdcargo[],2,FALSE),"DESCONOCIDO")</f>
        <v>STAFF</v>
      </c>
    </row>
    <row r="97" spans="1:37" x14ac:dyDescent="0.35">
      <c r="A97" s="2" t="s">
        <v>3607</v>
      </c>
      <c r="B97" s="2" t="s">
        <v>3672</v>
      </c>
      <c r="C97" s="2" t="s">
        <v>3673</v>
      </c>
      <c r="D97" s="2" t="s">
        <v>629</v>
      </c>
      <c r="E97" s="2">
        <v>35</v>
      </c>
      <c r="F97" s="2" t="s">
        <v>3255</v>
      </c>
      <c r="G97" s="2">
        <v>20507972</v>
      </c>
      <c r="H97" s="2" t="s">
        <v>689</v>
      </c>
      <c r="I97" s="3">
        <v>44231</v>
      </c>
      <c r="J97" s="2" t="s">
        <v>31</v>
      </c>
      <c r="K97" s="3" t="s">
        <v>1968</v>
      </c>
      <c r="L97" s="2" t="s">
        <v>328</v>
      </c>
      <c r="M97" s="2" t="s">
        <v>329</v>
      </c>
      <c r="N97" s="2" t="s">
        <v>53</v>
      </c>
      <c r="O97" s="2" t="s">
        <v>3674</v>
      </c>
      <c r="P97" s="2" t="s">
        <v>36</v>
      </c>
      <c r="Q97" s="2" t="s">
        <v>46</v>
      </c>
      <c r="R97" s="2" t="s">
        <v>3675</v>
      </c>
      <c r="S97" s="2" t="s">
        <v>37</v>
      </c>
      <c r="T97" s="2" t="s">
        <v>37</v>
      </c>
      <c r="U97" s="2" t="s">
        <v>127</v>
      </c>
      <c r="V97" s="3">
        <v>44231</v>
      </c>
      <c r="W97" s="2" t="s">
        <v>48</v>
      </c>
      <c r="X97" s="2" t="str">
        <f t="shared" si="4"/>
        <v>Jirón Napo, Brena, Lima, Lima, Perú</v>
      </c>
      <c r="Y97" s="22">
        <v>-12.0595988</v>
      </c>
      <c r="Z97" s="22">
        <v>-77.054437399999998</v>
      </c>
      <c r="AA97" s="33">
        <f t="shared" si="5"/>
        <v>18.149999999999999</v>
      </c>
      <c r="AB97" s="2" t="str">
        <f t="shared" si="6"/>
        <v>🟠 Moderada (10-20 km)</v>
      </c>
      <c r="AC97" s="2" t="str" cm="1">
        <f t="array" ref="AC97">INDEX(PARADEROS_VALIDOS!$C$2:$C$68,MATCH(MIN(6371*ACOS(COS(RADIANS(Y97))*COS(RADIANS(PARADEROS_VALIDOS!$E$2:$E$68))*COS(RADIANS(PARADEROS_VALIDOS!$F$2:$F$68)-RADIANS(Z97))+SIN(RADIANS(Y97))*SIN(RADIANS(PARADEROS_VALIDOS!$E$2:$E$68)))),6371*ACOS(COS(RADIANS(Y97))*COS(RADIANS(PARADEROS_VALIDOS!$E$2:$E$68))*COS(RADIANS(PARADEROS_VALIDOS!$F$2:$F$68)-RADIANS(Z97))+SIN(RADIANS(Y97))*SIN(RADIANS(PARADEROS_VALIDOS!$E$2:$E$68))),0))</f>
        <v>Paradero Rompemuelle</v>
      </c>
      <c r="AD97" s="2" t="str">
        <f>IFERROR(INDEX(PARADEROS_VALIDOS!$A$2:$A$68,MATCH(AC97,PARADEROS_VALIDOS!$C$2:$C$68,0)),"")</f>
        <v>RUTA 3</v>
      </c>
      <c r="AE97" s="33" cm="1">
        <f t="array" ref="AE97">ROUND(MIN(6371*ACOS(COS(RADIANS(Y97))*COS(RADIANS(PARADEROS_VALIDOS!$E$2:$E$68))*COS(RADIANS(PARADEROS_VALIDOS!$F$2:$F$68)-RADIANS(Z97))+SIN(RADIANS(Y97))*SIN(RADIANS(PARADEROS_VALIDOS!$E$2:$E$68)))),2)</f>
        <v>1.89</v>
      </c>
      <c r="AF97" s="2" t="str">
        <f t="shared" si="7"/>
        <v>🟡 Cerca (1-3 km)</v>
      </c>
      <c r="AG97" s="2"/>
      <c r="AH97" s="2"/>
      <c r="AI97" s="51">
        <v>-11.997563</v>
      </c>
      <c r="AJ97" s="51">
        <v>-76.900062000000005</v>
      </c>
      <c r="AK97" s="2" t="str">
        <f>IFERROR(VLOOKUP(H97,tdcargo[],2,FALSE),"DESCONOCIDO")</f>
        <v>STAFF</v>
      </c>
    </row>
    <row r="98" spans="1:37" x14ac:dyDescent="0.35">
      <c r="A98" s="2" t="s">
        <v>3676</v>
      </c>
      <c r="B98" s="2" t="s">
        <v>3677</v>
      </c>
      <c r="C98" s="2" t="s">
        <v>3678</v>
      </c>
      <c r="D98" s="2" t="s">
        <v>3679</v>
      </c>
      <c r="E98" s="2">
        <v>21</v>
      </c>
      <c r="F98" s="2" t="s">
        <v>3255</v>
      </c>
      <c r="G98" s="2">
        <v>20511223</v>
      </c>
      <c r="H98" s="2" t="s">
        <v>1971</v>
      </c>
      <c r="I98" s="3">
        <v>45901</v>
      </c>
      <c r="J98" s="2" t="s">
        <v>31</v>
      </c>
      <c r="K98" s="3" t="s">
        <v>1968</v>
      </c>
      <c r="L98" s="2" t="s">
        <v>3299</v>
      </c>
      <c r="M98" s="2" t="s">
        <v>3300</v>
      </c>
      <c r="N98" s="2" t="s">
        <v>82</v>
      </c>
      <c r="O98" s="2" t="s">
        <v>3680</v>
      </c>
      <c r="P98" s="2" t="s">
        <v>36</v>
      </c>
      <c r="Q98" s="2" t="s">
        <v>3681</v>
      </c>
      <c r="R98" s="2" t="s">
        <v>3682</v>
      </c>
      <c r="S98" s="2" t="s">
        <v>37</v>
      </c>
      <c r="T98" s="2" t="s">
        <v>37</v>
      </c>
      <c r="U98" s="2" t="s">
        <v>686</v>
      </c>
      <c r="V98" s="3">
        <v>45901</v>
      </c>
      <c r="W98" s="2" t="s">
        <v>39</v>
      </c>
      <c r="X98" s="2" t="str">
        <f t="shared" si="4"/>
        <v>Calle Los Condominios, Condominio Club Casas Del Valle El Pino, Carabayllo, Lima, Lima, Perú</v>
      </c>
      <c r="Y98" s="22">
        <v>-11.856235099999999</v>
      </c>
      <c r="Z98" s="22">
        <v>-77.044759999999997</v>
      </c>
      <c r="AA98" s="33">
        <f t="shared" si="5"/>
        <v>22.24</v>
      </c>
      <c r="AB98" s="2" t="str">
        <f t="shared" si="6"/>
        <v>🔴 Lejos (&gt;20 km)</v>
      </c>
      <c r="AC98" s="2" t="str" cm="1">
        <f t="array" ref="AC98">INDEX(PARADEROS_VALIDOS!$C$2:$C$68,MATCH(MIN(6371*ACOS(COS(RADIANS(Y98))*COS(RADIANS(PARADEROS_VALIDOS!$E$2:$E$68))*COS(RADIANS(PARADEROS_VALIDOS!$F$2:$F$68)-RADIANS(Z98))+SIN(RADIANS(Y98))*SIN(RADIANS(PARADEROS_VALIDOS!$E$2:$E$68)))),6371*ACOS(COS(RADIANS(Y98))*COS(RADIANS(PARADEROS_VALIDOS!$E$2:$E$68))*COS(RADIANS(PARADEROS_VALIDOS!$F$2:$F$68)-RADIANS(Z98))+SIN(RADIANS(Y98))*SIN(RADIANS(PARADEROS_VALIDOS!$E$2:$E$68))),0))</f>
        <v>Paradero Cesar Vallejo</v>
      </c>
      <c r="AD98" s="2" t="str">
        <f>IFERROR(INDEX(PARADEROS_VALIDOS!$A$2:$A$68,MATCH(AC98,PARADEROS_VALIDOS!$C$2:$C$68,0)),"")</f>
        <v>RUTA 4B</v>
      </c>
      <c r="AE98" s="33" cm="1">
        <f t="array" ref="AE98">ROUND(MIN(6371*ACOS(COS(RADIANS(Y98))*COS(RADIANS(PARADEROS_VALIDOS!$E$2:$E$68))*COS(RADIANS(PARADEROS_VALIDOS!$F$2:$F$68)-RADIANS(Z98))+SIN(RADIANS(Y98))*SIN(RADIANS(PARADEROS_VALIDOS!$E$2:$E$68)))),2)</f>
        <v>7.16</v>
      </c>
      <c r="AF98" s="2" t="str">
        <f t="shared" si="7"/>
        <v>🔴 Lejos (&gt;5 km)</v>
      </c>
      <c r="AG98" s="2"/>
      <c r="AH98" s="2"/>
      <c r="AI98" s="51">
        <v>-11.997563</v>
      </c>
      <c r="AJ98" s="51">
        <v>-76.900062000000005</v>
      </c>
      <c r="AK98" s="2" t="str">
        <f>IFERROR(VLOOKUP(H98,tdcargo[],2,FALSE),"DESCONOCIDO")</f>
        <v>OPERARIO</v>
      </c>
    </row>
    <row r="99" spans="1:37" x14ac:dyDescent="0.35">
      <c r="A99" s="2" t="s">
        <v>3683</v>
      </c>
      <c r="B99" s="2" t="s">
        <v>3684</v>
      </c>
      <c r="C99" s="2" t="s">
        <v>3685</v>
      </c>
      <c r="D99" s="2" t="s">
        <v>3686</v>
      </c>
      <c r="E99" s="2">
        <v>23</v>
      </c>
      <c r="F99" s="2" t="s">
        <v>3255</v>
      </c>
      <c r="G99" s="2">
        <v>20511214</v>
      </c>
      <c r="H99" s="2" t="s">
        <v>1971</v>
      </c>
      <c r="I99" s="3">
        <v>46062</v>
      </c>
      <c r="J99" s="2" t="s">
        <v>31</v>
      </c>
      <c r="K99" s="3" t="s">
        <v>1968</v>
      </c>
      <c r="L99" s="2" t="s">
        <v>3256</v>
      </c>
      <c r="M99" s="2" t="s">
        <v>3257</v>
      </c>
      <c r="N99" s="2" t="s">
        <v>34</v>
      </c>
      <c r="O99" s="2" t="s">
        <v>803</v>
      </c>
      <c r="P99" s="2" t="s">
        <v>36</v>
      </c>
      <c r="Q99" s="2" t="s">
        <v>3687</v>
      </c>
      <c r="R99" s="2" t="s">
        <v>3260</v>
      </c>
      <c r="S99" s="2" t="s">
        <v>37</v>
      </c>
      <c r="T99" s="2" t="s">
        <v>37</v>
      </c>
      <c r="U99" s="2" t="s">
        <v>38</v>
      </c>
      <c r="V99" s="3">
        <v>46062</v>
      </c>
      <c r="W99" s="2" t="s">
        <v>135</v>
      </c>
      <c r="X99" s="2" t="str">
        <f t="shared" si="4"/>
        <v>Avenida Santa Rosa VILLA FLORES, San Juan De Lurigancho, Lima, Lima, Perú</v>
      </c>
      <c r="Y99" s="22">
        <v>-12.0032526</v>
      </c>
      <c r="Z99" s="22">
        <v>-76.998761500000001</v>
      </c>
      <c r="AA99" s="33">
        <f t="shared" si="5"/>
        <v>10.75</v>
      </c>
      <c r="AB99" s="2" t="str">
        <f t="shared" si="6"/>
        <v>🟠 Moderada (10-20 km)</v>
      </c>
      <c r="AC99" s="2" t="str" cm="1">
        <f t="array" ref="AC99">INDEX(PARADEROS_VALIDOS!$C$2:$C$68,MATCH(MIN(6371*ACOS(COS(RADIANS(Y99))*COS(RADIANS(PARADEROS_VALIDOS!$E$2:$E$68))*COS(RADIANS(PARADEROS_VALIDOS!$F$2:$F$68)-RADIANS(Z99))+SIN(RADIANS(Y99))*SIN(RADIANS(PARADEROS_VALIDOS!$E$2:$E$68)))),6371*ACOS(COS(RADIANS(Y99))*COS(RADIANS(PARADEROS_VALIDOS!$E$2:$E$68))*COS(RADIANS(PARADEROS_VALIDOS!$F$2:$F$68)-RADIANS(Z99))+SIN(RADIANS(Y99))*SIN(RADIANS(PARADEROS_VALIDOS!$E$2:$E$68))),0))</f>
        <v>Paradero Metro Hacienda</v>
      </c>
      <c r="AD99" s="2" t="str">
        <f>IFERROR(INDEX(PARADEROS_VALIDOS!$A$2:$A$68,MATCH(AC99,PARADEROS_VALIDOS!$C$2:$C$68,0)),"")</f>
        <v>RUTA 6B</v>
      </c>
      <c r="AE99" s="33" cm="1">
        <f t="array" ref="AE99">ROUND(MIN(6371*ACOS(COS(RADIANS(Y99))*COS(RADIANS(PARADEROS_VALIDOS!$E$2:$E$68))*COS(RADIANS(PARADEROS_VALIDOS!$F$2:$F$68)-RADIANS(Z99))+SIN(RADIANS(Y99))*SIN(RADIANS(PARADEROS_VALIDOS!$E$2:$E$68)))),2)</f>
        <v>0.94</v>
      </c>
      <c r="AF99" s="2" t="str">
        <f t="shared" si="7"/>
        <v>🟢 Muy Cerca (0-1 km)</v>
      </c>
      <c r="AG99" s="2"/>
      <c r="AH99" s="2"/>
      <c r="AI99" s="51">
        <v>-11.997563</v>
      </c>
      <c r="AJ99" s="51">
        <v>-76.900062000000005</v>
      </c>
      <c r="AK99" s="2" t="str">
        <f>IFERROR(VLOOKUP(H99,tdcargo[],2,FALSE),"DESCONOCIDO")</f>
        <v>OPERARIO</v>
      </c>
    </row>
    <row r="100" spans="1:37" x14ac:dyDescent="0.35">
      <c r="A100" s="2" t="s">
        <v>3688</v>
      </c>
      <c r="B100" s="2" t="s">
        <v>3689</v>
      </c>
      <c r="C100" s="2" t="s">
        <v>1234</v>
      </c>
      <c r="D100" s="2" t="s">
        <v>1518</v>
      </c>
      <c r="E100" s="2">
        <v>30</v>
      </c>
      <c r="F100" s="2" t="s">
        <v>3255</v>
      </c>
      <c r="G100" s="2">
        <v>20508147</v>
      </c>
      <c r="H100" s="2" t="s">
        <v>1971</v>
      </c>
      <c r="I100" s="3">
        <v>45138</v>
      </c>
      <c r="J100" s="2" t="s">
        <v>31</v>
      </c>
      <c r="K100" s="3" t="s">
        <v>1968</v>
      </c>
      <c r="L100" s="2" t="s">
        <v>3690</v>
      </c>
      <c r="M100" s="2" t="s">
        <v>1968</v>
      </c>
      <c r="N100" s="2" t="s">
        <v>82</v>
      </c>
      <c r="O100" s="2" t="s">
        <v>3691</v>
      </c>
      <c r="P100" s="2" t="s">
        <v>36</v>
      </c>
      <c r="Q100" s="2" t="s">
        <v>394</v>
      </c>
      <c r="R100" s="2" t="s">
        <v>3291</v>
      </c>
      <c r="S100" s="2" t="s">
        <v>37</v>
      </c>
      <c r="T100" s="2" t="s">
        <v>37</v>
      </c>
      <c r="U100" s="2" t="s">
        <v>57</v>
      </c>
      <c r="V100" s="3">
        <v>45138</v>
      </c>
      <c r="W100" s="2" t="s">
        <v>48</v>
      </c>
      <c r="X100" s="2" t="str">
        <f t="shared" si="4"/>
        <v>Calle Asoc De Vivienda Raucana Raucana, Ate, Lima, Lima, Perú</v>
      </c>
      <c r="Y100" s="22">
        <v>-12.030068699999999</v>
      </c>
      <c r="Z100" s="22">
        <v>-76.903564599999996</v>
      </c>
      <c r="AA100" s="33">
        <f t="shared" si="5"/>
        <v>3.63</v>
      </c>
      <c r="AB100" s="2" t="str">
        <f t="shared" si="6"/>
        <v>🟢 Muy Cerca (0-5 km)</v>
      </c>
      <c r="AC100" s="2" t="str" cm="1">
        <f t="array" ref="AC100">INDEX(PARADEROS_VALIDOS!$C$2:$C$68,MATCH(MIN(6371*ACOS(COS(RADIANS(Y100))*COS(RADIANS(PARADEROS_VALIDOS!$E$2:$E$68))*COS(RADIANS(PARADEROS_VALIDOS!$F$2:$F$68)-RADIANS(Z100))+SIN(RADIANS(Y100))*SIN(RADIANS(PARADEROS_VALIDOS!$E$2:$E$68)))),6371*ACOS(COS(RADIANS(Y100))*COS(RADIANS(PARADEROS_VALIDOS!$E$2:$E$68))*COS(RADIANS(PARADEROS_VALIDOS!$F$2:$F$68)-RADIANS(Z100))+SIN(RADIANS(Y100))*SIN(RADIANS(PARADEROS_VALIDOS!$E$2:$E$68))),0))</f>
        <v>Paradero Esperanza</v>
      </c>
      <c r="AD100" s="2" t="str">
        <f>IFERROR(INDEX(PARADEROS_VALIDOS!$A$2:$A$68,MATCH(AC100,PARADEROS_VALIDOS!$C$2:$C$68,0)),"")</f>
        <v>RUTA 4B</v>
      </c>
      <c r="AE100" s="33" cm="1">
        <f t="array" ref="AE100">ROUND(MIN(6371*ACOS(COS(RADIANS(Y100))*COS(RADIANS(PARADEROS_VALIDOS!$E$2:$E$68))*COS(RADIANS(PARADEROS_VALIDOS!$F$2:$F$68)-RADIANS(Z100))+SIN(RADIANS(Y100))*SIN(RADIANS(PARADEROS_VALIDOS!$E$2:$E$68)))),2)</f>
        <v>0.99</v>
      </c>
      <c r="AF100" s="2" t="str">
        <f t="shared" si="7"/>
        <v>🟢 Muy Cerca (0-1 km)</v>
      </c>
      <c r="AG100" s="2"/>
      <c r="AH100" s="2"/>
      <c r="AI100" s="51">
        <v>-11.997563</v>
      </c>
      <c r="AJ100" s="51">
        <v>-76.900062000000005</v>
      </c>
      <c r="AK100" s="2" t="str">
        <f>IFERROR(VLOOKUP(H100,tdcargo[],2,FALSE),"DESCONOCIDO")</f>
        <v>OPERARIO</v>
      </c>
    </row>
    <row r="101" spans="1:37" x14ac:dyDescent="0.35">
      <c r="A101" s="2" t="s">
        <v>3692</v>
      </c>
      <c r="B101" s="2" t="s">
        <v>3693</v>
      </c>
      <c r="C101" s="2" t="s">
        <v>3694</v>
      </c>
      <c r="D101" s="2" t="s">
        <v>3695</v>
      </c>
      <c r="E101" s="2">
        <v>20</v>
      </c>
      <c r="F101" s="2" t="s">
        <v>3255</v>
      </c>
      <c r="G101" s="2">
        <v>20508010</v>
      </c>
      <c r="H101" s="2" t="s">
        <v>1971</v>
      </c>
      <c r="I101" s="3">
        <v>45779</v>
      </c>
      <c r="J101" s="2" t="s">
        <v>31</v>
      </c>
      <c r="K101" s="3" t="s">
        <v>1968</v>
      </c>
      <c r="L101" s="2" t="s">
        <v>3373</v>
      </c>
      <c r="M101" s="2" t="s">
        <v>3374</v>
      </c>
      <c r="N101" s="2" t="s">
        <v>82</v>
      </c>
      <c r="O101" s="2" t="s">
        <v>3696</v>
      </c>
      <c r="P101" s="2" t="s">
        <v>36</v>
      </c>
      <c r="Q101" s="2" t="s">
        <v>74</v>
      </c>
      <c r="R101" s="2" t="s">
        <v>3291</v>
      </c>
      <c r="S101" s="2" t="s">
        <v>37</v>
      </c>
      <c r="T101" s="2" t="s">
        <v>37</v>
      </c>
      <c r="U101" s="2" t="s">
        <v>57</v>
      </c>
      <c r="V101" s="3">
        <v>45779</v>
      </c>
      <c r="W101" s="2" t="s">
        <v>39</v>
      </c>
      <c r="X101" s="2" t="str">
        <f t="shared" si="4"/>
        <v>Calle Casa Huerta La CampiñA La Campiã‘A, Ate, Lima, Lima, Perú</v>
      </c>
      <c r="Y101" s="22">
        <v>-11.975028399999999</v>
      </c>
      <c r="Z101" s="22">
        <v>-76.917244999999994</v>
      </c>
      <c r="AA101" s="33">
        <f t="shared" si="5"/>
        <v>3.13</v>
      </c>
      <c r="AB101" s="2" t="str">
        <f t="shared" si="6"/>
        <v>🟢 Muy Cerca (0-5 km)</v>
      </c>
      <c r="AC101" s="2" t="str" cm="1">
        <f t="array" ref="AC101">INDEX(PARADEROS_VALIDOS!$C$2:$C$68,MATCH(MIN(6371*ACOS(COS(RADIANS(Y101))*COS(RADIANS(PARADEROS_VALIDOS!$E$2:$E$68))*COS(RADIANS(PARADEROS_VALIDOS!$F$2:$F$68)-RADIANS(Z101))+SIN(RADIANS(Y101))*SIN(RADIANS(PARADEROS_VALIDOS!$E$2:$E$68)))),6371*ACOS(COS(RADIANS(Y101))*COS(RADIANS(PARADEROS_VALIDOS!$E$2:$E$68))*COS(RADIANS(PARADEROS_VALIDOS!$F$2:$F$68)-RADIANS(Z101))+SIN(RADIANS(Y101))*SIN(RADIANS(PARADEROS_VALIDOS!$E$2:$E$68))),0))</f>
        <v>Paradero Arco San Antonio</v>
      </c>
      <c r="AD101" s="2" t="str">
        <f>IFERROR(INDEX(PARADEROS_VALIDOS!$A$2:$A$68,MATCH(AC101,PARADEROS_VALIDOS!$C$2:$C$68,0)),"")</f>
        <v>RUTA 2</v>
      </c>
      <c r="AE101" s="33" cm="1">
        <f t="array" ref="AE101">ROUND(MIN(6371*ACOS(COS(RADIANS(Y101))*COS(RADIANS(PARADEROS_VALIDOS!$E$2:$E$68))*COS(RADIANS(PARADEROS_VALIDOS!$F$2:$F$68)-RADIANS(Z101))+SIN(RADIANS(Y101))*SIN(RADIANS(PARADEROS_VALIDOS!$E$2:$E$68)))),2)</f>
        <v>2.56</v>
      </c>
      <c r="AF101" s="2" t="str">
        <f t="shared" si="7"/>
        <v>🟡 Cerca (1-3 km)</v>
      </c>
      <c r="AG101" s="2"/>
      <c r="AH101" s="2"/>
      <c r="AI101" s="51">
        <v>-11.997563</v>
      </c>
      <c r="AJ101" s="51">
        <v>-76.900062000000005</v>
      </c>
      <c r="AK101" s="2" t="str">
        <f>IFERROR(VLOOKUP(H101,tdcargo[],2,FALSE),"DESCONOCIDO")</f>
        <v>OPERARIO</v>
      </c>
    </row>
    <row r="102" spans="1:37" x14ac:dyDescent="0.35">
      <c r="A102" s="2" t="s">
        <v>3697</v>
      </c>
      <c r="B102" s="2" t="s">
        <v>3698</v>
      </c>
      <c r="C102" s="2" t="s">
        <v>984</v>
      </c>
      <c r="D102" s="2" t="s">
        <v>3699</v>
      </c>
      <c r="E102" s="2">
        <v>21</v>
      </c>
      <c r="F102" s="2" t="s">
        <v>3255</v>
      </c>
      <c r="G102" s="2">
        <v>20508068</v>
      </c>
      <c r="H102" s="2" t="s">
        <v>1971</v>
      </c>
      <c r="I102" s="3">
        <v>45463</v>
      </c>
      <c r="J102" s="2" t="s">
        <v>31</v>
      </c>
      <c r="K102" s="3" t="s">
        <v>1968</v>
      </c>
      <c r="L102" s="2" t="s">
        <v>3299</v>
      </c>
      <c r="M102" s="2" t="s">
        <v>3300</v>
      </c>
      <c r="N102" s="2" t="s">
        <v>82</v>
      </c>
      <c r="O102" s="2" t="s">
        <v>3700</v>
      </c>
      <c r="P102" s="2" t="s">
        <v>36</v>
      </c>
      <c r="Q102" s="2" t="s">
        <v>2196</v>
      </c>
      <c r="R102" s="2" t="s">
        <v>3291</v>
      </c>
      <c r="S102" s="2" t="s">
        <v>37</v>
      </c>
      <c r="T102" s="2" t="s">
        <v>37</v>
      </c>
      <c r="U102" s="2" t="s">
        <v>57</v>
      </c>
      <c r="V102" s="3">
        <v>45463</v>
      </c>
      <c r="W102" s="2" t="s">
        <v>48</v>
      </c>
      <c r="X102" s="2" t="str">
        <f t="shared" si="4"/>
        <v>Calle Calle 2 N, Ate, Lima, Lima, Perú</v>
      </c>
      <c r="Y102" s="22">
        <v>-12.0502544</v>
      </c>
      <c r="Z102" s="22">
        <v>-76.951422399999998</v>
      </c>
      <c r="AA102" s="33">
        <f t="shared" si="5"/>
        <v>8.09</v>
      </c>
      <c r="AB102" s="2" t="str">
        <f t="shared" si="6"/>
        <v>🟡 Cerca (5-10 km)</v>
      </c>
      <c r="AC102" s="2" t="str" cm="1">
        <f t="array" ref="AC102">INDEX(PARADEROS_VALIDOS!$C$2:$C$68,MATCH(MIN(6371*ACOS(COS(RADIANS(Y102))*COS(RADIANS(PARADEROS_VALIDOS!$E$2:$E$68))*COS(RADIANS(PARADEROS_VALIDOS!$F$2:$F$68)-RADIANS(Z102))+SIN(RADIANS(Y102))*SIN(RADIANS(PARADEROS_VALIDOS!$E$2:$E$68)))),6371*ACOS(COS(RADIANS(Y102))*COS(RADIANS(PARADEROS_VALIDOS!$E$2:$E$68))*COS(RADIANS(PARADEROS_VALIDOS!$F$2:$F$68)-RADIANS(Z102))+SIN(RADIANS(Y102))*SIN(RADIANS(PARADEROS_VALIDOS!$E$2:$E$68))),0))</f>
        <v>Pte. Prialé (solo aplica para la salida)</v>
      </c>
      <c r="AD102" s="2" t="str">
        <f>IFERROR(INDEX(PARADEROS_VALIDOS!$A$2:$A$68,MATCH(AC102,PARADEROS_VALIDOS!$C$2:$C$68,0)),"")</f>
        <v>RUTA 7</v>
      </c>
      <c r="AE102" s="33" cm="1">
        <f t="array" ref="AE102">ROUND(MIN(6371*ACOS(COS(RADIANS(Y102))*COS(RADIANS(PARADEROS_VALIDOS!$E$2:$E$68))*COS(RADIANS(PARADEROS_VALIDOS!$F$2:$F$68)-RADIANS(Z102))+SIN(RADIANS(Y102))*SIN(RADIANS(PARADEROS_VALIDOS!$E$2:$E$68)))),2)</f>
        <v>0.74</v>
      </c>
      <c r="AF102" s="2" t="str">
        <f t="shared" si="7"/>
        <v>🟢 Muy Cerca (0-1 km)</v>
      </c>
      <c r="AG102" s="2"/>
      <c r="AH102" s="2"/>
      <c r="AI102" s="51">
        <v>-11.997563</v>
      </c>
      <c r="AJ102" s="51">
        <v>-76.900062000000005</v>
      </c>
      <c r="AK102" s="2" t="str">
        <f>IFERROR(VLOOKUP(H102,tdcargo[],2,FALSE),"DESCONOCIDO")</f>
        <v>OPERARIO</v>
      </c>
    </row>
    <row r="103" spans="1:37" x14ac:dyDescent="0.35">
      <c r="A103" s="2" t="s">
        <v>3701</v>
      </c>
      <c r="B103" s="2" t="s">
        <v>3702</v>
      </c>
      <c r="C103" s="2" t="s">
        <v>1177</v>
      </c>
      <c r="D103" s="2" t="s">
        <v>3703</v>
      </c>
      <c r="E103" s="2">
        <v>21</v>
      </c>
      <c r="F103" s="2" t="s">
        <v>3255</v>
      </c>
      <c r="G103" s="2">
        <v>20511991</v>
      </c>
      <c r="H103" s="2" t="s">
        <v>1971</v>
      </c>
      <c r="I103" s="3">
        <v>45505</v>
      </c>
      <c r="J103" s="2" t="s">
        <v>31</v>
      </c>
      <c r="K103" s="3" t="s">
        <v>1968</v>
      </c>
      <c r="L103" s="2" t="s">
        <v>3271</v>
      </c>
      <c r="M103" s="2" t="s">
        <v>3272</v>
      </c>
      <c r="N103" s="2" t="s">
        <v>82</v>
      </c>
      <c r="O103" s="2" t="s">
        <v>3704</v>
      </c>
      <c r="P103" s="2" t="s">
        <v>36</v>
      </c>
      <c r="Q103" s="2" t="s">
        <v>3704</v>
      </c>
      <c r="R103" s="2" t="s">
        <v>3274</v>
      </c>
      <c r="S103" s="2" t="s">
        <v>37</v>
      </c>
      <c r="T103" s="2" t="s">
        <v>37</v>
      </c>
      <c r="U103" s="2" t="s">
        <v>76</v>
      </c>
      <c r="V103" s="3">
        <v>45505</v>
      </c>
      <c r="W103" s="2" t="s">
        <v>48</v>
      </c>
      <c r="X103" s="2" t="str">
        <f t="shared" si="4"/>
        <v>Calle Calle Pasco Calle Pasco, Lurigancho, Lima, Lima, Perú</v>
      </c>
      <c r="Y103" s="22">
        <v>-12.029849</v>
      </c>
      <c r="Z103" s="22">
        <v>-77.086471599999996</v>
      </c>
      <c r="AA103" s="33">
        <f t="shared" si="5"/>
        <v>20.59</v>
      </c>
      <c r="AB103" s="2" t="str">
        <f t="shared" si="6"/>
        <v>🔴 Lejos (&gt;20 km)</v>
      </c>
      <c r="AC103" s="2" t="str" cm="1">
        <f t="array" ref="AC103">INDEX(PARADEROS_VALIDOS!$C$2:$C$68,MATCH(MIN(6371*ACOS(COS(RADIANS(Y103))*COS(RADIANS(PARADEROS_VALIDOS!$E$2:$E$68))*COS(RADIANS(PARADEROS_VALIDOS!$F$2:$F$68)-RADIANS(Z103))+SIN(RADIANS(Y103))*SIN(RADIANS(PARADEROS_VALIDOS!$E$2:$E$68)))),6371*ACOS(COS(RADIANS(Y103))*COS(RADIANS(PARADEROS_VALIDOS!$E$2:$E$68))*COS(RADIANS(PARADEROS_VALIDOS!$F$2:$F$68)-RADIANS(Z103))+SIN(RADIANS(Y103))*SIN(RADIANS(PARADEROS_VALIDOS!$E$2:$E$68))),0))</f>
        <v>Paradero Jose Granda</v>
      </c>
      <c r="AD103" s="2" t="str">
        <f>IFERROR(INDEX(PARADEROS_VALIDOS!$A$2:$A$68,MATCH(AC103,PARADEROS_VALIDOS!$C$2:$C$68,0)),"")</f>
        <v>RUTA 8</v>
      </c>
      <c r="AE103" s="33" cm="1">
        <f t="array" ref="AE103">ROUND(MIN(6371*ACOS(COS(RADIANS(Y103))*COS(RADIANS(PARADEROS_VALIDOS!$E$2:$E$68))*COS(RADIANS(PARADEROS_VALIDOS!$F$2:$F$68)-RADIANS(Z103))+SIN(RADIANS(Y103))*SIN(RADIANS(PARADEROS_VALIDOS!$E$2:$E$68)))),2)</f>
        <v>1.28</v>
      </c>
      <c r="AF103" s="2" t="str">
        <f t="shared" si="7"/>
        <v>🟡 Cerca (1-3 km)</v>
      </c>
      <c r="AG103" s="2"/>
      <c r="AH103" s="2"/>
      <c r="AI103" s="51">
        <v>-11.997563</v>
      </c>
      <c r="AJ103" s="51">
        <v>-76.900062000000005</v>
      </c>
      <c r="AK103" s="2" t="str">
        <f>IFERROR(VLOOKUP(H103,tdcargo[],2,FALSE),"DESCONOCIDO")</f>
        <v>OPERARIO</v>
      </c>
    </row>
    <row r="104" spans="1:37" x14ac:dyDescent="0.35">
      <c r="A104" s="2" t="s">
        <v>3705</v>
      </c>
      <c r="B104" s="2" t="s">
        <v>3706</v>
      </c>
      <c r="C104" s="2" t="s">
        <v>3707</v>
      </c>
      <c r="D104" s="2" t="s">
        <v>3708</v>
      </c>
      <c r="E104" s="2">
        <v>24</v>
      </c>
      <c r="F104" s="2" t="s">
        <v>3255</v>
      </c>
      <c r="G104" s="2">
        <v>20508100</v>
      </c>
      <c r="H104" s="2" t="s">
        <v>1971</v>
      </c>
      <c r="I104" s="3">
        <v>45915</v>
      </c>
      <c r="J104" s="2" t="s">
        <v>31</v>
      </c>
      <c r="K104" s="3" t="s">
        <v>1968</v>
      </c>
      <c r="L104" s="2" t="s">
        <v>3263</v>
      </c>
      <c r="M104" s="2" t="s">
        <v>3264</v>
      </c>
      <c r="N104" s="2" t="s">
        <v>82</v>
      </c>
      <c r="O104" s="2" t="s">
        <v>1017</v>
      </c>
      <c r="P104" s="2" t="s">
        <v>36</v>
      </c>
      <c r="Q104" s="2" t="s">
        <v>227</v>
      </c>
      <c r="R104" s="2" t="s">
        <v>3274</v>
      </c>
      <c r="S104" s="2" t="s">
        <v>37</v>
      </c>
      <c r="T104" s="2" t="s">
        <v>37</v>
      </c>
      <c r="U104" s="2" t="s">
        <v>76</v>
      </c>
      <c r="V104" s="3">
        <v>45915</v>
      </c>
      <c r="W104" s="2" t="s">
        <v>39</v>
      </c>
      <c r="X104" s="2" t="str">
        <f t="shared" si="4"/>
        <v>Calle Cajamarquilla Huachipa, Lurigancho, Lima, Lima, Perú</v>
      </c>
      <c r="Y104" s="22">
        <v>-11.9849046</v>
      </c>
      <c r="Z104" s="22">
        <v>-76.935966699999994</v>
      </c>
      <c r="AA104" s="33">
        <f t="shared" si="5"/>
        <v>4.1500000000000004</v>
      </c>
      <c r="AB104" s="2" t="str">
        <f t="shared" si="6"/>
        <v>🟢 Muy Cerca (0-5 km)</v>
      </c>
      <c r="AC104" s="2" t="str" cm="1">
        <f t="array" ref="AC104">INDEX(PARADEROS_VALIDOS!$C$2:$C$68,MATCH(MIN(6371*ACOS(COS(RADIANS(Y104))*COS(RADIANS(PARADEROS_VALIDOS!$E$2:$E$68))*COS(RADIANS(PARADEROS_VALIDOS!$F$2:$F$68)-RADIANS(Z104))+SIN(RADIANS(Y104))*SIN(RADIANS(PARADEROS_VALIDOS!$E$2:$E$68)))),6371*ACOS(COS(RADIANS(Y104))*COS(RADIANS(PARADEROS_VALIDOS!$E$2:$E$68))*COS(RADIANS(PARADEROS_VALIDOS!$F$2:$F$68)-RADIANS(Z104))+SIN(RADIANS(Y104))*SIN(RADIANS(PARADEROS_VALIDOS!$E$2:$E$68))),0))</f>
        <v>Paradero Arco San Antonio</v>
      </c>
      <c r="AD104" s="2" t="str">
        <f>IFERROR(INDEX(PARADEROS_VALIDOS!$A$2:$A$68,MATCH(AC104,PARADEROS_VALIDOS!$C$2:$C$68,0)),"")</f>
        <v>RUTA 2</v>
      </c>
      <c r="AE104" s="33" cm="1">
        <f t="array" ref="AE104">ROUND(MIN(6371*ACOS(COS(RADIANS(Y104))*COS(RADIANS(PARADEROS_VALIDOS!$E$2:$E$68))*COS(RADIANS(PARADEROS_VALIDOS!$F$2:$F$68)-RADIANS(Z104))+SIN(RADIANS(Y104))*SIN(RADIANS(PARADEROS_VALIDOS!$E$2:$E$68)))),2)</f>
        <v>3.7</v>
      </c>
      <c r="AF104" s="2" t="str">
        <f t="shared" si="7"/>
        <v>🟠 Moderada (3-5 km)</v>
      </c>
      <c r="AG104" s="2"/>
      <c r="AH104" s="2"/>
      <c r="AI104" s="51">
        <v>-11.997563</v>
      </c>
      <c r="AJ104" s="51">
        <v>-76.900062000000005</v>
      </c>
      <c r="AK104" s="2" t="str">
        <f>IFERROR(VLOOKUP(H104,tdcargo[],2,FALSE),"DESCONOCIDO")</f>
        <v>OPERARIO</v>
      </c>
    </row>
    <row r="105" spans="1:37" x14ac:dyDescent="0.35">
      <c r="A105" s="2" t="s">
        <v>3709</v>
      </c>
      <c r="B105" s="2" t="s">
        <v>3710</v>
      </c>
      <c r="C105" s="2" t="s">
        <v>1260</v>
      </c>
      <c r="D105" s="2" t="s">
        <v>531</v>
      </c>
      <c r="E105" s="2">
        <v>33</v>
      </c>
      <c r="F105" s="2" t="s">
        <v>3255</v>
      </c>
      <c r="G105" s="2">
        <v>20514945</v>
      </c>
      <c r="H105" s="2" t="s">
        <v>1971</v>
      </c>
      <c r="I105" s="3">
        <v>45996</v>
      </c>
      <c r="J105" s="2" t="s">
        <v>31</v>
      </c>
      <c r="K105" s="3" t="s">
        <v>1968</v>
      </c>
      <c r="L105" s="2" t="s">
        <v>3344</v>
      </c>
      <c r="M105" s="2" t="s">
        <v>3345</v>
      </c>
      <c r="N105" s="2" t="s">
        <v>82</v>
      </c>
      <c r="O105" s="2" t="s">
        <v>3711</v>
      </c>
      <c r="P105" s="2" t="s">
        <v>36</v>
      </c>
      <c r="Q105" s="2" t="s">
        <v>2558</v>
      </c>
      <c r="R105" s="2" t="s">
        <v>3282</v>
      </c>
      <c r="S105" s="2" t="s">
        <v>37</v>
      </c>
      <c r="T105" s="2" t="s">
        <v>37</v>
      </c>
      <c r="U105" s="2" t="s">
        <v>118</v>
      </c>
      <c r="V105" s="3">
        <v>45996</v>
      </c>
      <c r="W105" s="2" t="s">
        <v>135</v>
      </c>
      <c r="X105" s="2" t="str">
        <f t="shared" si="4"/>
        <v>Calle Lilas Alfonso Cobian, Chaclacayo, Lima, Lima, Perú</v>
      </c>
      <c r="Y105" s="22">
        <v>-11.986031799999999</v>
      </c>
      <c r="Z105" s="22">
        <v>-76.8067724</v>
      </c>
      <c r="AA105" s="33">
        <f t="shared" si="5"/>
        <v>10.23</v>
      </c>
      <c r="AB105" s="2" t="str">
        <f t="shared" si="6"/>
        <v>🟠 Moderada (10-20 km)</v>
      </c>
      <c r="AC105" s="2" t="str" cm="1">
        <f t="array" ref="AC105">INDEX(PARADEROS_VALIDOS!$C$2:$C$68,MATCH(MIN(6371*ACOS(COS(RADIANS(Y105))*COS(RADIANS(PARADEROS_VALIDOS!$E$2:$E$68))*COS(RADIANS(PARADEROS_VALIDOS!$F$2:$F$68)-RADIANS(Z105))+SIN(RADIANS(Y105))*SIN(RADIANS(PARADEROS_VALIDOS!$E$2:$E$68)))),6371*ACOS(COS(RADIANS(Y105))*COS(RADIANS(PARADEROS_VALIDOS!$E$2:$E$68))*COS(RADIANS(PARADEROS_VALIDOS!$F$2:$F$68)-RADIANS(Z105))+SIN(RADIANS(Y105))*SIN(RADIANS(PARADEROS_VALIDOS!$E$2:$E$68))),0))</f>
        <v>Entrada Ñaña</v>
      </c>
      <c r="AD105" s="2" t="str">
        <f>IFERROR(INDEX(PARADEROS_VALIDOS!$A$2:$A$68,MATCH(AC105,PARADEROS_VALIDOS!$C$2:$C$68,0)),"")</f>
        <v>RUTA 5A</v>
      </c>
      <c r="AE105" s="33" cm="1">
        <f t="array" ref="AE105">ROUND(MIN(6371*ACOS(COS(RADIANS(Y105))*COS(RADIANS(PARADEROS_VALIDOS!$E$2:$E$68))*COS(RADIANS(PARADEROS_VALIDOS!$F$2:$F$68)-RADIANS(Z105))+SIN(RADIANS(Y105))*SIN(RADIANS(PARADEROS_VALIDOS!$E$2:$E$68)))),2)</f>
        <v>1.31</v>
      </c>
      <c r="AF105" s="2" t="str">
        <f t="shared" si="7"/>
        <v>🟡 Cerca (1-3 km)</v>
      </c>
      <c r="AG105" s="2"/>
      <c r="AH105" s="2"/>
      <c r="AI105" s="51">
        <v>-11.997563</v>
      </c>
      <c r="AJ105" s="51">
        <v>-76.900062000000005</v>
      </c>
      <c r="AK105" s="2" t="str">
        <f>IFERROR(VLOOKUP(H105,tdcargo[],2,FALSE),"DESCONOCIDO")</f>
        <v>OPERARIO</v>
      </c>
    </row>
    <row r="106" spans="1:37" x14ac:dyDescent="0.35">
      <c r="A106" s="2" t="s">
        <v>3712</v>
      </c>
      <c r="B106" s="2" t="s">
        <v>3713</v>
      </c>
      <c r="C106" s="2" t="s">
        <v>3714</v>
      </c>
      <c r="D106" s="2" t="s">
        <v>3715</v>
      </c>
      <c r="E106" s="2">
        <v>37</v>
      </c>
      <c r="F106" s="2" t="s">
        <v>3255</v>
      </c>
      <c r="G106" s="2">
        <v>20507973</v>
      </c>
      <c r="H106" s="2" t="s">
        <v>3716</v>
      </c>
      <c r="I106" s="3">
        <v>42767</v>
      </c>
      <c r="J106" s="2" t="s">
        <v>31</v>
      </c>
      <c r="K106" s="3" t="s">
        <v>1968</v>
      </c>
      <c r="L106" s="2" t="s">
        <v>3717</v>
      </c>
      <c r="M106" s="2" t="s">
        <v>1968</v>
      </c>
      <c r="N106" s="2" t="s">
        <v>36</v>
      </c>
      <c r="O106" s="2" t="s">
        <v>3718</v>
      </c>
      <c r="P106" s="2" t="s">
        <v>186</v>
      </c>
      <c r="Q106" s="2" t="s">
        <v>3719</v>
      </c>
      <c r="R106" s="2" t="s">
        <v>3720</v>
      </c>
      <c r="S106" s="2" t="s">
        <v>37</v>
      </c>
      <c r="T106" s="2" t="s">
        <v>37</v>
      </c>
      <c r="U106" s="2" t="s">
        <v>210</v>
      </c>
      <c r="V106" s="3">
        <v>42767</v>
      </c>
      <c r="W106" s="2" t="s">
        <v>48</v>
      </c>
      <c r="X106" s="2" t="str">
        <f t="shared" si="4"/>
        <v>Mz U1, Urb. Urbanización Los Sazmines Del Naranjal, San Martin De Porres, Lima, Lima, Perú</v>
      </c>
      <c r="Y106" s="22">
        <v>-11.983130299999999</v>
      </c>
      <c r="Z106" s="22">
        <v>-77.089991800000007</v>
      </c>
      <c r="AA106" s="33">
        <f t="shared" si="5"/>
        <v>20.72</v>
      </c>
      <c r="AB106" s="2" t="str">
        <f t="shared" si="6"/>
        <v>🔴 Lejos (&gt;20 km)</v>
      </c>
      <c r="AC106" s="2" t="str" cm="1">
        <f t="array" ref="AC106">INDEX(PARADEROS_VALIDOS!$C$2:$C$68,MATCH(MIN(6371*ACOS(COS(RADIANS(Y106))*COS(RADIANS(PARADEROS_VALIDOS!$E$2:$E$68))*COS(RADIANS(PARADEROS_VALIDOS!$F$2:$F$68)-RADIANS(Z106))+SIN(RADIANS(Y106))*SIN(RADIANS(PARADEROS_VALIDOS!$E$2:$E$68)))),6371*ACOS(COS(RADIANS(Y106))*COS(RADIANS(PARADEROS_VALIDOS!$E$2:$E$68))*COS(RADIANS(PARADEROS_VALIDOS!$F$2:$F$68)-RADIANS(Z106))+SIN(RADIANS(Y106))*SIN(RADIANS(PARADEROS_VALIDOS!$E$2:$E$68))),0))</f>
        <v>Paradero panadería/Av. Universitaria</v>
      </c>
      <c r="AD106" s="2" t="str">
        <f>IFERROR(INDEX(PARADEROS_VALIDOS!$A$2:$A$68,MATCH(AC106,PARADEROS_VALIDOS!$C$2:$C$68,0)),"")</f>
        <v>RUTA 9</v>
      </c>
      <c r="AE106" s="33" cm="1">
        <f t="array" ref="AE106">ROUND(MIN(6371*ACOS(COS(RADIANS(Y106))*COS(RADIANS(PARADEROS_VALIDOS!$E$2:$E$68))*COS(RADIANS(PARADEROS_VALIDOS!$F$2:$F$68)-RADIANS(Z106))+SIN(RADIANS(Y106))*SIN(RADIANS(PARADEROS_VALIDOS!$E$2:$E$68)))),2)</f>
        <v>0.59</v>
      </c>
      <c r="AF106" s="2" t="str">
        <f t="shared" si="7"/>
        <v>🟢 Muy Cerca (0-1 km)</v>
      </c>
      <c r="AG106" s="2"/>
      <c r="AH106" s="2"/>
      <c r="AI106" s="51">
        <v>-11.997563</v>
      </c>
      <c r="AJ106" s="51">
        <v>-76.900062000000005</v>
      </c>
      <c r="AK106" s="2" t="str">
        <f>IFERROR(VLOOKUP(H106,tdcargo[],2,FALSE),"DESCONOCIDO")</f>
        <v>STAFF</v>
      </c>
    </row>
    <row r="107" spans="1:37" x14ac:dyDescent="0.35">
      <c r="A107" s="2" t="s">
        <v>3721</v>
      </c>
      <c r="B107" s="2" t="s">
        <v>3722</v>
      </c>
      <c r="C107" s="2" t="s">
        <v>3723</v>
      </c>
      <c r="D107" s="2" t="s">
        <v>51</v>
      </c>
      <c r="E107" s="2">
        <v>32</v>
      </c>
      <c r="F107" s="2" t="s">
        <v>3255</v>
      </c>
      <c r="G107" s="2">
        <v>20510976</v>
      </c>
      <c r="H107" s="2" t="s">
        <v>1971</v>
      </c>
      <c r="I107" s="3">
        <v>46083</v>
      </c>
      <c r="J107" s="2" t="s">
        <v>31</v>
      </c>
      <c r="K107" s="3" t="s">
        <v>1968</v>
      </c>
      <c r="L107" s="2" t="s">
        <v>3278</v>
      </c>
      <c r="M107" s="2" t="s">
        <v>3279</v>
      </c>
      <c r="N107" s="2" t="s">
        <v>82</v>
      </c>
      <c r="O107" s="2" t="s">
        <v>3724</v>
      </c>
      <c r="P107" s="2" t="s">
        <v>36</v>
      </c>
      <c r="Q107" s="2" t="s">
        <v>3725</v>
      </c>
      <c r="R107" s="2" t="s">
        <v>3260</v>
      </c>
      <c r="S107" s="2" t="s">
        <v>37</v>
      </c>
      <c r="T107" s="2" t="s">
        <v>37</v>
      </c>
      <c r="U107" s="2" t="s">
        <v>38</v>
      </c>
      <c r="V107" s="3">
        <v>46083</v>
      </c>
      <c r="W107" s="2" t="s">
        <v>135</v>
      </c>
      <c r="X107" s="2" t="str">
        <f t="shared" si="4"/>
        <v>Calle Calle 16 COMP. TERR DE CAMPOY, San Juan De Lurigancho, Lima, Lima, Perú</v>
      </c>
      <c r="Y107" s="22">
        <v>-12.017826400000001</v>
      </c>
      <c r="Z107" s="22">
        <v>-76.959801100000007</v>
      </c>
      <c r="AA107" s="33">
        <f t="shared" si="5"/>
        <v>6.88</v>
      </c>
      <c r="AB107" s="2" t="str">
        <f t="shared" si="6"/>
        <v>🟡 Cerca (5-10 km)</v>
      </c>
      <c r="AC107" s="2" t="str" cm="1">
        <f t="array" ref="AC107">INDEX(PARADEROS_VALIDOS!$C$2:$C$68,MATCH(MIN(6371*ACOS(COS(RADIANS(Y107))*COS(RADIANS(PARADEROS_VALIDOS!$E$2:$E$68))*COS(RADIANS(PARADEROS_VALIDOS!$F$2:$F$68)-RADIANS(Z107))+SIN(RADIANS(Y107))*SIN(RADIANS(PARADEROS_VALIDOS!$E$2:$E$68)))),6371*ACOS(COS(RADIANS(Y107))*COS(RADIANS(PARADEROS_VALIDOS!$E$2:$E$68))*COS(RADIANS(PARADEROS_VALIDOS!$F$2:$F$68)-RADIANS(Z107))+SIN(RADIANS(Y107))*SIN(RADIANS(PARADEROS_VALIDOS!$E$2:$E$68))),0))</f>
        <v>Paradero Bayóvar</v>
      </c>
      <c r="AD107" s="2" t="str">
        <f>IFERROR(INDEX(PARADEROS_VALIDOS!$A$2:$A$68,MATCH(AC107,PARADEROS_VALIDOS!$C$2:$C$68,0)),"")</f>
        <v>RUTA 6A</v>
      </c>
      <c r="AE107" s="33" cm="1">
        <f t="array" ref="AE107">ROUND(MIN(6371*ACOS(COS(RADIANS(Y107))*COS(RADIANS(PARADEROS_VALIDOS!$E$2:$E$68))*COS(RADIANS(PARADEROS_VALIDOS!$F$2:$F$68)-RADIANS(Z107))+SIN(RADIANS(Y107))*SIN(RADIANS(PARADEROS_VALIDOS!$E$2:$E$68)))),2)</f>
        <v>1.37</v>
      </c>
      <c r="AF107" s="2" t="str">
        <f t="shared" si="7"/>
        <v>🟡 Cerca (1-3 km)</v>
      </c>
      <c r="AG107" s="2"/>
      <c r="AH107" s="2"/>
      <c r="AI107" s="51">
        <v>-11.997563</v>
      </c>
      <c r="AJ107" s="51">
        <v>-76.900062000000005</v>
      </c>
      <c r="AK107" s="2" t="str">
        <f>IFERROR(VLOOKUP(H107,tdcargo[],2,FALSE),"DESCONOCIDO")</f>
        <v>OPERARIO</v>
      </c>
    </row>
    <row r="108" spans="1:37" x14ac:dyDescent="0.35">
      <c r="A108" s="2" t="s">
        <v>3726</v>
      </c>
      <c r="B108" s="2" t="s">
        <v>3366</v>
      </c>
      <c r="C108" s="2" t="s">
        <v>273</v>
      </c>
      <c r="D108" s="2" t="s">
        <v>325</v>
      </c>
      <c r="E108" s="2">
        <v>24</v>
      </c>
      <c r="F108" s="2" t="s">
        <v>3255</v>
      </c>
      <c r="G108" s="2">
        <v>20514877</v>
      </c>
      <c r="H108" s="2" t="s">
        <v>1971</v>
      </c>
      <c r="I108" s="3">
        <v>46083</v>
      </c>
      <c r="J108" s="2" t="s">
        <v>31</v>
      </c>
      <c r="K108" s="3" t="s">
        <v>1968</v>
      </c>
      <c r="L108" s="2" t="s">
        <v>3344</v>
      </c>
      <c r="M108" s="2" t="s">
        <v>3345</v>
      </c>
      <c r="N108" s="2" t="s">
        <v>36</v>
      </c>
      <c r="O108" s="2" t="s">
        <v>3727</v>
      </c>
      <c r="P108" s="2" t="s">
        <v>36</v>
      </c>
      <c r="Q108" s="2" t="s">
        <v>3728</v>
      </c>
      <c r="R108" s="2" t="s">
        <v>3291</v>
      </c>
      <c r="S108" s="2" t="s">
        <v>37</v>
      </c>
      <c r="T108" s="2" t="s">
        <v>37</v>
      </c>
      <c r="U108" s="2" t="s">
        <v>57</v>
      </c>
      <c r="V108" s="3">
        <v>46083</v>
      </c>
      <c r="W108" s="2" t="s">
        <v>135</v>
      </c>
      <c r="X108" s="2" t="str">
        <f t="shared" si="4"/>
        <v>Ate - Santa Clara COOP. RAMIRO PRIALE, Ate, Lima, Lima, Perú</v>
      </c>
      <c r="Y108" s="22">
        <v>-12.019954200000001</v>
      </c>
      <c r="Z108" s="22">
        <v>-76.886508500000005</v>
      </c>
      <c r="AA108" s="33">
        <f t="shared" si="5"/>
        <v>2.89</v>
      </c>
      <c r="AB108" s="2" t="str">
        <f t="shared" si="6"/>
        <v>🟢 Muy Cerca (0-5 km)</v>
      </c>
      <c r="AC108" s="2" t="str" cm="1">
        <f t="array" ref="AC108">INDEX(PARADEROS_VALIDOS!$C$2:$C$68,MATCH(MIN(6371*ACOS(COS(RADIANS(Y108))*COS(RADIANS(PARADEROS_VALIDOS!$E$2:$E$68))*COS(RADIANS(PARADEROS_VALIDOS!$F$2:$F$68)-RADIANS(Z108))+SIN(RADIANS(Y108))*SIN(RADIANS(PARADEROS_VALIDOS!$E$2:$E$68)))),6371*ACOS(COS(RADIANS(Y108))*COS(RADIANS(PARADEROS_VALIDOS!$E$2:$E$68))*COS(RADIANS(PARADEROS_VALIDOS!$F$2:$F$68)-RADIANS(Z108))+SIN(RADIANS(Y108))*SIN(RADIANS(PARADEROS_VALIDOS!$E$2:$E$68))),0))</f>
        <v>Paradero Sta. Clara</v>
      </c>
      <c r="AD108" s="2" t="str">
        <f>IFERROR(INDEX(PARADEROS_VALIDOS!$A$2:$A$68,MATCH(AC108,PARADEROS_VALIDOS!$C$2:$C$68,0)),"")</f>
        <v>RUTA 5C</v>
      </c>
      <c r="AE108" s="33" cm="1">
        <f t="array" ref="AE108">ROUND(MIN(6371*ACOS(COS(RADIANS(Y108))*COS(RADIANS(PARADEROS_VALIDOS!$E$2:$E$68))*COS(RADIANS(PARADEROS_VALIDOS!$F$2:$F$68)-RADIANS(Z108))+SIN(RADIANS(Y108))*SIN(RADIANS(PARADEROS_VALIDOS!$E$2:$E$68)))),2)</f>
        <v>0.59</v>
      </c>
      <c r="AF108" s="2" t="str">
        <f t="shared" si="7"/>
        <v>🟢 Muy Cerca (0-1 km)</v>
      </c>
      <c r="AG108" s="2"/>
      <c r="AH108" s="2"/>
      <c r="AI108" s="51">
        <v>-11.997563</v>
      </c>
      <c r="AJ108" s="51">
        <v>-76.900062000000005</v>
      </c>
      <c r="AK108" s="2" t="str">
        <f>IFERROR(VLOOKUP(H108,tdcargo[],2,FALSE),"DESCONOCIDO")</f>
        <v>OPERARIO</v>
      </c>
    </row>
    <row r="109" spans="1:37" x14ac:dyDescent="0.35">
      <c r="A109" s="2" t="s">
        <v>3729</v>
      </c>
      <c r="B109" s="2" t="s">
        <v>3730</v>
      </c>
      <c r="C109" s="2" t="s">
        <v>3731</v>
      </c>
      <c r="D109" s="2" t="s">
        <v>1942</v>
      </c>
      <c r="E109" s="2">
        <v>21</v>
      </c>
      <c r="F109" s="2" t="s">
        <v>3255</v>
      </c>
      <c r="G109" s="2">
        <v>20510981</v>
      </c>
      <c r="H109" s="2" t="s">
        <v>1971</v>
      </c>
      <c r="I109" s="3">
        <v>46024</v>
      </c>
      <c r="J109" s="2" t="s">
        <v>31</v>
      </c>
      <c r="K109" s="3" t="s">
        <v>1968</v>
      </c>
      <c r="L109" s="2" t="s">
        <v>3732</v>
      </c>
      <c r="M109" s="2" t="s">
        <v>3292</v>
      </c>
      <c r="N109" s="2" t="s">
        <v>36</v>
      </c>
      <c r="O109" s="2" t="s">
        <v>3733</v>
      </c>
      <c r="P109" s="2" t="s">
        <v>36</v>
      </c>
      <c r="Q109" s="2" t="s">
        <v>1988</v>
      </c>
      <c r="R109" s="2" t="s">
        <v>3274</v>
      </c>
      <c r="S109" s="2" t="s">
        <v>37</v>
      </c>
      <c r="T109" s="2" t="s">
        <v>37</v>
      </c>
      <c r="U109" s="2" t="s">
        <v>76</v>
      </c>
      <c r="V109" s="3">
        <v>46024</v>
      </c>
      <c r="W109" s="2" t="s">
        <v>135</v>
      </c>
      <c r="X109" s="2" t="str">
        <f t="shared" si="4"/>
        <v>Pampa Cangallo VILLA LETICIA, Lurigancho, Lima, Lima, Perú</v>
      </c>
      <c r="Y109" s="22">
        <v>-12.009696699999999</v>
      </c>
      <c r="Z109" s="22">
        <v>-76.905361299999996</v>
      </c>
      <c r="AA109" s="33">
        <f t="shared" si="5"/>
        <v>1.47</v>
      </c>
      <c r="AB109" s="2" t="str">
        <f t="shared" si="6"/>
        <v>🟢 Muy Cerca (0-5 km)</v>
      </c>
      <c r="AC109" s="2" t="str" cm="1">
        <f t="array" ref="AC109">INDEX(PARADEROS_VALIDOS!$C$2:$C$68,MATCH(MIN(6371*ACOS(COS(RADIANS(Y109))*COS(RADIANS(PARADEROS_VALIDOS!$E$2:$E$68))*COS(RADIANS(PARADEROS_VALIDOS!$F$2:$F$68)-RADIANS(Z109))+SIN(RADIANS(Y109))*SIN(RADIANS(PARADEROS_VALIDOS!$E$2:$E$68)))),6371*ACOS(COS(RADIANS(Y109))*COS(RADIANS(PARADEROS_VALIDOS!$E$2:$E$68))*COS(RADIANS(PARADEROS_VALIDOS!$F$2:$F$68)-RADIANS(Z109))+SIN(RADIANS(Y109))*SIN(RADIANS(PARADEROS_VALIDOS!$E$2:$E$68))),0))</f>
        <v>Tottus Huachipa</v>
      </c>
      <c r="AD109" s="2" t="str">
        <f>IFERROR(INDEX(PARADEROS_VALIDOS!$A$2:$A$68,MATCH(AC109,PARADEROS_VALIDOS!$C$2:$C$68,0)),"")</f>
        <v>RUTA 1</v>
      </c>
      <c r="AE109" s="33" cm="1">
        <f t="array" ref="AE109">ROUND(MIN(6371*ACOS(COS(RADIANS(Y109))*COS(RADIANS(PARADEROS_VALIDOS!$E$2:$E$68))*COS(RADIANS(PARADEROS_VALIDOS!$F$2:$F$68)-RADIANS(Z109))+SIN(RADIANS(Y109))*SIN(RADIANS(PARADEROS_VALIDOS!$E$2:$E$68)))),2)</f>
        <v>1.18</v>
      </c>
      <c r="AF109" s="2" t="str">
        <f t="shared" si="7"/>
        <v>🟡 Cerca (1-3 km)</v>
      </c>
      <c r="AG109" s="2"/>
      <c r="AH109" s="2"/>
      <c r="AI109" s="51">
        <v>-11.997563</v>
      </c>
      <c r="AJ109" s="51">
        <v>-76.900062000000005</v>
      </c>
      <c r="AK109" s="2" t="str">
        <f>IFERROR(VLOOKUP(H109,tdcargo[],2,FALSE),"DESCONOCIDO")</f>
        <v>OPERARIO</v>
      </c>
    </row>
    <row r="110" spans="1:37" x14ac:dyDescent="0.35">
      <c r="A110" s="2" t="s">
        <v>3734</v>
      </c>
      <c r="B110" s="2" t="s">
        <v>3735</v>
      </c>
      <c r="C110" s="2" t="s">
        <v>451</v>
      </c>
      <c r="D110" s="2" t="s">
        <v>3736</v>
      </c>
      <c r="E110" s="2">
        <v>22</v>
      </c>
      <c r="F110" s="2" t="s">
        <v>3255</v>
      </c>
      <c r="G110" s="2">
        <v>20511987</v>
      </c>
      <c r="H110" s="2" t="s">
        <v>1971</v>
      </c>
      <c r="I110" s="3">
        <v>44711</v>
      </c>
      <c r="J110" s="2" t="s">
        <v>31</v>
      </c>
      <c r="K110" s="3" t="s">
        <v>1968</v>
      </c>
      <c r="L110" s="2" t="s">
        <v>3263</v>
      </c>
      <c r="M110" s="2" t="s">
        <v>3264</v>
      </c>
      <c r="N110" s="2" t="s">
        <v>36</v>
      </c>
      <c r="O110" s="2" t="s">
        <v>95</v>
      </c>
      <c r="P110" s="2" t="s">
        <v>186</v>
      </c>
      <c r="Q110" s="2" t="s">
        <v>1017</v>
      </c>
      <c r="R110" s="2" t="s">
        <v>3274</v>
      </c>
      <c r="S110" s="2" t="s">
        <v>37</v>
      </c>
      <c r="T110" s="2" t="s">
        <v>37</v>
      </c>
      <c r="U110" s="2" t="s">
        <v>76</v>
      </c>
      <c r="V110" s="3">
        <v>44711</v>
      </c>
      <c r="W110" s="2" t="s">
        <v>48</v>
      </c>
      <c r="X110" s="2" t="str">
        <f t="shared" si="4"/>
        <v>Los Aviadores, Urb. Urbanización Cajamarquilla, Lurigancho, Lima, Lima, Perú</v>
      </c>
      <c r="Y110" s="22">
        <v>-11.9831504</v>
      </c>
      <c r="Z110" s="22">
        <v>-76.893556899999993</v>
      </c>
      <c r="AA110" s="33">
        <f t="shared" si="5"/>
        <v>1.75</v>
      </c>
      <c r="AB110" s="2" t="str">
        <f t="shared" si="6"/>
        <v>🟢 Muy Cerca (0-5 km)</v>
      </c>
      <c r="AC110" s="2" t="str" cm="1">
        <f t="array" ref="AC110">INDEX(PARADEROS_VALIDOS!$C$2:$C$68,MATCH(MIN(6371*ACOS(COS(RADIANS(Y110))*COS(RADIANS(PARADEROS_VALIDOS!$E$2:$E$68))*COS(RADIANS(PARADEROS_VALIDOS!$F$2:$F$68)-RADIANS(Z110))+SIN(RADIANS(Y110))*SIN(RADIANS(PARADEROS_VALIDOS!$E$2:$E$68)))),6371*ACOS(COS(RADIANS(Y110))*COS(RADIANS(PARADEROS_VALIDOS!$E$2:$E$68))*COS(RADIANS(PARADEROS_VALIDOS!$F$2:$F$68)-RADIANS(Z110))+SIN(RADIANS(Y110))*SIN(RADIANS(PARADEROS_VALIDOS!$E$2:$E$68))),0))</f>
        <v>Paradero Arco San Antonio</v>
      </c>
      <c r="AD110" s="2" t="str">
        <f>IFERROR(INDEX(PARADEROS_VALIDOS!$A$2:$A$68,MATCH(AC110,PARADEROS_VALIDOS!$C$2:$C$68,0)),"")</f>
        <v>RUTA 2</v>
      </c>
      <c r="AE110" s="33" cm="1">
        <f t="array" ref="AE110">ROUND(MIN(6371*ACOS(COS(RADIANS(Y110))*COS(RADIANS(PARADEROS_VALIDOS!$E$2:$E$68))*COS(RADIANS(PARADEROS_VALIDOS!$F$2:$F$68)-RADIANS(Z110))+SIN(RADIANS(Y110))*SIN(RADIANS(PARADEROS_VALIDOS!$E$2:$E$68)))),2)</f>
        <v>1.55</v>
      </c>
      <c r="AF110" s="2" t="str">
        <f t="shared" si="7"/>
        <v>🟡 Cerca (1-3 km)</v>
      </c>
      <c r="AG110" s="2"/>
      <c r="AH110" s="2"/>
      <c r="AI110" s="51">
        <v>-11.997563</v>
      </c>
      <c r="AJ110" s="51">
        <v>-76.900062000000005</v>
      </c>
      <c r="AK110" s="2" t="str">
        <f>IFERROR(VLOOKUP(H110,tdcargo[],2,FALSE),"DESCONOCIDO")</f>
        <v>OPERARIO</v>
      </c>
    </row>
    <row r="111" spans="1:37" x14ac:dyDescent="0.35">
      <c r="A111" s="2" t="s">
        <v>3737</v>
      </c>
      <c r="B111" s="2" t="s">
        <v>3738</v>
      </c>
      <c r="C111" s="2" t="s">
        <v>3739</v>
      </c>
      <c r="D111" s="2" t="s">
        <v>489</v>
      </c>
      <c r="E111" s="2">
        <v>33</v>
      </c>
      <c r="F111" s="2" t="s">
        <v>3255</v>
      </c>
      <c r="G111" s="2">
        <v>20514483</v>
      </c>
      <c r="H111" s="2" t="s">
        <v>1971</v>
      </c>
      <c r="I111" s="3">
        <v>46090</v>
      </c>
      <c r="J111" s="2" t="s">
        <v>31</v>
      </c>
      <c r="K111" s="3" t="s">
        <v>1968</v>
      </c>
      <c r="L111" s="2" t="s">
        <v>3299</v>
      </c>
      <c r="M111" s="2" t="s">
        <v>3300</v>
      </c>
      <c r="N111" s="2" t="s">
        <v>36</v>
      </c>
      <c r="O111" s="2" t="s">
        <v>3740</v>
      </c>
      <c r="P111" s="2" t="s">
        <v>36</v>
      </c>
      <c r="Q111" s="2" t="s">
        <v>3741</v>
      </c>
      <c r="R111" s="2" t="s">
        <v>3291</v>
      </c>
      <c r="S111" s="2" t="s">
        <v>37</v>
      </c>
      <c r="T111" s="2" t="s">
        <v>37</v>
      </c>
      <c r="U111" s="2" t="s">
        <v>57</v>
      </c>
      <c r="V111" s="3">
        <v>46090</v>
      </c>
      <c r="W111" s="2" t="s">
        <v>135</v>
      </c>
      <c r="X111" s="2" t="str">
        <f t="shared" si="4"/>
        <v>Ucv 168 HUAYCAN ZONA L, Ate, Lima, Lima, Perú</v>
      </c>
      <c r="Y111" s="22">
        <v>-12.010109</v>
      </c>
      <c r="Z111" s="22">
        <v>-76.827872200000002</v>
      </c>
      <c r="AA111" s="33">
        <f t="shared" si="5"/>
        <v>7.97</v>
      </c>
      <c r="AB111" s="2" t="str">
        <f t="shared" si="6"/>
        <v>🟡 Cerca (5-10 km)</v>
      </c>
      <c r="AC111" s="2" t="str" cm="1">
        <f t="array" ref="AC111">INDEX(PARADEROS_VALIDOS!$C$2:$C$68,MATCH(MIN(6371*ACOS(COS(RADIANS(Y111))*COS(RADIANS(PARADEROS_VALIDOS!$E$2:$E$68))*COS(RADIANS(PARADEROS_VALIDOS!$F$2:$F$68)-RADIANS(Z111))+SIN(RADIANS(Y111))*SIN(RADIANS(PARADEROS_VALIDOS!$E$2:$E$68)))),6371*ACOS(COS(RADIANS(Y111))*COS(RADIANS(PARADEROS_VALIDOS!$E$2:$E$68))*COS(RADIANS(PARADEROS_VALIDOS!$F$2:$F$68)-RADIANS(Z111))+SIN(RADIANS(Y111))*SIN(RADIANS(PARADEROS_VALIDOS!$E$2:$E$68))),0))</f>
        <v>Entrada Horacio</v>
      </c>
      <c r="AD111" s="2" t="str">
        <f>IFERROR(INDEX(PARADEROS_VALIDOS!$A$2:$A$68,MATCH(AC111,PARADEROS_VALIDOS!$C$2:$C$68,0)),"")</f>
        <v>RUTA 5B</v>
      </c>
      <c r="AE111" s="33" cm="1">
        <f t="array" ref="AE111">ROUND(MIN(6371*ACOS(COS(RADIANS(Y111))*COS(RADIANS(PARADEROS_VALIDOS!$E$2:$E$68))*COS(RADIANS(PARADEROS_VALIDOS!$F$2:$F$68)-RADIANS(Z111))+SIN(RADIANS(Y111))*SIN(RADIANS(PARADEROS_VALIDOS!$E$2:$E$68)))),2)</f>
        <v>1.55</v>
      </c>
      <c r="AF111" s="2" t="str">
        <f t="shared" si="7"/>
        <v>🟡 Cerca (1-3 km)</v>
      </c>
      <c r="AG111" s="2"/>
      <c r="AH111" s="2"/>
      <c r="AI111" s="51">
        <v>-11.997563</v>
      </c>
      <c r="AJ111" s="51">
        <v>-76.900062000000005</v>
      </c>
      <c r="AK111" s="2" t="str">
        <f>IFERROR(VLOOKUP(H111,tdcargo[],2,FALSE),"DESCONOCIDO")</f>
        <v>OPERARIO</v>
      </c>
    </row>
    <row r="112" spans="1:37" x14ac:dyDescent="0.35">
      <c r="A112" s="2" t="s">
        <v>3742</v>
      </c>
      <c r="B112" s="2" t="s">
        <v>3743</v>
      </c>
      <c r="C112" s="2" t="s">
        <v>1954</v>
      </c>
      <c r="D112" s="2" t="s">
        <v>1813</v>
      </c>
      <c r="E112" s="2">
        <v>32</v>
      </c>
      <c r="F112" s="2" t="s">
        <v>3255</v>
      </c>
      <c r="G112" s="2">
        <v>20507988</v>
      </c>
      <c r="H112" s="2" t="s">
        <v>1971</v>
      </c>
      <c r="I112" s="3">
        <v>46097</v>
      </c>
      <c r="J112" s="2" t="s">
        <v>31</v>
      </c>
      <c r="K112" s="3" t="s">
        <v>1968</v>
      </c>
      <c r="L112" s="2" t="s">
        <v>3256</v>
      </c>
      <c r="M112" s="2" t="s">
        <v>3257</v>
      </c>
      <c r="N112" s="2" t="s">
        <v>82</v>
      </c>
      <c r="O112" s="2" t="s">
        <v>3744</v>
      </c>
      <c r="P112" s="2" t="s">
        <v>36</v>
      </c>
      <c r="Q112" s="2" t="s">
        <v>1043</v>
      </c>
      <c r="R112" s="2" t="s">
        <v>3504</v>
      </c>
      <c r="S112" s="2" t="s">
        <v>37</v>
      </c>
      <c r="T112" s="2" t="s">
        <v>37</v>
      </c>
      <c r="U112" s="2" t="s">
        <v>1602</v>
      </c>
      <c r="V112" s="3">
        <v>46097</v>
      </c>
      <c r="W112" s="2" t="s">
        <v>135</v>
      </c>
      <c r="X112" s="2" t="str">
        <f t="shared" si="4"/>
        <v>Calle Abelardo Gamarra EL BOSQUE, Rimac, Lima, Lima, Perú</v>
      </c>
      <c r="Y112" s="22">
        <v>-12.020543099999999</v>
      </c>
      <c r="Z112" s="22">
        <v>-77.032779000000005</v>
      </c>
      <c r="AA112" s="33">
        <f t="shared" si="5"/>
        <v>14.66</v>
      </c>
      <c r="AB112" s="2" t="str">
        <f t="shared" si="6"/>
        <v>🟠 Moderada (10-20 km)</v>
      </c>
      <c r="AC112" s="2" t="str" cm="1">
        <f t="array" ref="AC112">INDEX(PARADEROS_VALIDOS!$C$2:$C$68,MATCH(MIN(6371*ACOS(COS(RADIANS(Y112))*COS(RADIANS(PARADEROS_VALIDOS!$E$2:$E$68))*COS(RADIANS(PARADEROS_VALIDOS!$F$2:$F$68)-RADIANS(Z112))+SIN(RADIANS(Y112))*SIN(RADIANS(PARADEROS_VALIDOS!$E$2:$E$68)))),6371*ACOS(COS(RADIANS(Y112))*COS(RADIANS(PARADEROS_VALIDOS!$E$2:$E$68))*COS(RADIANS(PARADEROS_VALIDOS!$F$2:$F$68)-RADIANS(Z112))+SIN(RADIANS(Y112))*SIN(RADIANS(PARADEROS_VALIDOS!$E$2:$E$68))),0))</f>
        <v>Paradero Mercado Las Flores</v>
      </c>
      <c r="AD112" s="2" t="str">
        <f>IFERROR(INDEX(PARADEROS_VALIDOS!$A$2:$A$68,MATCH(AC112,PARADEROS_VALIDOS!$C$2:$C$68,0)),"")</f>
        <v>RUTA 8</v>
      </c>
      <c r="AE112" s="33" cm="1">
        <f t="array" ref="AE112">ROUND(MIN(6371*ACOS(COS(RADIANS(Y112))*COS(RADIANS(PARADEROS_VALIDOS!$E$2:$E$68))*COS(RADIANS(PARADEROS_VALIDOS!$F$2:$F$68)-RADIANS(Z112))+SIN(RADIANS(Y112))*SIN(RADIANS(PARADEROS_VALIDOS!$E$2:$E$68)))),2)</f>
        <v>0.76</v>
      </c>
      <c r="AF112" s="2" t="str">
        <f t="shared" si="7"/>
        <v>🟢 Muy Cerca (0-1 km)</v>
      </c>
      <c r="AG112" s="2"/>
      <c r="AH112" s="2"/>
      <c r="AI112" s="51">
        <v>-11.997563</v>
      </c>
      <c r="AJ112" s="51">
        <v>-76.900062000000005</v>
      </c>
      <c r="AK112" s="2" t="str">
        <f>IFERROR(VLOOKUP(H112,tdcargo[],2,FALSE),"DESCONOCIDO")</f>
        <v>OPERARIO</v>
      </c>
    </row>
    <row r="113" spans="1:37" x14ac:dyDescent="0.35">
      <c r="A113" s="2" t="s">
        <v>3745</v>
      </c>
      <c r="B113" s="2" t="s">
        <v>3746</v>
      </c>
      <c r="C113" s="2" t="s">
        <v>842</v>
      </c>
      <c r="D113" s="2" t="s">
        <v>364</v>
      </c>
      <c r="E113" s="2">
        <v>37</v>
      </c>
      <c r="F113" s="2" t="s">
        <v>3255</v>
      </c>
      <c r="G113" s="2">
        <v>20508131</v>
      </c>
      <c r="H113" s="2" t="s">
        <v>3747</v>
      </c>
      <c r="I113" s="3">
        <v>44140</v>
      </c>
      <c r="J113" s="2" t="s">
        <v>31</v>
      </c>
      <c r="K113" s="3" t="s">
        <v>1968</v>
      </c>
      <c r="L113" s="2" t="s">
        <v>3413</v>
      </c>
      <c r="M113" s="2" t="s">
        <v>3305</v>
      </c>
      <c r="N113" s="2" t="s">
        <v>34</v>
      </c>
      <c r="O113" s="2" t="s">
        <v>3748</v>
      </c>
      <c r="P113" s="2" t="s">
        <v>88</v>
      </c>
      <c r="Q113" s="2" t="s">
        <v>3749</v>
      </c>
      <c r="R113" s="2" t="s">
        <v>3260</v>
      </c>
      <c r="S113" s="2" t="s">
        <v>37</v>
      </c>
      <c r="T113" s="2" t="s">
        <v>37</v>
      </c>
      <c r="U113" s="2" t="s">
        <v>38</v>
      </c>
      <c r="V113" s="3">
        <v>44140</v>
      </c>
      <c r="W113" s="2" t="s">
        <v>48</v>
      </c>
      <c r="X113" s="2" t="str">
        <f t="shared" si="4"/>
        <v>Avenida Naciones Unidas|, A.H. Asentamiento Humano Arriba Peru, San Juan De Lurigancho, Lima, Lima, Perú</v>
      </c>
      <c r="Y113" s="22">
        <v>-11.957157799999999</v>
      </c>
      <c r="Z113" s="22">
        <v>-76.994896299999994</v>
      </c>
      <c r="AA113" s="33">
        <f t="shared" si="5"/>
        <v>11.25</v>
      </c>
      <c r="AB113" s="2" t="str">
        <f t="shared" si="6"/>
        <v>🟠 Moderada (10-20 km)</v>
      </c>
      <c r="AC113" s="2" t="str" cm="1">
        <f t="array" ref="AC113">INDEX(PARADEROS_VALIDOS!$C$2:$C$68,MATCH(MIN(6371*ACOS(COS(RADIANS(Y113))*COS(RADIANS(PARADEROS_VALIDOS!$E$2:$E$68))*COS(RADIANS(PARADEROS_VALIDOS!$F$2:$F$68)-RADIANS(Z113))+SIN(RADIANS(Y113))*SIN(RADIANS(PARADEROS_VALIDOS!$E$2:$E$68)))),6371*ACOS(COS(RADIANS(Y113))*COS(RADIANS(PARADEROS_VALIDOS!$E$2:$E$68))*COS(RADIANS(PARADEROS_VALIDOS!$F$2:$F$68)-RADIANS(Z113))+SIN(RADIANS(Y113))*SIN(RADIANS(PARADEROS_VALIDOS!$E$2:$E$68))),0))</f>
        <v>Paradero Acho</v>
      </c>
      <c r="AD113" s="2" t="str">
        <f>IFERROR(INDEX(PARADEROS_VALIDOS!$A$2:$A$68,MATCH(AC113,PARADEROS_VALIDOS!$C$2:$C$68,0)),"")</f>
        <v>RUTA 8</v>
      </c>
      <c r="AE113" s="33" cm="1">
        <f t="array" ref="AE113">ROUND(MIN(6371*ACOS(COS(RADIANS(Y113))*COS(RADIANS(PARADEROS_VALIDOS!$E$2:$E$68))*COS(RADIANS(PARADEROS_VALIDOS!$F$2:$F$68)-RADIANS(Z113))+SIN(RADIANS(Y113))*SIN(RADIANS(PARADEROS_VALIDOS!$E$2:$E$68)))),2)</f>
        <v>1.96</v>
      </c>
      <c r="AF113" s="2" t="str">
        <f t="shared" si="7"/>
        <v>🟡 Cerca (1-3 km)</v>
      </c>
      <c r="AG113" s="2"/>
      <c r="AH113" s="2"/>
      <c r="AI113" s="51">
        <v>-11.997563</v>
      </c>
      <c r="AJ113" s="51">
        <v>-76.900062000000005</v>
      </c>
      <c r="AK113" s="2" t="str">
        <f>IFERROR(VLOOKUP(H113,tdcargo[],2,FALSE),"DESCONOCIDO")</f>
        <v>OPERARIO</v>
      </c>
    </row>
    <row r="114" spans="1:37" x14ac:dyDescent="0.35">
      <c r="A114" s="2" t="s">
        <v>3750</v>
      </c>
      <c r="B114" s="2" t="s">
        <v>3751</v>
      </c>
      <c r="C114" s="2" t="s">
        <v>3752</v>
      </c>
      <c r="D114" s="2" t="s">
        <v>370</v>
      </c>
      <c r="E114" s="2">
        <v>25</v>
      </c>
      <c r="F114" s="2" t="s">
        <v>3255</v>
      </c>
      <c r="G114" s="2">
        <v>20511218</v>
      </c>
      <c r="H114" s="2" t="s">
        <v>1971</v>
      </c>
      <c r="I114" s="3">
        <v>45978</v>
      </c>
      <c r="J114" s="2" t="s">
        <v>31</v>
      </c>
      <c r="K114" s="3" t="s">
        <v>1968</v>
      </c>
      <c r="L114" s="2" t="s">
        <v>3256</v>
      </c>
      <c r="M114" s="2" t="s">
        <v>3257</v>
      </c>
      <c r="N114" s="2" t="s">
        <v>82</v>
      </c>
      <c r="O114" s="2" t="s">
        <v>3753</v>
      </c>
      <c r="P114" s="2" t="s">
        <v>36</v>
      </c>
      <c r="Q114" s="2" t="s">
        <v>2128</v>
      </c>
      <c r="R114" s="2" t="s">
        <v>3291</v>
      </c>
      <c r="S114" s="2" t="s">
        <v>37</v>
      </c>
      <c r="T114" s="2" t="s">
        <v>37</v>
      </c>
      <c r="U114" s="2" t="s">
        <v>57</v>
      </c>
      <c r="V114" s="3">
        <v>45978</v>
      </c>
      <c r="W114" s="2" t="s">
        <v>135</v>
      </c>
      <c r="X114" s="2" t="str">
        <f t="shared" si="4"/>
        <v>Calle Apurimac Hijos De Apurimac, Ate, Lima, Lima, Perú</v>
      </c>
      <c r="Y114" s="22">
        <v>-12.031043800000001</v>
      </c>
      <c r="Z114" s="22">
        <v>-76.935806400000004</v>
      </c>
      <c r="AA114" s="33">
        <f t="shared" si="5"/>
        <v>5.38</v>
      </c>
      <c r="AB114" s="2" t="str">
        <f t="shared" si="6"/>
        <v>🟡 Cerca (5-10 km)</v>
      </c>
      <c r="AC114" s="2" t="str" cm="1">
        <f t="array" ref="AC114">INDEX(PARADEROS_VALIDOS!$C$2:$C$68,MATCH(MIN(6371*ACOS(COS(RADIANS(Y114))*COS(RADIANS(PARADEROS_VALIDOS!$E$2:$E$68))*COS(RADIANS(PARADEROS_VALIDOS!$F$2:$F$68)-RADIANS(Z114))+SIN(RADIANS(Y114))*SIN(RADIANS(PARADEROS_VALIDOS!$E$2:$E$68)))),6371*ACOS(COS(RADIANS(Y114))*COS(RADIANS(PARADEROS_VALIDOS!$E$2:$E$68))*COS(RADIANS(PARADEROS_VALIDOS!$F$2:$F$68)-RADIANS(Z114))+SIN(RADIANS(Y114))*SIN(RADIANS(PARADEROS_VALIDOS!$E$2:$E$68))),0))</f>
        <v>Real Plaza Puruchuco (Grifo Primax)</v>
      </c>
      <c r="AD114" s="2" t="str">
        <f>IFERROR(INDEX(PARADEROS_VALIDOS!$A$2:$A$68,MATCH(AC114,PARADEROS_VALIDOS!$C$2:$C$68,0)),"")</f>
        <v>RUTA 4A</v>
      </c>
      <c r="AE114" s="33" cm="1">
        <f t="array" ref="AE114">ROUND(MIN(6371*ACOS(COS(RADIANS(Y114))*COS(RADIANS(PARADEROS_VALIDOS!$E$2:$E$68))*COS(RADIANS(PARADEROS_VALIDOS!$F$2:$F$68)-RADIANS(Z114))+SIN(RADIANS(Y114))*SIN(RADIANS(PARADEROS_VALIDOS!$E$2:$E$68)))),2)</f>
        <v>1.22</v>
      </c>
      <c r="AF114" s="2" t="str">
        <f t="shared" si="7"/>
        <v>🟡 Cerca (1-3 km)</v>
      </c>
      <c r="AG114" s="2"/>
      <c r="AH114" s="2"/>
      <c r="AI114" s="51">
        <v>-11.997563</v>
      </c>
      <c r="AJ114" s="51">
        <v>-76.900062000000005</v>
      </c>
      <c r="AK114" s="2" t="str">
        <f>IFERROR(VLOOKUP(H114,tdcargo[],2,FALSE),"DESCONOCIDO")</f>
        <v>OPERARIO</v>
      </c>
    </row>
    <row r="115" spans="1:37" x14ac:dyDescent="0.35">
      <c r="A115" s="2" t="s">
        <v>3374</v>
      </c>
      <c r="B115" s="2" t="s">
        <v>3754</v>
      </c>
      <c r="C115" s="2" t="s">
        <v>42</v>
      </c>
      <c r="D115" s="2" t="s">
        <v>3755</v>
      </c>
      <c r="E115" s="2">
        <v>30</v>
      </c>
      <c r="F115" s="2" t="s">
        <v>3255</v>
      </c>
      <c r="G115" s="2">
        <v>20513758</v>
      </c>
      <c r="H115" s="2" t="s">
        <v>2130</v>
      </c>
      <c r="I115" s="3">
        <v>45824</v>
      </c>
      <c r="J115" s="2" t="s">
        <v>31</v>
      </c>
      <c r="K115" s="3" t="s">
        <v>1968</v>
      </c>
      <c r="L115" s="2" t="s">
        <v>3419</v>
      </c>
      <c r="M115" s="2" t="s">
        <v>3420</v>
      </c>
      <c r="N115" s="2" t="s">
        <v>82</v>
      </c>
      <c r="O115" s="2" t="s">
        <v>3756</v>
      </c>
      <c r="P115" s="2" t="s">
        <v>36</v>
      </c>
      <c r="Q115" s="2" t="s">
        <v>3757</v>
      </c>
      <c r="R115" s="2" t="s">
        <v>3291</v>
      </c>
      <c r="S115" s="2" t="s">
        <v>37</v>
      </c>
      <c r="T115" s="2" t="s">
        <v>37</v>
      </c>
      <c r="U115" s="2" t="s">
        <v>57</v>
      </c>
      <c r="V115" s="3">
        <v>45824</v>
      </c>
      <c r="W115" s="2" t="s">
        <v>39</v>
      </c>
      <c r="X115" s="2" t="str">
        <f t="shared" si="4"/>
        <v>Calle Erato Olimpo, Ate, Lima, Lima, Perú</v>
      </c>
      <c r="Y115" s="22">
        <v>-12.0723109</v>
      </c>
      <c r="Z115" s="22">
        <v>-76.976153199999999</v>
      </c>
      <c r="AA115" s="33">
        <f t="shared" si="5"/>
        <v>11.73</v>
      </c>
      <c r="AB115" s="2" t="str">
        <f t="shared" si="6"/>
        <v>🟠 Moderada (10-20 km)</v>
      </c>
      <c r="AC115" s="2" t="str" cm="1">
        <f t="array" ref="AC115">INDEX(PARADEROS_VALIDOS!$C$2:$C$68,MATCH(MIN(6371*ACOS(COS(RADIANS(Y115))*COS(RADIANS(PARADEROS_VALIDOS!$E$2:$E$68))*COS(RADIANS(PARADEROS_VALIDOS!$F$2:$F$68)-RADIANS(Z115))+SIN(RADIANS(Y115))*SIN(RADIANS(PARADEROS_VALIDOS!$E$2:$E$68)))),6371*ACOS(COS(RADIANS(Y115))*COS(RADIANS(PARADEROS_VALIDOS!$E$2:$E$68))*COS(RADIANS(PARADEROS_VALIDOS!$F$2:$F$68)-RADIANS(Z115))+SIN(RADIANS(Y115))*SIN(RADIANS(PARADEROS_VALIDOS!$E$2:$E$68))),0))</f>
        <v>Paradero Javier Prado</v>
      </c>
      <c r="AD115" s="2" t="str">
        <f>IFERROR(INDEX(PARADEROS_VALIDOS!$A$2:$A$68,MATCH(AC115,PARADEROS_VALIDOS!$C$2:$C$68,0)),"")</f>
        <v>RUTA 7</v>
      </c>
      <c r="AE115" s="33" cm="1">
        <f t="array" ref="AE115">ROUND(MIN(6371*ACOS(COS(RADIANS(Y115))*COS(RADIANS(PARADEROS_VALIDOS!$E$2:$E$68))*COS(RADIANS(PARADEROS_VALIDOS!$F$2:$F$68)-RADIANS(Z115))+SIN(RADIANS(Y115))*SIN(RADIANS(PARADEROS_VALIDOS!$E$2:$E$68)))),2)</f>
        <v>1.1499999999999999</v>
      </c>
      <c r="AF115" s="2" t="str">
        <f t="shared" si="7"/>
        <v>🟡 Cerca (1-3 km)</v>
      </c>
      <c r="AG115" s="2"/>
      <c r="AH115" s="2"/>
      <c r="AI115" s="51">
        <v>-11.997563</v>
      </c>
      <c r="AJ115" s="51">
        <v>-76.900062000000005</v>
      </c>
      <c r="AK115" s="2" t="str">
        <f>IFERROR(VLOOKUP(H115,tdcargo[],2,FALSE),"DESCONOCIDO")</f>
        <v>STAFF</v>
      </c>
    </row>
    <row r="116" spans="1:37" x14ac:dyDescent="0.35">
      <c r="A116" s="2" t="s">
        <v>3758</v>
      </c>
      <c r="B116" s="2" t="s">
        <v>3759</v>
      </c>
      <c r="C116" s="2" t="s">
        <v>93</v>
      </c>
      <c r="D116" s="2" t="s">
        <v>1548</v>
      </c>
      <c r="E116" s="2">
        <v>21</v>
      </c>
      <c r="F116" s="2" t="s">
        <v>3255</v>
      </c>
      <c r="G116" s="2">
        <v>20511982</v>
      </c>
      <c r="H116" s="2" t="s">
        <v>1971</v>
      </c>
      <c r="I116" s="3">
        <v>46055</v>
      </c>
      <c r="J116" s="2" t="s">
        <v>31</v>
      </c>
      <c r="K116" s="3" t="s">
        <v>1968</v>
      </c>
      <c r="L116" s="2" t="s">
        <v>3278</v>
      </c>
      <c r="M116" s="2" t="s">
        <v>3279</v>
      </c>
      <c r="N116" s="2" t="s">
        <v>36</v>
      </c>
      <c r="O116" s="2" t="s">
        <v>3760</v>
      </c>
      <c r="P116" s="2" t="s">
        <v>36</v>
      </c>
      <c r="Q116" s="2" t="s">
        <v>3761</v>
      </c>
      <c r="R116" s="2" t="s">
        <v>3274</v>
      </c>
      <c r="S116" s="2" t="s">
        <v>37</v>
      </c>
      <c r="T116" s="2" t="s">
        <v>37</v>
      </c>
      <c r="U116" s="2" t="s">
        <v>76</v>
      </c>
      <c r="V116" s="3">
        <v>46055</v>
      </c>
      <c r="W116" s="2" t="s">
        <v>135</v>
      </c>
      <c r="X116" s="2" t="str">
        <f t="shared" si="4"/>
        <v>Mz A Lt 1 Sublt B SARACOTO HUACHIPA, Lurigancho, Lima, Lima, Perú</v>
      </c>
      <c r="Y116" s="22">
        <v>-12.014094699999999</v>
      </c>
      <c r="Z116" s="22">
        <v>-76.916338100000004</v>
      </c>
      <c r="AA116" s="33">
        <f t="shared" si="5"/>
        <v>2.5499999999999998</v>
      </c>
      <c r="AB116" s="2" t="str">
        <f t="shared" si="6"/>
        <v>🟢 Muy Cerca (0-5 km)</v>
      </c>
      <c r="AC116" s="2" t="str" cm="1">
        <f t="array" ref="AC116">INDEX(PARADEROS_VALIDOS!$C$2:$C$68,MATCH(MIN(6371*ACOS(COS(RADIANS(Y116))*COS(RADIANS(PARADEROS_VALIDOS!$E$2:$E$68))*COS(RADIANS(PARADEROS_VALIDOS!$F$2:$F$68)-RADIANS(Z116))+SIN(RADIANS(Y116))*SIN(RADIANS(PARADEROS_VALIDOS!$E$2:$E$68)))),6371*ACOS(COS(RADIANS(Y116))*COS(RADIANS(PARADEROS_VALIDOS!$E$2:$E$68))*COS(RADIANS(PARADEROS_VALIDOS!$F$2:$F$68)-RADIANS(Z116))+SIN(RADIANS(Y116))*SIN(RADIANS(PARADEROS_VALIDOS!$E$2:$E$68))),0))</f>
        <v>Estadio Huachipa</v>
      </c>
      <c r="AD116" s="2" t="str">
        <f>IFERROR(INDEX(PARADEROS_VALIDOS!$A$2:$A$68,MATCH(AC116,PARADEROS_VALIDOS!$C$2:$C$68,0)),"")</f>
        <v>RUTA 5C</v>
      </c>
      <c r="AE116" s="33" cm="1">
        <f t="array" ref="AE116">ROUND(MIN(6371*ACOS(COS(RADIANS(Y116))*COS(RADIANS(PARADEROS_VALIDOS!$E$2:$E$68))*COS(RADIANS(PARADEROS_VALIDOS!$F$2:$F$68)-RADIANS(Z116))+SIN(RADIANS(Y116))*SIN(RADIANS(PARADEROS_VALIDOS!$E$2:$E$68)))),2)</f>
        <v>0</v>
      </c>
      <c r="AF116" s="2" t="str">
        <f t="shared" si="7"/>
        <v>🟢 Muy Cerca (0-1 km)</v>
      </c>
      <c r="AG116" s="2"/>
      <c r="AH116" s="2"/>
      <c r="AI116" s="51">
        <v>-11.997563</v>
      </c>
      <c r="AJ116" s="51">
        <v>-76.900062000000005</v>
      </c>
      <c r="AK116" s="2" t="str">
        <f>IFERROR(VLOOKUP(H116,tdcargo[],2,FALSE),"DESCONOCIDO")</f>
        <v>OPERARIO</v>
      </c>
    </row>
    <row r="117" spans="1:37" x14ac:dyDescent="0.35">
      <c r="A117" s="2" t="s">
        <v>3762</v>
      </c>
      <c r="B117" s="2" t="s">
        <v>3763</v>
      </c>
      <c r="C117" s="2" t="s">
        <v>42</v>
      </c>
      <c r="D117" s="2" t="s">
        <v>3764</v>
      </c>
      <c r="E117" s="2">
        <v>22</v>
      </c>
      <c r="F117" s="2" t="s">
        <v>3255</v>
      </c>
      <c r="G117" s="2">
        <v>20508115</v>
      </c>
      <c r="H117" s="2" t="s">
        <v>1971</v>
      </c>
      <c r="I117" s="3">
        <v>46055</v>
      </c>
      <c r="J117" s="2" t="s">
        <v>31</v>
      </c>
      <c r="K117" s="3" t="s">
        <v>1968</v>
      </c>
      <c r="L117" s="2" t="s">
        <v>3271</v>
      </c>
      <c r="M117" s="2" t="s">
        <v>3272</v>
      </c>
      <c r="N117" s="2" t="s">
        <v>36</v>
      </c>
      <c r="O117" s="2" t="s">
        <v>3765</v>
      </c>
      <c r="P117" s="2" t="s">
        <v>88</v>
      </c>
      <c r="Q117" s="2" t="s">
        <v>3381</v>
      </c>
      <c r="R117" s="2" t="s">
        <v>3291</v>
      </c>
      <c r="S117" s="2" t="s">
        <v>37</v>
      </c>
      <c r="T117" s="2" t="s">
        <v>37</v>
      </c>
      <c r="U117" s="2" t="s">
        <v>57</v>
      </c>
      <c r="V117" s="3">
        <v>46055</v>
      </c>
      <c r="W117" s="2" t="s">
        <v>135</v>
      </c>
      <c r="X117" s="2" t="str">
        <f t="shared" si="4"/>
        <v>1248, A.H. Asentamiento Humano ZONA I, Ate, Lima, Lima, Perú</v>
      </c>
      <c r="Y117" s="22">
        <v>-12.023660400000001</v>
      </c>
      <c r="Z117" s="22">
        <v>-76.824883799999995</v>
      </c>
      <c r="AA117" s="33">
        <f t="shared" si="5"/>
        <v>8.68</v>
      </c>
      <c r="AB117" s="2" t="str">
        <f t="shared" si="6"/>
        <v>🟡 Cerca (5-10 km)</v>
      </c>
      <c r="AC117" s="2" t="str" cm="1">
        <f t="array" ref="AC117">INDEX(PARADEROS_VALIDOS!$C$2:$C$68,MATCH(MIN(6371*ACOS(COS(RADIANS(Y117))*COS(RADIANS(PARADEROS_VALIDOS!$E$2:$E$68))*COS(RADIANS(PARADEROS_VALIDOS!$F$2:$F$68)-RADIANS(Z117))+SIN(RADIANS(Y117))*SIN(RADIANS(PARADEROS_VALIDOS!$E$2:$E$68)))),6371*ACOS(COS(RADIANS(Y117))*COS(RADIANS(PARADEROS_VALIDOS!$E$2:$E$68))*COS(RADIANS(PARADEROS_VALIDOS!$F$2:$F$68)-RADIANS(Z117))+SIN(RADIANS(Y117))*SIN(RADIANS(PARADEROS_VALIDOS!$E$2:$E$68))),0))</f>
        <v>Paradero Aurora</v>
      </c>
      <c r="AD117" s="2" t="str">
        <f>IFERROR(INDEX(PARADEROS_VALIDOS!$A$2:$A$68,MATCH(AC117,PARADEROS_VALIDOS!$C$2:$C$68,0)),"")</f>
        <v>RUTA 3</v>
      </c>
      <c r="AE117" s="33" cm="1">
        <f t="array" ref="AE117">ROUND(MIN(6371*ACOS(COS(RADIANS(Y117))*COS(RADIANS(PARADEROS_VALIDOS!$E$2:$E$68))*COS(RADIANS(PARADEROS_VALIDOS!$F$2:$F$68)-RADIANS(Z117))+SIN(RADIANS(Y117))*SIN(RADIANS(PARADEROS_VALIDOS!$E$2:$E$68)))),2)</f>
        <v>0.35</v>
      </c>
      <c r="AF117" s="2" t="str">
        <f t="shared" si="7"/>
        <v>🟢 Muy Cerca (0-1 km)</v>
      </c>
      <c r="AG117" s="2"/>
      <c r="AH117" s="2"/>
      <c r="AI117" s="51">
        <v>-11.997563</v>
      </c>
      <c r="AJ117" s="51">
        <v>-76.900062000000005</v>
      </c>
      <c r="AK117" s="2" t="str">
        <f>IFERROR(VLOOKUP(H117,tdcargo[],2,FALSE),"DESCONOCIDO")</f>
        <v>OPERARIO</v>
      </c>
    </row>
    <row r="118" spans="1:37" x14ac:dyDescent="0.35">
      <c r="A118" s="2" t="s">
        <v>3766</v>
      </c>
      <c r="B118" s="2" t="s">
        <v>3572</v>
      </c>
      <c r="C118" s="2" t="s">
        <v>572</v>
      </c>
      <c r="D118" s="2" t="s">
        <v>3767</v>
      </c>
      <c r="E118" s="2">
        <v>58</v>
      </c>
      <c r="F118" s="2" t="s">
        <v>3255</v>
      </c>
      <c r="G118" s="2">
        <v>20508048</v>
      </c>
      <c r="H118" s="2" t="s">
        <v>1971</v>
      </c>
      <c r="I118" s="3">
        <v>44476</v>
      </c>
      <c r="J118" s="2" t="s">
        <v>31</v>
      </c>
      <c r="K118" s="3" t="s">
        <v>1968</v>
      </c>
      <c r="L118" s="2" t="s">
        <v>3299</v>
      </c>
      <c r="M118" s="2" t="s">
        <v>3300</v>
      </c>
      <c r="N118" s="2" t="s">
        <v>36</v>
      </c>
      <c r="O118" s="2" t="s">
        <v>3768</v>
      </c>
      <c r="P118" s="2" t="s">
        <v>36</v>
      </c>
      <c r="Q118" s="2" t="s">
        <v>3768</v>
      </c>
      <c r="R118" s="2" t="s">
        <v>3291</v>
      </c>
      <c r="S118" s="2" t="s">
        <v>37</v>
      </c>
      <c r="T118" s="2" t="s">
        <v>37</v>
      </c>
      <c r="U118" s="2" t="s">
        <v>57</v>
      </c>
      <c r="V118" s="3">
        <v>44476</v>
      </c>
      <c r="W118" s="2" t="s">
        <v>48</v>
      </c>
      <c r="X118" s="2" t="str">
        <f t="shared" si="4"/>
        <v>Fortaleza Vitarte Fortaleza Vitarte, Ate, Lima, Lima, Perú</v>
      </c>
      <c r="Y118" s="22">
        <v>-12.032997</v>
      </c>
      <c r="Z118" s="22">
        <v>-76.940539799999996</v>
      </c>
      <c r="AA118" s="33">
        <f t="shared" si="5"/>
        <v>5.91</v>
      </c>
      <c r="AB118" s="2" t="str">
        <f t="shared" si="6"/>
        <v>🟡 Cerca (5-10 km)</v>
      </c>
      <c r="AC118" s="2" t="str" cm="1">
        <f t="array" ref="AC118">INDEX(PARADEROS_VALIDOS!$C$2:$C$68,MATCH(MIN(6371*ACOS(COS(RADIANS(Y118))*COS(RADIANS(PARADEROS_VALIDOS!$E$2:$E$68))*COS(RADIANS(PARADEROS_VALIDOS!$F$2:$F$68)-RADIANS(Z118))+SIN(RADIANS(Y118))*SIN(RADIANS(PARADEROS_VALIDOS!$E$2:$E$68)))),6371*ACOS(COS(RADIANS(Y118))*COS(RADIANS(PARADEROS_VALIDOS!$E$2:$E$68))*COS(RADIANS(PARADEROS_VALIDOS!$F$2:$F$68)-RADIANS(Z118))+SIN(RADIANS(Y118))*SIN(RADIANS(PARADEROS_VALIDOS!$E$2:$E$68))),0))</f>
        <v>Real Plaza Puruchuco (Grifo Primax)</v>
      </c>
      <c r="AD118" s="2" t="str">
        <f>IFERROR(INDEX(PARADEROS_VALIDOS!$A$2:$A$68,MATCH(AC118,PARADEROS_VALIDOS!$C$2:$C$68,0)),"")</f>
        <v>RUTA 4A</v>
      </c>
      <c r="AE118" s="33" cm="1">
        <f t="array" ref="AE118">ROUND(MIN(6371*ACOS(COS(RADIANS(Y118))*COS(RADIANS(PARADEROS_VALIDOS!$E$2:$E$68))*COS(RADIANS(PARADEROS_VALIDOS!$F$2:$F$68)-RADIANS(Z118))+SIN(RADIANS(Y118))*SIN(RADIANS(PARADEROS_VALIDOS!$E$2:$E$68)))),2)</f>
        <v>1.32</v>
      </c>
      <c r="AF118" s="2" t="str">
        <f t="shared" si="7"/>
        <v>🟡 Cerca (1-3 km)</v>
      </c>
      <c r="AG118" s="2"/>
      <c r="AH118" s="2"/>
      <c r="AI118" s="51">
        <v>-11.997563</v>
      </c>
      <c r="AJ118" s="51">
        <v>-76.900062000000005</v>
      </c>
      <c r="AK118" s="2" t="str">
        <f>IFERROR(VLOOKUP(H118,tdcargo[],2,FALSE),"DESCONOCIDO")</f>
        <v>OPERARIO</v>
      </c>
    </row>
    <row r="119" spans="1:37" x14ac:dyDescent="0.35">
      <c r="A119" s="2" t="s">
        <v>3769</v>
      </c>
      <c r="B119" s="2" t="s">
        <v>3770</v>
      </c>
      <c r="C119" s="2" t="s">
        <v>3771</v>
      </c>
      <c r="D119" s="2" t="s">
        <v>1233</v>
      </c>
      <c r="E119" s="2">
        <v>23</v>
      </c>
      <c r="F119" s="2" t="s">
        <v>3255</v>
      </c>
      <c r="G119" s="2">
        <v>20508079</v>
      </c>
      <c r="H119" s="2" t="s">
        <v>1971</v>
      </c>
      <c r="I119" s="3">
        <v>45425</v>
      </c>
      <c r="J119" s="2" t="s">
        <v>31</v>
      </c>
      <c r="K119" s="3" t="s">
        <v>1968</v>
      </c>
      <c r="L119" s="2" t="s">
        <v>3299</v>
      </c>
      <c r="M119" s="2" t="s">
        <v>3300</v>
      </c>
      <c r="N119" s="2" t="s">
        <v>34</v>
      </c>
      <c r="O119" s="2" t="s">
        <v>3772</v>
      </c>
      <c r="P119" s="2" t="s">
        <v>36</v>
      </c>
      <c r="Q119" s="2" t="s">
        <v>3773</v>
      </c>
      <c r="R119" s="2" t="s">
        <v>3274</v>
      </c>
      <c r="S119" s="2" t="s">
        <v>37</v>
      </c>
      <c r="T119" s="2" t="s">
        <v>37</v>
      </c>
      <c r="U119" s="2" t="s">
        <v>76</v>
      </c>
      <c r="V119" s="3">
        <v>45425</v>
      </c>
      <c r="W119" s="2" t="s">
        <v>48</v>
      </c>
      <c r="X119" s="2" t="str">
        <f t="shared" si="4"/>
        <v>Avenida Los Portales De Basilio Auqui Sector 9, Lurigancho, Lima, Lima, Perú</v>
      </c>
      <c r="Y119" s="22">
        <v>-11.993672</v>
      </c>
      <c r="Z119" s="22">
        <v>-76.951343199999997</v>
      </c>
      <c r="AA119" s="33">
        <f t="shared" si="5"/>
        <v>5.59</v>
      </c>
      <c r="AB119" s="2" t="str">
        <f t="shared" si="6"/>
        <v>🟡 Cerca (5-10 km)</v>
      </c>
      <c r="AC119" s="2" t="str" cm="1">
        <f t="array" ref="AC119">INDEX(PARADEROS_VALIDOS!$C$2:$C$68,MATCH(MIN(6371*ACOS(COS(RADIANS(Y119))*COS(RADIANS(PARADEROS_VALIDOS!$E$2:$E$68))*COS(RADIANS(PARADEROS_VALIDOS!$F$2:$F$68)-RADIANS(Z119))+SIN(RADIANS(Y119))*SIN(RADIANS(PARADEROS_VALIDOS!$E$2:$E$68)))),6371*ACOS(COS(RADIANS(Y119))*COS(RADIANS(PARADEROS_VALIDOS!$E$2:$E$68))*COS(RADIANS(PARADEROS_VALIDOS!$F$2:$F$68)-RADIANS(Z119))+SIN(RADIANS(Y119))*SIN(RADIANS(PARADEROS_VALIDOS!$E$2:$E$68))),0))</f>
        <v>Paradero Saracoto</v>
      </c>
      <c r="AD119" s="2" t="str">
        <f>IFERROR(INDEX(PARADEROS_VALIDOS!$A$2:$A$68,MATCH(AC119,PARADEROS_VALIDOS!$C$2:$C$68,0)),"")</f>
        <v>RUTA 1</v>
      </c>
      <c r="AE119" s="33" cm="1">
        <f t="array" ref="AE119">ROUND(MIN(6371*ACOS(COS(RADIANS(Y119))*COS(RADIANS(PARADEROS_VALIDOS!$E$2:$E$68))*COS(RADIANS(PARADEROS_VALIDOS!$F$2:$F$68)-RADIANS(Z119))+SIN(RADIANS(Y119))*SIN(RADIANS(PARADEROS_VALIDOS!$E$2:$E$68)))),2)</f>
        <v>3.9</v>
      </c>
      <c r="AF119" s="2" t="str">
        <f t="shared" si="7"/>
        <v>🟠 Moderada (3-5 km)</v>
      </c>
      <c r="AG119" s="2"/>
      <c r="AH119" s="2"/>
      <c r="AI119" s="51">
        <v>-11.997563</v>
      </c>
      <c r="AJ119" s="51">
        <v>-76.900062000000005</v>
      </c>
      <c r="AK119" s="2" t="str">
        <f>IFERROR(VLOOKUP(H119,tdcargo[],2,FALSE),"DESCONOCIDO")</f>
        <v>OPERARIO</v>
      </c>
    </row>
    <row r="120" spans="1:37" x14ac:dyDescent="0.35">
      <c r="A120" s="2" t="s">
        <v>3774</v>
      </c>
      <c r="B120" s="2" t="s">
        <v>3775</v>
      </c>
      <c r="C120" s="2" t="s">
        <v>3776</v>
      </c>
      <c r="D120" s="2" t="s">
        <v>1844</v>
      </c>
      <c r="E120" s="2">
        <v>34</v>
      </c>
      <c r="F120" s="2" t="s">
        <v>3255</v>
      </c>
      <c r="G120" s="2">
        <v>20508135</v>
      </c>
      <c r="H120" s="2" t="s">
        <v>372</v>
      </c>
      <c r="I120" s="3">
        <v>45856</v>
      </c>
      <c r="J120" s="2" t="s">
        <v>31</v>
      </c>
      <c r="K120" s="3" t="s">
        <v>1968</v>
      </c>
      <c r="L120" s="2" t="s">
        <v>3413</v>
      </c>
      <c r="M120" s="2" t="s">
        <v>3305</v>
      </c>
      <c r="N120" s="2" t="s">
        <v>36</v>
      </c>
      <c r="O120" s="2" t="s">
        <v>3777</v>
      </c>
      <c r="P120" s="2" t="s">
        <v>36</v>
      </c>
      <c r="Q120" s="2" t="s">
        <v>322</v>
      </c>
      <c r="R120" s="2" t="s">
        <v>3274</v>
      </c>
      <c r="S120" s="2" t="s">
        <v>37</v>
      </c>
      <c r="T120" s="2" t="s">
        <v>37</v>
      </c>
      <c r="U120" s="2" t="s">
        <v>76</v>
      </c>
      <c r="V120" s="3">
        <v>45856</v>
      </c>
      <c r="W120" s="2" t="s">
        <v>39</v>
      </c>
      <c r="X120" s="2" t="str">
        <f t="shared" si="4"/>
        <v>Comunid. Campesina De Jicamarca Cerro Camote, Lurigancho, Lima, Lima, Perú</v>
      </c>
      <c r="Y120" s="22">
        <v>-11.978562699999999</v>
      </c>
      <c r="Z120" s="22">
        <v>-76.939664399999998</v>
      </c>
      <c r="AA120" s="33">
        <f t="shared" si="5"/>
        <v>4.8</v>
      </c>
      <c r="AB120" s="2" t="str">
        <f t="shared" si="6"/>
        <v>🟢 Muy Cerca (0-5 km)</v>
      </c>
      <c r="AC120" s="2" t="str" cm="1">
        <f t="array" ref="AC120">INDEX(PARADEROS_VALIDOS!$C$2:$C$68,MATCH(MIN(6371*ACOS(COS(RADIANS(Y120))*COS(RADIANS(PARADEROS_VALIDOS!$E$2:$E$68))*COS(RADIANS(PARADEROS_VALIDOS!$F$2:$F$68)-RADIANS(Z120))+SIN(RADIANS(Y120))*SIN(RADIANS(PARADEROS_VALIDOS!$E$2:$E$68)))),6371*ACOS(COS(RADIANS(Y120))*COS(RADIANS(PARADEROS_VALIDOS!$E$2:$E$68))*COS(RADIANS(PARADEROS_VALIDOS!$F$2:$F$68)-RADIANS(Z120))+SIN(RADIANS(Y120))*SIN(RADIANS(PARADEROS_VALIDOS!$E$2:$E$68))),0))</f>
        <v>Paradero Arco San Antonio</v>
      </c>
      <c r="AD120" s="2" t="str">
        <f>IFERROR(INDEX(PARADEROS_VALIDOS!$A$2:$A$68,MATCH(AC120,PARADEROS_VALIDOS!$C$2:$C$68,0)),"")</f>
        <v>RUTA 2</v>
      </c>
      <c r="AE120" s="33" cm="1">
        <f t="array" ref="AE120">ROUND(MIN(6371*ACOS(COS(RADIANS(Y120))*COS(RADIANS(PARADEROS_VALIDOS!$E$2:$E$68))*COS(RADIANS(PARADEROS_VALIDOS!$F$2:$F$68)-RADIANS(Z120))+SIN(RADIANS(Y120))*SIN(RADIANS(PARADEROS_VALIDOS!$E$2:$E$68)))),2)</f>
        <v>4.3099999999999996</v>
      </c>
      <c r="AF120" s="2" t="str">
        <f t="shared" si="7"/>
        <v>🟠 Moderada (3-5 km)</v>
      </c>
      <c r="AG120" s="2"/>
      <c r="AH120" s="2"/>
      <c r="AI120" s="51">
        <v>-11.997563</v>
      </c>
      <c r="AJ120" s="51">
        <v>-76.900062000000005</v>
      </c>
      <c r="AK120" s="2" t="str">
        <f>IFERROR(VLOOKUP(H120,tdcargo[],2,FALSE),"DESCONOCIDO")</f>
        <v>OPERARIO</v>
      </c>
    </row>
    <row r="121" spans="1:37" x14ac:dyDescent="0.35">
      <c r="A121" s="2" t="s">
        <v>3778</v>
      </c>
      <c r="B121" s="2" t="s">
        <v>3779</v>
      </c>
      <c r="C121" s="2" t="s">
        <v>3780</v>
      </c>
      <c r="D121" s="2" t="s">
        <v>87</v>
      </c>
      <c r="E121" s="2">
        <v>19</v>
      </c>
      <c r="F121" s="2" t="s">
        <v>3255</v>
      </c>
      <c r="G121" s="2">
        <v>20507984</v>
      </c>
      <c r="H121" s="2" t="s">
        <v>1971</v>
      </c>
      <c r="I121" s="3">
        <v>45964</v>
      </c>
      <c r="J121" s="2" t="s">
        <v>31</v>
      </c>
      <c r="K121" s="3" t="s">
        <v>1968</v>
      </c>
      <c r="L121" s="2" t="s">
        <v>3256</v>
      </c>
      <c r="M121" s="2" t="s">
        <v>3257</v>
      </c>
      <c r="N121" s="2" t="s">
        <v>82</v>
      </c>
      <c r="O121" s="2" t="s">
        <v>3781</v>
      </c>
      <c r="P121" s="2" t="s">
        <v>36</v>
      </c>
      <c r="Q121" s="2" t="s">
        <v>3782</v>
      </c>
      <c r="R121" s="2" t="s">
        <v>3291</v>
      </c>
      <c r="S121" s="2" t="s">
        <v>37</v>
      </c>
      <c r="T121" s="2" t="s">
        <v>37</v>
      </c>
      <c r="U121" s="2" t="s">
        <v>57</v>
      </c>
      <c r="V121" s="3">
        <v>45964</v>
      </c>
      <c r="W121" s="2" t="s">
        <v>39</v>
      </c>
      <c r="X121" s="2" t="str">
        <f t="shared" si="4"/>
        <v>Calle Nazca S/N Lot. Semirustico - E, Ate, Lima, Lima, Perú</v>
      </c>
      <c r="Y121" s="22">
        <v>-12.0051758</v>
      </c>
      <c r="Z121" s="22">
        <v>-76.833719700000003</v>
      </c>
      <c r="AA121" s="33">
        <f t="shared" si="5"/>
        <v>7.27</v>
      </c>
      <c r="AB121" s="2" t="str">
        <f t="shared" si="6"/>
        <v>🟡 Cerca (5-10 km)</v>
      </c>
      <c r="AC121" s="2" t="str" cm="1">
        <f t="array" ref="AC121">INDEX(PARADEROS_VALIDOS!$C$2:$C$68,MATCH(MIN(6371*ACOS(COS(RADIANS(Y121))*COS(RADIANS(PARADEROS_VALIDOS!$E$2:$E$68))*COS(RADIANS(PARADEROS_VALIDOS!$F$2:$F$68)-RADIANS(Z121))+SIN(RADIANS(Y121))*SIN(RADIANS(PARADEROS_VALIDOS!$E$2:$E$68)))),6371*ACOS(COS(RADIANS(Y121))*COS(RADIANS(PARADEROS_VALIDOS!$E$2:$E$68))*COS(RADIANS(PARADEROS_VALIDOS!$F$2:$F$68)-RADIANS(Z121))+SIN(RADIANS(Y121))*SIN(RADIANS(PARADEROS_VALIDOS!$E$2:$E$68))),0))</f>
        <v>Entrada Huaycán</v>
      </c>
      <c r="AD121" s="2" t="str">
        <f>IFERROR(INDEX(PARADEROS_VALIDOS!$A$2:$A$68,MATCH(AC121,PARADEROS_VALIDOS!$C$2:$C$68,0)),"")</f>
        <v>RUTA 5B</v>
      </c>
      <c r="AE121" s="33" cm="1">
        <f t="array" ref="AE121">ROUND(MIN(6371*ACOS(COS(RADIANS(Y121))*COS(RADIANS(PARADEROS_VALIDOS!$E$2:$E$68))*COS(RADIANS(PARADEROS_VALIDOS!$F$2:$F$68)-RADIANS(Z121))+SIN(RADIANS(Y121))*SIN(RADIANS(PARADEROS_VALIDOS!$E$2:$E$68)))),2)</f>
        <v>0.75</v>
      </c>
      <c r="AF121" s="2" t="str">
        <f t="shared" si="7"/>
        <v>🟢 Muy Cerca (0-1 km)</v>
      </c>
      <c r="AG121" s="2"/>
      <c r="AH121" s="2"/>
      <c r="AI121" s="51">
        <v>-11.997563</v>
      </c>
      <c r="AJ121" s="51">
        <v>-76.900062000000005</v>
      </c>
      <c r="AK121" s="2" t="str">
        <f>IFERROR(VLOOKUP(H121,tdcargo[],2,FALSE),"DESCONOCIDO")</f>
        <v>OPERARIO</v>
      </c>
    </row>
    <row r="122" spans="1:37" x14ac:dyDescent="0.35">
      <c r="A122" s="2" t="s">
        <v>3783</v>
      </c>
      <c r="B122" s="2" t="s">
        <v>3784</v>
      </c>
      <c r="C122" s="2" t="s">
        <v>3785</v>
      </c>
      <c r="D122" s="2" t="s">
        <v>3786</v>
      </c>
      <c r="E122" s="2">
        <v>34</v>
      </c>
      <c r="F122" s="2" t="s">
        <v>3255</v>
      </c>
      <c r="G122" s="2">
        <v>20507977</v>
      </c>
      <c r="H122" s="2" t="s">
        <v>1971</v>
      </c>
      <c r="I122" s="3">
        <v>44518</v>
      </c>
      <c r="J122" s="2" t="s">
        <v>31</v>
      </c>
      <c r="K122" s="3" t="s">
        <v>1968</v>
      </c>
      <c r="L122" s="2" t="s">
        <v>3256</v>
      </c>
      <c r="M122" s="2" t="s">
        <v>3257</v>
      </c>
      <c r="N122" s="2" t="s">
        <v>36</v>
      </c>
      <c r="O122" s="2" t="s">
        <v>3787</v>
      </c>
      <c r="P122" s="2" t="s">
        <v>66</v>
      </c>
      <c r="Q122" s="2" t="s">
        <v>38</v>
      </c>
      <c r="R122" s="2" t="s">
        <v>3260</v>
      </c>
      <c r="S122" s="2" t="s">
        <v>37</v>
      </c>
      <c r="T122" s="2" t="s">
        <v>37</v>
      </c>
      <c r="U122" s="2" t="s">
        <v>38</v>
      </c>
      <c r="V122" s="3">
        <v>44518</v>
      </c>
      <c r="W122" s="2" t="s">
        <v>48</v>
      </c>
      <c r="X122" s="2" t="str">
        <f t="shared" si="4"/>
        <v>Agrupacion Familiar El Bosque Mz C, U.V. Unidad Vecinal San Juan De Lurigancho, San Juan De Lurigancho, Lima, Lima, Perú</v>
      </c>
      <c r="Y122" s="22">
        <v>-11.930337099999999</v>
      </c>
      <c r="Z122" s="22">
        <v>-76.989313800000005</v>
      </c>
      <c r="AA122" s="33">
        <f t="shared" si="5"/>
        <v>12.25</v>
      </c>
      <c r="AB122" s="2" t="str">
        <f t="shared" si="6"/>
        <v>🟠 Moderada (10-20 km)</v>
      </c>
      <c r="AC122" s="2" t="str" cm="1">
        <f t="array" ref="AC122">INDEX(PARADEROS_VALIDOS!$C$2:$C$68,MATCH(MIN(6371*ACOS(COS(RADIANS(Y122))*COS(RADIANS(PARADEROS_VALIDOS!$E$2:$E$68))*COS(RADIANS(PARADEROS_VALIDOS!$F$2:$F$68)-RADIANS(Z122))+SIN(RADIANS(Y122))*SIN(RADIANS(PARADEROS_VALIDOS!$E$2:$E$68)))),6371*ACOS(COS(RADIANS(Y122))*COS(RADIANS(PARADEROS_VALIDOS!$E$2:$E$68))*COS(RADIANS(PARADEROS_VALIDOS!$F$2:$F$68)-RADIANS(Z122))+SIN(RADIANS(Y122))*SIN(RADIANS(PARADEROS_VALIDOS!$E$2:$E$68))),0))</f>
        <v>Paradero Acho</v>
      </c>
      <c r="AD122" s="2" t="str">
        <f>IFERROR(INDEX(PARADEROS_VALIDOS!$A$2:$A$68,MATCH(AC122,PARADEROS_VALIDOS!$C$2:$C$68,0)),"")</f>
        <v>RUTA 8</v>
      </c>
      <c r="AE122" s="33" cm="1">
        <f t="array" ref="AE122">ROUND(MIN(6371*ACOS(COS(RADIANS(Y122))*COS(RADIANS(PARADEROS_VALIDOS!$E$2:$E$68))*COS(RADIANS(PARADEROS_VALIDOS!$F$2:$F$68)-RADIANS(Z122))+SIN(RADIANS(Y122))*SIN(RADIANS(PARADEROS_VALIDOS!$E$2:$E$68)))),2)</f>
        <v>4.93</v>
      </c>
      <c r="AF122" s="2" t="str">
        <f t="shared" si="7"/>
        <v>🟠 Moderada (3-5 km)</v>
      </c>
      <c r="AG122" s="2"/>
      <c r="AH122" s="2"/>
      <c r="AI122" s="51">
        <v>-11.997563</v>
      </c>
      <c r="AJ122" s="51">
        <v>-76.900062000000005</v>
      </c>
      <c r="AK122" s="2" t="str">
        <f>IFERROR(VLOOKUP(H122,tdcargo[],2,FALSE),"DESCONOCIDO")</f>
        <v>OPERARIO</v>
      </c>
    </row>
    <row r="123" spans="1:37" x14ac:dyDescent="0.35">
      <c r="A123" s="2" t="s">
        <v>3788</v>
      </c>
      <c r="B123" s="2" t="s">
        <v>3789</v>
      </c>
      <c r="C123" s="2" t="s">
        <v>479</v>
      </c>
      <c r="D123" s="2" t="s">
        <v>42</v>
      </c>
      <c r="E123" s="2">
        <v>54</v>
      </c>
      <c r="F123" s="2" t="s">
        <v>3255</v>
      </c>
      <c r="G123" s="2">
        <v>20508039</v>
      </c>
      <c r="H123" s="2" t="s">
        <v>1971</v>
      </c>
      <c r="I123" s="3">
        <v>42290</v>
      </c>
      <c r="J123" s="2" t="s">
        <v>31</v>
      </c>
      <c r="K123" s="3" t="s">
        <v>1968</v>
      </c>
      <c r="L123" s="2" t="s">
        <v>3278</v>
      </c>
      <c r="M123" s="2" t="s">
        <v>3279</v>
      </c>
      <c r="N123" s="2" t="s">
        <v>36</v>
      </c>
      <c r="O123" s="2" t="s">
        <v>3790</v>
      </c>
      <c r="P123" s="2" t="s">
        <v>36</v>
      </c>
      <c r="Q123" s="2" t="s">
        <v>3791</v>
      </c>
      <c r="R123" s="2" t="s">
        <v>3455</v>
      </c>
      <c r="S123" s="2" t="s">
        <v>37</v>
      </c>
      <c r="T123" s="2" t="s">
        <v>37</v>
      </c>
      <c r="U123" s="2" t="s">
        <v>310</v>
      </c>
      <c r="V123" s="3">
        <v>42290</v>
      </c>
      <c r="W123" s="2" t="s">
        <v>48</v>
      </c>
      <c r="X123" s="2" t="str">
        <f t="shared" si="4"/>
        <v>Km 23.5 Panamericana Sur Llanavilla, Villa El Salvador, Lima, Lima, Perú</v>
      </c>
      <c r="Y123" s="22">
        <v>-12.2433817</v>
      </c>
      <c r="Z123" s="22">
        <v>-76.941503999999995</v>
      </c>
      <c r="AA123" s="33">
        <f t="shared" si="5"/>
        <v>27.7</v>
      </c>
      <c r="AB123" s="2" t="str">
        <f t="shared" si="6"/>
        <v>🔴 Lejos (&gt;20 km)</v>
      </c>
      <c r="AC123" s="2" t="str" cm="1">
        <f t="array" ref="AC123">INDEX(PARADEROS_VALIDOS!$C$2:$C$68,MATCH(MIN(6371*ACOS(COS(RADIANS(Y123))*COS(RADIANS(PARADEROS_VALIDOS!$E$2:$E$68))*COS(RADIANS(PARADEROS_VALIDOS!$F$2:$F$68)-RADIANS(Z123))+SIN(RADIANS(Y123))*SIN(RADIANS(PARADEROS_VALIDOS!$E$2:$E$68)))),6371*ACOS(COS(RADIANS(Y123))*COS(RADIANS(PARADEROS_VALIDOS!$E$2:$E$68))*COS(RADIANS(PARADEROS_VALIDOS!$F$2:$F$68)-RADIANS(Z123))+SIN(RADIANS(Y123))*SIN(RADIANS(PARADEROS_VALIDOS!$E$2:$E$68))),0))</f>
        <v>Av. Mariátegui con la Ruta C</v>
      </c>
      <c r="AD123" s="2" t="str">
        <f>IFERROR(INDEX(PARADEROS_VALIDOS!$A$2:$A$68,MATCH(AC123,PARADEROS_VALIDOS!$C$2:$C$68,0)),"")</f>
        <v>RUTA 7</v>
      </c>
      <c r="AE123" s="33" cm="1">
        <f t="array" ref="AE123">ROUND(MIN(6371*ACOS(COS(RADIANS(Y123))*COS(RADIANS(PARADEROS_VALIDOS!$E$2:$E$68))*COS(RADIANS(PARADEROS_VALIDOS!$F$2:$F$68)-RADIANS(Z123))+SIN(RADIANS(Y123))*SIN(RADIANS(PARADEROS_VALIDOS!$E$2:$E$68)))),2)</f>
        <v>3.69</v>
      </c>
      <c r="AF123" s="2" t="str">
        <f t="shared" si="7"/>
        <v>🟠 Moderada (3-5 km)</v>
      </c>
      <c r="AG123" s="2"/>
      <c r="AH123" s="2"/>
      <c r="AI123" s="51">
        <v>-11.997563</v>
      </c>
      <c r="AJ123" s="51">
        <v>-76.900062000000005</v>
      </c>
      <c r="AK123" s="2" t="str">
        <f>IFERROR(VLOOKUP(H123,tdcargo[],2,FALSE),"DESCONOCIDO")</f>
        <v>OPERARIO</v>
      </c>
    </row>
    <row r="124" spans="1:37" x14ac:dyDescent="0.35">
      <c r="A124" s="2" t="s">
        <v>3792</v>
      </c>
      <c r="B124" s="2" t="s">
        <v>3793</v>
      </c>
      <c r="C124" s="2" t="s">
        <v>531</v>
      </c>
      <c r="D124" s="2" t="s">
        <v>1859</v>
      </c>
      <c r="E124" s="2">
        <v>24</v>
      </c>
      <c r="F124" s="2" t="s">
        <v>3255</v>
      </c>
      <c r="G124" s="2">
        <v>20510505</v>
      </c>
      <c r="H124" s="2" t="s">
        <v>1971</v>
      </c>
      <c r="I124" s="3">
        <v>45537</v>
      </c>
      <c r="J124" s="2" t="s">
        <v>31</v>
      </c>
      <c r="K124" s="3" t="s">
        <v>1968</v>
      </c>
      <c r="L124" s="2" t="s">
        <v>3344</v>
      </c>
      <c r="M124" s="2" t="s">
        <v>3345</v>
      </c>
      <c r="N124" s="2" t="s">
        <v>82</v>
      </c>
      <c r="O124" s="2" t="s">
        <v>644</v>
      </c>
      <c r="P124" s="2" t="s">
        <v>36</v>
      </c>
      <c r="Q124" s="2" t="s">
        <v>1956</v>
      </c>
      <c r="R124" s="2" t="s">
        <v>3291</v>
      </c>
      <c r="S124" s="2" t="s">
        <v>37</v>
      </c>
      <c r="T124" s="2" t="s">
        <v>37</v>
      </c>
      <c r="U124" s="2" t="s">
        <v>57</v>
      </c>
      <c r="V124" s="3">
        <v>45537</v>
      </c>
      <c r="W124" s="2" t="s">
        <v>48</v>
      </c>
      <c r="X124" s="2" t="str">
        <f t="shared" si="4"/>
        <v>Calle Los Girasoles, Ate, Lima, Lima, Perú</v>
      </c>
      <c r="Y124" s="22">
        <v>-12.0297953</v>
      </c>
      <c r="Z124" s="22">
        <v>-76.909443499999995</v>
      </c>
      <c r="AA124" s="33">
        <f t="shared" si="5"/>
        <v>3.73</v>
      </c>
      <c r="AB124" s="2" t="str">
        <f t="shared" si="6"/>
        <v>🟢 Muy Cerca (0-5 km)</v>
      </c>
      <c r="AC124" s="2" t="str" cm="1">
        <f t="array" ref="AC124">INDEX(PARADEROS_VALIDOS!$C$2:$C$68,MATCH(MIN(6371*ACOS(COS(RADIANS(Y124))*COS(RADIANS(PARADEROS_VALIDOS!$E$2:$E$68))*COS(RADIANS(PARADEROS_VALIDOS!$F$2:$F$68)-RADIANS(Z124))+SIN(RADIANS(Y124))*SIN(RADIANS(PARADEROS_VALIDOS!$E$2:$E$68)))),6371*ACOS(COS(RADIANS(Y124))*COS(RADIANS(PARADEROS_VALIDOS!$E$2:$E$68))*COS(RADIANS(PARADEROS_VALIDOS!$F$2:$F$68)-RADIANS(Z124))+SIN(RADIANS(Y124))*SIN(RADIANS(PARADEROS_VALIDOS!$E$2:$E$68))),0))</f>
        <v>Paradero Esperanza</v>
      </c>
      <c r="AD124" s="2" t="str">
        <f>IFERROR(INDEX(PARADEROS_VALIDOS!$A$2:$A$68,MATCH(AC124,PARADEROS_VALIDOS!$C$2:$C$68,0)),"")</f>
        <v>RUTA 4B</v>
      </c>
      <c r="AE124" s="33" cm="1">
        <f t="array" ref="AE124">ROUND(MIN(6371*ACOS(COS(RADIANS(Y124))*COS(RADIANS(PARADEROS_VALIDOS!$E$2:$E$68))*COS(RADIANS(PARADEROS_VALIDOS!$F$2:$F$68)-RADIANS(Z124))+SIN(RADIANS(Y124))*SIN(RADIANS(PARADEROS_VALIDOS!$E$2:$E$68)))),2)</f>
        <v>0.93</v>
      </c>
      <c r="AF124" s="2" t="str">
        <f t="shared" si="7"/>
        <v>🟢 Muy Cerca (0-1 km)</v>
      </c>
      <c r="AG124" s="2"/>
      <c r="AH124" s="2"/>
      <c r="AI124" s="51">
        <v>-11.997563</v>
      </c>
      <c r="AJ124" s="51">
        <v>-76.900062000000005</v>
      </c>
      <c r="AK124" s="2" t="str">
        <f>IFERROR(VLOOKUP(H124,tdcargo[],2,FALSE),"DESCONOCIDO")</f>
        <v>OPERARIO</v>
      </c>
    </row>
    <row r="125" spans="1:37" x14ac:dyDescent="0.35">
      <c r="A125" s="2" t="s">
        <v>3794</v>
      </c>
      <c r="B125" s="2" t="s">
        <v>3795</v>
      </c>
      <c r="C125" s="2" t="s">
        <v>1649</v>
      </c>
      <c r="D125" s="2" t="s">
        <v>843</v>
      </c>
      <c r="E125" s="2">
        <v>23</v>
      </c>
      <c r="F125" s="2" t="s">
        <v>3255</v>
      </c>
      <c r="G125" s="2">
        <v>20511209</v>
      </c>
      <c r="H125" s="2" t="s">
        <v>1971</v>
      </c>
      <c r="I125" s="3">
        <v>45677</v>
      </c>
      <c r="J125" s="2" t="s">
        <v>31</v>
      </c>
      <c r="K125" s="3" t="s">
        <v>1968</v>
      </c>
      <c r="L125" s="2" t="s">
        <v>3256</v>
      </c>
      <c r="M125" s="2" t="s">
        <v>3257</v>
      </c>
      <c r="N125" s="2" t="s">
        <v>36</v>
      </c>
      <c r="O125" s="2" t="s">
        <v>505</v>
      </c>
      <c r="P125" s="2" t="s">
        <v>36</v>
      </c>
      <c r="Q125" s="2" t="s">
        <v>1422</v>
      </c>
      <c r="R125" s="2" t="s">
        <v>3274</v>
      </c>
      <c r="S125" s="2" t="s">
        <v>37</v>
      </c>
      <c r="T125" s="2" t="s">
        <v>37</v>
      </c>
      <c r="U125" s="2" t="s">
        <v>76</v>
      </c>
      <c r="V125" s="3">
        <v>45677</v>
      </c>
      <c r="W125" s="2" t="s">
        <v>77</v>
      </c>
      <c r="X125" s="2" t="str">
        <f t="shared" si="4"/>
        <v>Paraiso De Cajamarquilla Ferreteria, Lurigancho, Lima, Lima, Perú</v>
      </c>
      <c r="Y125" s="22">
        <v>-11.978393499999999</v>
      </c>
      <c r="Z125" s="22">
        <v>-76.908844299999998</v>
      </c>
      <c r="AA125" s="33">
        <f t="shared" si="5"/>
        <v>2.34</v>
      </c>
      <c r="AB125" s="2" t="str">
        <f t="shared" si="6"/>
        <v>🟢 Muy Cerca (0-5 km)</v>
      </c>
      <c r="AC125" s="2" t="str" cm="1">
        <f t="array" ref="AC125">INDEX(PARADEROS_VALIDOS!$C$2:$C$68,MATCH(MIN(6371*ACOS(COS(RADIANS(Y125))*COS(RADIANS(PARADEROS_VALIDOS!$E$2:$E$68))*COS(RADIANS(PARADEROS_VALIDOS!$F$2:$F$68)-RADIANS(Z125))+SIN(RADIANS(Y125))*SIN(RADIANS(PARADEROS_VALIDOS!$E$2:$E$68)))),6371*ACOS(COS(RADIANS(Y125))*COS(RADIANS(PARADEROS_VALIDOS!$E$2:$E$68))*COS(RADIANS(PARADEROS_VALIDOS!$F$2:$F$68)-RADIANS(Z125))+SIN(RADIANS(Y125))*SIN(RADIANS(PARADEROS_VALIDOS!$E$2:$E$68))),0))</f>
        <v>Paradero Arco San Antonio</v>
      </c>
      <c r="AD125" s="2" t="str">
        <f>IFERROR(INDEX(PARADEROS_VALIDOS!$A$2:$A$68,MATCH(AC125,PARADEROS_VALIDOS!$C$2:$C$68,0)),"")</f>
        <v>RUTA 2</v>
      </c>
      <c r="AE125" s="33" cm="1">
        <f t="array" ref="AE125">ROUND(MIN(6371*ACOS(COS(RADIANS(Y125))*COS(RADIANS(PARADEROS_VALIDOS!$E$2:$E$68))*COS(RADIANS(PARADEROS_VALIDOS!$F$2:$F$68)-RADIANS(Z125))+SIN(RADIANS(Y125))*SIN(RADIANS(PARADEROS_VALIDOS!$E$2:$E$68)))),2)</f>
        <v>1.79</v>
      </c>
      <c r="AF125" s="2" t="str">
        <f t="shared" si="7"/>
        <v>🟡 Cerca (1-3 km)</v>
      </c>
      <c r="AG125" s="2"/>
      <c r="AH125" s="2"/>
      <c r="AI125" s="51">
        <v>-11.997563</v>
      </c>
      <c r="AJ125" s="51">
        <v>-76.900062000000005</v>
      </c>
      <c r="AK125" s="2" t="str">
        <f>IFERROR(VLOOKUP(H125,tdcargo[],2,FALSE),"DESCONOCIDO")</f>
        <v>OPERARIO</v>
      </c>
    </row>
    <row r="126" spans="1:37" x14ac:dyDescent="0.35">
      <c r="A126" s="2" t="s">
        <v>3796</v>
      </c>
      <c r="B126" s="2" t="s">
        <v>3797</v>
      </c>
      <c r="C126" s="2" t="s">
        <v>3294</v>
      </c>
      <c r="D126" s="2" t="s">
        <v>3798</v>
      </c>
      <c r="E126" s="2">
        <v>20</v>
      </c>
      <c r="F126" s="2" t="s">
        <v>3255</v>
      </c>
      <c r="G126" s="2">
        <v>20511541</v>
      </c>
      <c r="H126" s="2" t="s">
        <v>1971</v>
      </c>
      <c r="I126" s="3">
        <v>45677</v>
      </c>
      <c r="J126" s="2" t="s">
        <v>31</v>
      </c>
      <c r="K126" s="3" t="s">
        <v>1968</v>
      </c>
      <c r="L126" s="2" t="s">
        <v>3271</v>
      </c>
      <c r="M126" s="2" t="s">
        <v>3272</v>
      </c>
      <c r="N126" s="2" t="s">
        <v>960</v>
      </c>
      <c r="O126" s="2" t="s">
        <v>3799</v>
      </c>
      <c r="P126" s="2" t="s">
        <v>36</v>
      </c>
      <c r="Q126" s="2" t="s">
        <v>3800</v>
      </c>
      <c r="R126" s="2" t="s">
        <v>3291</v>
      </c>
      <c r="S126" s="2" t="s">
        <v>37</v>
      </c>
      <c r="T126" s="2" t="s">
        <v>37</v>
      </c>
      <c r="U126" s="2" t="s">
        <v>57</v>
      </c>
      <c r="V126" s="3">
        <v>45677</v>
      </c>
      <c r="W126" s="2" t="s">
        <v>77</v>
      </c>
      <c r="X126" s="2" t="str">
        <f t="shared" si="4"/>
        <v>Ovalo Buenos Aires 261 Sicuani, Ate, Lima, Lima, Perú</v>
      </c>
      <c r="Y126" s="22">
        <v>-12.0683588</v>
      </c>
      <c r="Z126" s="22">
        <v>-76.9797054</v>
      </c>
      <c r="AA126" s="33">
        <f t="shared" si="5"/>
        <v>11.7</v>
      </c>
      <c r="AB126" s="2" t="str">
        <f t="shared" si="6"/>
        <v>🟠 Moderada (10-20 km)</v>
      </c>
      <c r="AC126" s="2" t="str" cm="1">
        <f t="array" ref="AC126">INDEX(PARADEROS_VALIDOS!$C$2:$C$68,MATCH(MIN(6371*ACOS(COS(RADIANS(Y126))*COS(RADIANS(PARADEROS_VALIDOS!$E$2:$E$68))*COS(RADIANS(PARADEROS_VALIDOS!$F$2:$F$68)-RADIANS(Z126))+SIN(RADIANS(Y126))*SIN(RADIANS(PARADEROS_VALIDOS!$E$2:$E$68)))),6371*ACOS(COS(RADIANS(Y126))*COS(RADIANS(PARADEROS_VALIDOS!$E$2:$E$68))*COS(RADIANS(PARADEROS_VALIDOS!$F$2:$F$68)-RADIANS(Z126))+SIN(RADIANS(Y126))*SIN(RADIANS(PARADEROS_VALIDOS!$E$2:$E$68))),0))</f>
        <v>Puente Santa Anita</v>
      </c>
      <c r="AD126" s="2" t="str">
        <f>IFERROR(INDEX(PARADEROS_VALIDOS!$A$2:$A$68,MATCH(AC126,PARADEROS_VALIDOS!$C$2:$C$68,0)),"")</f>
        <v>RUTA 7</v>
      </c>
      <c r="AE126" s="33" cm="1">
        <f t="array" ref="AE126">ROUND(MIN(6371*ACOS(COS(RADIANS(Y126))*COS(RADIANS(PARADEROS_VALIDOS!$E$2:$E$68))*COS(RADIANS(PARADEROS_VALIDOS!$F$2:$F$68)-RADIANS(Z126))+SIN(RADIANS(Y126))*SIN(RADIANS(PARADEROS_VALIDOS!$E$2:$E$68)))),2)</f>
        <v>1.34</v>
      </c>
      <c r="AF126" s="2" t="str">
        <f t="shared" si="7"/>
        <v>🟡 Cerca (1-3 km)</v>
      </c>
      <c r="AG126" s="2"/>
      <c r="AH126" s="2"/>
      <c r="AI126" s="51">
        <v>-11.997563</v>
      </c>
      <c r="AJ126" s="51">
        <v>-76.900062000000005</v>
      </c>
      <c r="AK126" s="2" t="str">
        <f>IFERROR(VLOOKUP(H126,tdcargo[],2,FALSE),"DESCONOCIDO")</f>
        <v>OPERARIO</v>
      </c>
    </row>
    <row r="127" spans="1:37" x14ac:dyDescent="0.35">
      <c r="A127" s="2" t="s">
        <v>3801</v>
      </c>
      <c r="B127" s="2" t="s">
        <v>3802</v>
      </c>
      <c r="C127" s="2" t="s">
        <v>206</v>
      </c>
      <c r="D127" s="2" t="s">
        <v>499</v>
      </c>
      <c r="E127" s="2">
        <v>25</v>
      </c>
      <c r="F127" s="2" t="s">
        <v>3255</v>
      </c>
      <c r="G127" s="2">
        <v>20511539</v>
      </c>
      <c r="H127" s="2" t="s">
        <v>1971</v>
      </c>
      <c r="I127" s="3">
        <v>46072</v>
      </c>
      <c r="J127" s="2" t="s">
        <v>31</v>
      </c>
      <c r="K127" s="3" t="s">
        <v>1968</v>
      </c>
      <c r="L127" s="2" t="s">
        <v>3263</v>
      </c>
      <c r="M127" s="2" t="s">
        <v>3264</v>
      </c>
      <c r="N127" s="2" t="s">
        <v>36</v>
      </c>
      <c r="O127" s="2" t="s">
        <v>3803</v>
      </c>
      <c r="P127" s="2" t="s">
        <v>36</v>
      </c>
      <c r="Q127" s="2" t="s">
        <v>3804</v>
      </c>
      <c r="R127" s="2" t="s">
        <v>3260</v>
      </c>
      <c r="S127" s="2" t="s">
        <v>37</v>
      </c>
      <c r="T127" s="2" t="s">
        <v>37</v>
      </c>
      <c r="U127" s="2" t="s">
        <v>38</v>
      </c>
      <c r="V127" s="3">
        <v>46072</v>
      </c>
      <c r="W127" s="2" t="s">
        <v>135</v>
      </c>
      <c r="X127" s="2" t="str">
        <f t="shared" si="4"/>
        <v>Maehara URB MAEHARA, San Juan De Lurigancho, Lima, Lima, Perú</v>
      </c>
      <c r="Y127" s="22">
        <v>-12.014953500000001</v>
      </c>
      <c r="Z127" s="22">
        <v>-76.992017300000001</v>
      </c>
      <c r="AA127" s="33">
        <f t="shared" si="5"/>
        <v>10.19</v>
      </c>
      <c r="AB127" s="2" t="str">
        <f t="shared" si="6"/>
        <v>🟠 Moderada (10-20 km)</v>
      </c>
      <c r="AC127" s="2" t="str" cm="1">
        <f t="array" ref="AC127">INDEX(PARADEROS_VALIDOS!$C$2:$C$68,MATCH(MIN(6371*ACOS(COS(RADIANS(Y127))*COS(RADIANS(PARADEROS_VALIDOS!$E$2:$E$68))*COS(RADIANS(PARADEROS_VALIDOS!$F$2:$F$68)-RADIANS(Z127))+SIN(RADIANS(Y127))*SIN(RADIANS(PARADEROS_VALIDOS!$E$2:$E$68)))),6371*ACOS(COS(RADIANS(Y127))*COS(RADIANS(PARADEROS_VALIDOS!$E$2:$E$68))*COS(RADIANS(PARADEROS_VALIDOS!$F$2:$F$68)-RADIANS(Z127))+SIN(RADIANS(Y127))*SIN(RADIANS(PARADEROS_VALIDOS!$E$2:$E$68))),0))</f>
        <v>Paradero Pajatén (Pajatén/Av. Malecón Checa)</v>
      </c>
      <c r="AD127" s="2" t="str">
        <f>IFERROR(INDEX(PARADEROS_VALIDOS!$A$2:$A$68,MATCH(AC127,PARADEROS_VALIDOS!$C$2:$C$68,0)),"")</f>
        <v>RUTA 6C</v>
      </c>
      <c r="AE127" s="33" cm="1">
        <f t="array" ref="AE127">ROUND(MIN(6371*ACOS(COS(RADIANS(Y127))*COS(RADIANS(PARADEROS_VALIDOS!$E$2:$E$68))*COS(RADIANS(PARADEROS_VALIDOS!$F$2:$F$68)-RADIANS(Z127))+SIN(RADIANS(Y127))*SIN(RADIANS(PARADEROS_VALIDOS!$E$2:$E$68)))),2)</f>
        <v>0.97</v>
      </c>
      <c r="AF127" s="2" t="str">
        <f t="shared" si="7"/>
        <v>🟢 Muy Cerca (0-1 km)</v>
      </c>
      <c r="AG127" s="2"/>
      <c r="AH127" s="2"/>
      <c r="AI127" s="51">
        <v>-11.997563</v>
      </c>
      <c r="AJ127" s="51">
        <v>-76.900062000000005</v>
      </c>
      <c r="AK127" s="2" t="str">
        <f>IFERROR(VLOOKUP(H127,tdcargo[],2,FALSE),"DESCONOCIDO")</f>
        <v>OPERARIO</v>
      </c>
    </row>
    <row r="128" spans="1:37" x14ac:dyDescent="0.35">
      <c r="A128" s="2" t="s">
        <v>3805</v>
      </c>
      <c r="B128" s="2" t="s">
        <v>1680</v>
      </c>
      <c r="C128" s="2" t="s">
        <v>3806</v>
      </c>
      <c r="D128" s="2" t="s">
        <v>1822</v>
      </c>
      <c r="E128" s="2">
        <v>33</v>
      </c>
      <c r="F128" s="2" t="s">
        <v>3255</v>
      </c>
      <c r="G128" s="2">
        <v>20515832</v>
      </c>
      <c r="H128" s="2" t="s">
        <v>1971</v>
      </c>
      <c r="I128" s="3">
        <v>46055</v>
      </c>
      <c r="J128" s="2" t="s">
        <v>31</v>
      </c>
      <c r="K128" s="3" t="s">
        <v>1968</v>
      </c>
      <c r="L128" s="2" t="s">
        <v>3271</v>
      </c>
      <c r="M128" s="2" t="s">
        <v>3272</v>
      </c>
      <c r="N128" s="2" t="s">
        <v>82</v>
      </c>
      <c r="O128" s="2" t="s">
        <v>3807</v>
      </c>
      <c r="P128" s="2" t="s">
        <v>55</v>
      </c>
      <c r="Q128" s="2" t="s">
        <v>3808</v>
      </c>
      <c r="R128" s="2" t="s">
        <v>3260</v>
      </c>
      <c r="S128" s="2" t="s">
        <v>37</v>
      </c>
      <c r="T128" s="2" t="s">
        <v>37</v>
      </c>
      <c r="U128" s="2" t="s">
        <v>38</v>
      </c>
      <c r="V128" s="3">
        <v>46055</v>
      </c>
      <c r="W128" s="2" t="s">
        <v>135</v>
      </c>
      <c r="X128" s="2" t="str">
        <f t="shared" si="4"/>
        <v>Calle Mz A Lote 16 Calle16, Coo. Cooperativa AGUAS GASIFICADAS, San Juan De Lurigancho, Lima, Lima, Perú</v>
      </c>
      <c r="Y128" s="22">
        <v>-11.9868883</v>
      </c>
      <c r="Z128" s="22">
        <v>-77.020584900000003</v>
      </c>
      <c r="AA128" s="33">
        <f t="shared" si="5"/>
        <v>13.16</v>
      </c>
      <c r="AB128" s="2" t="str">
        <f t="shared" si="6"/>
        <v>🟠 Moderada (10-20 km)</v>
      </c>
      <c r="AC128" s="2" t="str" cm="1">
        <f t="array" ref="AC128">INDEX(PARADEROS_VALIDOS!$C$2:$C$68,MATCH(MIN(6371*ACOS(COS(RADIANS(Y128))*COS(RADIANS(PARADEROS_VALIDOS!$E$2:$E$68))*COS(RADIANS(PARADEROS_VALIDOS!$F$2:$F$68)-RADIANS(Z128))+SIN(RADIANS(Y128))*SIN(RADIANS(PARADEROS_VALIDOS!$E$2:$E$68)))),6371*ACOS(COS(RADIANS(Y128))*COS(RADIANS(PARADEROS_VALIDOS!$E$2:$E$68))*COS(RADIANS(PARADEROS_VALIDOS!$F$2:$F$68)-RADIANS(Z128))+SIN(RADIANS(Y128))*SIN(RADIANS(PARADEROS_VALIDOS!$E$2:$E$68))),0))</f>
        <v>Paradero San Carlos</v>
      </c>
      <c r="AD128" s="2" t="str">
        <f>IFERROR(INDEX(PARADEROS_VALIDOS!$A$2:$A$68,MATCH(AC128,PARADEROS_VALIDOS!$C$2:$C$68,0)),"")</f>
        <v>RUTA 6B</v>
      </c>
      <c r="AE128" s="33" cm="1">
        <f t="array" ref="AE128">ROUND(MIN(6371*ACOS(COS(RADIANS(Y128))*COS(RADIANS(PARADEROS_VALIDOS!$E$2:$E$68))*COS(RADIANS(PARADEROS_VALIDOS!$F$2:$F$68)-RADIANS(Z128))+SIN(RADIANS(Y128))*SIN(RADIANS(PARADEROS_VALIDOS!$E$2:$E$68)))),2)</f>
        <v>1.1000000000000001</v>
      </c>
      <c r="AF128" s="2" t="str">
        <f t="shared" si="7"/>
        <v>🟡 Cerca (1-3 km)</v>
      </c>
      <c r="AG128" s="2"/>
      <c r="AH128" s="2"/>
      <c r="AI128" s="51">
        <v>-11.997563</v>
      </c>
      <c r="AJ128" s="51">
        <v>-76.900062000000005</v>
      </c>
      <c r="AK128" s="2" t="str">
        <f>IFERROR(VLOOKUP(H128,tdcargo[],2,FALSE),"DESCONOCIDO")</f>
        <v>OPERARIO</v>
      </c>
    </row>
    <row r="129" spans="1:37" x14ac:dyDescent="0.35">
      <c r="A129" s="2" t="s">
        <v>3809</v>
      </c>
      <c r="B129" s="2" t="s">
        <v>3810</v>
      </c>
      <c r="C129" s="2" t="s">
        <v>3811</v>
      </c>
      <c r="D129" s="2" t="s">
        <v>3812</v>
      </c>
      <c r="E129" s="2">
        <v>28</v>
      </c>
      <c r="F129" s="2" t="s">
        <v>3255</v>
      </c>
      <c r="G129" s="2">
        <v>20508137</v>
      </c>
      <c r="H129" s="2" t="s">
        <v>1971</v>
      </c>
      <c r="I129" s="3">
        <v>46083</v>
      </c>
      <c r="J129" s="2" t="s">
        <v>31</v>
      </c>
      <c r="K129" s="3" t="s">
        <v>1968</v>
      </c>
      <c r="L129" s="2" t="s">
        <v>3732</v>
      </c>
      <c r="M129" s="2" t="s">
        <v>3292</v>
      </c>
      <c r="N129" s="2" t="s">
        <v>36</v>
      </c>
      <c r="O129" s="2" t="s">
        <v>3740</v>
      </c>
      <c r="P129" s="2" t="s">
        <v>36</v>
      </c>
      <c r="Q129" s="2" t="s">
        <v>3741</v>
      </c>
      <c r="R129" s="2" t="s">
        <v>3291</v>
      </c>
      <c r="S129" s="2" t="s">
        <v>37</v>
      </c>
      <c r="T129" s="2" t="s">
        <v>37</v>
      </c>
      <c r="U129" s="2" t="s">
        <v>57</v>
      </c>
      <c r="V129" s="3">
        <v>46083</v>
      </c>
      <c r="W129" s="2" t="s">
        <v>135</v>
      </c>
      <c r="X129" s="2" t="str">
        <f t="shared" si="4"/>
        <v>Ucv 168 HUAYCAN ZONA L, Ate, Lima, Lima, Perú</v>
      </c>
      <c r="Y129" s="22">
        <v>-12.010109</v>
      </c>
      <c r="Z129" s="22">
        <v>-76.827872200000002</v>
      </c>
      <c r="AA129" s="33">
        <f t="shared" si="5"/>
        <v>7.97</v>
      </c>
      <c r="AB129" s="2" t="str">
        <f t="shared" si="6"/>
        <v>🟡 Cerca (5-10 km)</v>
      </c>
      <c r="AC129" s="2" t="str" cm="1">
        <f t="array" ref="AC129">INDEX(PARADEROS_VALIDOS!$C$2:$C$68,MATCH(MIN(6371*ACOS(COS(RADIANS(Y129))*COS(RADIANS(PARADEROS_VALIDOS!$E$2:$E$68))*COS(RADIANS(PARADEROS_VALIDOS!$F$2:$F$68)-RADIANS(Z129))+SIN(RADIANS(Y129))*SIN(RADIANS(PARADEROS_VALIDOS!$E$2:$E$68)))),6371*ACOS(COS(RADIANS(Y129))*COS(RADIANS(PARADEROS_VALIDOS!$E$2:$E$68))*COS(RADIANS(PARADEROS_VALIDOS!$F$2:$F$68)-RADIANS(Z129))+SIN(RADIANS(Y129))*SIN(RADIANS(PARADEROS_VALIDOS!$E$2:$E$68))),0))</f>
        <v>Entrada Horacio</v>
      </c>
      <c r="AD129" s="2" t="str">
        <f>IFERROR(INDEX(PARADEROS_VALIDOS!$A$2:$A$68,MATCH(AC129,PARADEROS_VALIDOS!$C$2:$C$68,0)),"")</f>
        <v>RUTA 5B</v>
      </c>
      <c r="AE129" s="33" cm="1">
        <f t="array" ref="AE129">ROUND(MIN(6371*ACOS(COS(RADIANS(Y129))*COS(RADIANS(PARADEROS_VALIDOS!$E$2:$E$68))*COS(RADIANS(PARADEROS_VALIDOS!$F$2:$F$68)-RADIANS(Z129))+SIN(RADIANS(Y129))*SIN(RADIANS(PARADEROS_VALIDOS!$E$2:$E$68)))),2)</f>
        <v>1.55</v>
      </c>
      <c r="AF129" s="2" t="str">
        <f t="shared" si="7"/>
        <v>🟡 Cerca (1-3 km)</v>
      </c>
      <c r="AG129" s="2"/>
      <c r="AH129" s="2"/>
      <c r="AI129" s="51">
        <v>-11.997563</v>
      </c>
      <c r="AJ129" s="51">
        <v>-76.900062000000005</v>
      </c>
      <c r="AK129" s="2" t="str">
        <f>IFERROR(VLOOKUP(H129,tdcargo[],2,FALSE),"DESCONOCIDO")</f>
        <v>OPERARIO</v>
      </c>
    </row>
    <row r="130" spans="1:37" x14ac:dyDescent="0.35">
      <c r="A130" s="2" t="s">
        <v>3813</v>
      </c>
      <c r="B130" s="2" t="s">
        <v>3814</v>
      </c>
      <c r="C130" s="2" t="s">
        <v>653</v>
      </c>
      <c r="D130" s="2" t="s">
        <v>3815</v>
      </c>
      <c r="E130" s="2">
        <v>21</v>
      </c>
      <c r="F130" s="2" t="s">
        <v>3255</v>
      </c>
      <c r="G130" s="2">
        <v>20507991</v>
      </c>
      <c r="H130" s="2" t="s">
        <v>1971</v>
      </c>
      <c r="I130" s="3">
        <v>46003</v>
      </c>
      <c r="J130" s="2" t="s">
        <v>31</v>
      </c>
      <c r="K130" s="3" t="s">
        <v>1968</v>
      </c>
      <c r="L130" s="2" t="s">
        <v>3256</v>
      </c>
      <c r="M130" s="2" t="s">
        <v>3257</v>
      </c>
      <c r="N130" s="2" t="s">
        <v>34</v>
      </c>
      <c r="O130" s="2" t="s">
        <v>2346</v>
      </c>
      <c r="P130" s="2" t="s">
        <v>36</v>
      </c>
      <c r="Q130" s="2" t="s">
        <v>3816</v>
      </c>
      <c r="R130" s="2" t="s">
        <v>3260</v>
      </c>
      <c r="S130" s="2" t="s">
        <v>37</v>
      </c>
      <c r="T130" s="2" t="s">
        <v>37</v>
      </c>
      <c r="U130" s="2" t="s">
        <v>38</v>
      </c>
      <c r="V130" s="3">
        <v>46003</v>
      </c>
      <c r="W130" s="2" t="s">
        <v>135</v>
      </c>
      <c r="X130" s="2" t="str">
        <f t="shared" ref="X130:X192" si="8">_xlfn.LET(_xlpm.parte1,TRIM(IF(OR(N130="Otros / No aplica",N130=""),"",N130&amp;" ")&amp;O130&amp;IF(AND(P130&lt;&gt;"",P130&lt;&gt;"Otros / No aplica"),", "&amp;P130,"")&amp;IF(AND(Q130&lt;&gt;"",Q130&lt;&gt;"Nd",Q130&lt;&gt;0,Q130&lt;&gt;"0")," "&amp;Q130,"")),_xlpm.parte2,U130&amp;", "&amp;T130&amp;", "&amp;S130&amp;", Perú",IF(LEFT(_xlpm.parte1,1)=",",TRIM(MID(_xlpm.parte1,2,255))&amp;", "&amp;_xlpm.parte2,IF(_xlpm.parte1="",_xlpm.parte2,_xlpm.parte1&amp;", "&amp;_xlpm.parte2)))</f>
        <v>Avenida Canto Grande SJL, San Juan De Lurigancho, Lima, Lima, Perú</v>
      </c>
      <c r="Y130" s="22">
        <v>-11.991848299999999</v>
      </c>
      <c r="Z130" s="22">
        <v>-77.014922100000007</v>
      </c>
      <c r="AA130" s="33">
        <f t="shared" ref="AA130:AA192" si="9">ROUND(6371*ACOS(COS(RADIANS(-11.997563))*COS(RADIANS(Y130))*COS(RADIANS(Z130)-RADIANS(-76.900062))+SIN(RADIANS(-11.997563))*SIN(RADIANS(Y130))),2)</f>
        <v>12.51</v>
      </c>
      <c r="AB130" s="2" t="str">
        <f t="shared" ref="AB130:AB192" si="10">IF(AA130&lt;=5,"🟢 Muy Cerca (0-5 km)",IF(AA130&lt;=10,"🟡 Cerca (5-10 km)",IF(AA130&lt;=20,"🟠 Moderada (10-20 km)","🔴 Lejos (&gt;20 km)")))</f>
        <v>🟠 Moderada (10-20 km)</v>
      </c>
      <c r="AC130" s="2" t="str" cm="1">
        <f t="array" ref="AC130">INDEX(PARADEROS_VALIDOS!$C$2:$C$68,MATCH(MIN(6371*ACOS(COS(RADIANS(Y130))*COS(RADIANS(PARADEROS_VALIDOS!$E$2:$E$68))*COS(RADIANS(PARADEROS_VALIDOS!$F$2:$F$68)-RADIANS(Z130))+SIN(RADIANS(Y130))*SIN(RADIANS(PARADEROS_VALIDOS!$E$2:$E$68)))),6371*ACOS(COS(RADIANS(Y130))*COS(RADIANS(PARADEROS_VALIDOS!$E$2:$E$68))*COS(RADIANS(PARADEROS_VALIDOS!$F$2:$F$68)-RADIANS(Z130))+SIN(RADIANS(Y130))*SIN(RADIANS(PARADEROS_VALIDOS!$E$2:$E$68))),0))</f>
        <v>Paradero San Carlos</v>
      </c>
      <c r="AD130" s="2" t="str">
        <f>IFERROR(INDEX(PARADEROS_VALIDOS!$A$2:$A$68,MATCH(AC130,PARADEROS_VALIDOS!$C$2:$C$68,0)),"")</f>
        <v>RUTA 6B</v>
      </c>
      <c r="AE130" s="33" cm="1">
        <f t="array" ref="AE130">ROUND(MIN(6371*ACOS(COS(RADIANS(Y130))*COS(RADIANS(PARADEROS_VALIDOS!$E$2:$E$68))*COS(RADIANS(PARADEROS_VALIDOS!$F$2:$F$68)-RADIANS(Z130))+SIN(RADIANS(Y130))*SIN(RADIANS(PARADEROS_VALIDOS!$E$2:$E$68)))),2)</f>
        <v>0.56000000000000005</v>
      </c>
      <c r="AF130" s="2" t="str">
        <f t="shared" ref="AF130:AF192" si="11">IF(AE130&lt;=1,"🟢 Muy Cerca (0-1 km)",IF(AE130&lt;=3,"🟡 Cerca (1-3 km)",IF(AE130&lt;=5,"🟠 Moderada (3-5 km)","🔴 Lejos (&gt;5 km)")))</f>
        <v>🟢 Muy Cerca (0-1 km)</v>
      </c>
      <c r="AG130" s="2"/>
      <c r="AH130" s="2"/>
      <c r="AI130" s="51">
        <v>-11.997563</v>
      </c>
      <c r="AJ130" s="51">
        <v>-76.900062000000005</v>
      </c>
      <c r="AK130" s="2" t="str">
        <f>IFERROR(VLOOKUP(H130,tdcargo[],2,FALSE),"DESCONOCIDO")</f>
        <v>OPERARIO</v>
      </c>
    </row>
    <row r="131" spans="1:37" x14ac:dyDescent="0.35">
      <c r="A131" s="2" t="s">
        <v>3817</v>
      </c>
      <c r="B131" s="2" t="s">
        <v>3818</v>
      </c>
      <c r="C131" s="2" t="s">
        <v>1331</v>
      </c>
      <c r="D131" s="2" t="s">
        <v>1360</v>
      </c>
      <c r="E131" s="2">
        <v>34</v>
      </c>
      <c r="F131" s="2" t="s">
        <v>3255</v>
      </c>
      <c r="G131" s="2">
        <v>20508059</v>
      </c>
      <c r="H131" s="2" t="s">
        <v>2031</v>
      </c>
      <c r="I131" s="3">
        <v>44228</v>
      </c>
      <c r="J131" s="2" t="s">
        <v>31</v>
      </c>
      <c r="K131" s="3" t="s">
        <v>1968</v>
      </c>
      <c r="L131" s="2" t="s">
        <v>3419</v>
      </c>
      <c r="M131" s="2" t="s">
        <v>3420</v>
      </c>
      <c r="N131" s="2" t="s">
        <v>36</v>
      </c>
      <c r="O131" s="2" t="s">
        <v>995</v>
      </c>
      <c r="P131" s="2" t="s">
        <v>66</v>
      </c>
      <c r="Q131" s="2" t="s">
        <v>3819</v>
      </c>
      <c r="R131" s="2" t="s">
        <v>3291</v>
      </c>
      <c r="S131" s="2" t="s">
        <v>37</v>
      </c>
      <c r="T131" s="2" t="s">
        <v>37</v>
      </c>
      <c r="U131" s="2" t="s">
        <v>57</v>
      </c>
      <c r="V131" s="3">
        <v>44228</v>
      </c>
      <c r="W131" s="2" t="s">
        <v>48</v>
      </c>
      <c r="X131" s="2" t="str">
        <f t="shared" si="8"/>
        <v>Horacio Zeballos, U.V. Unidad Vecinal 15 De Marzo, Ate, Lima, Lima, Perú</v>
      </c>
      <c r="Y131" s="22">
        <v>-12.008354000000001</v>
      </c>
      <c r="Z131" s="22">
        <v>-76.8420196</v>
      </c>
      <c r="AA131" s="33">
        <f t="shared" si="9"/>
        <v>6.43</v>
      </c>
      <c r="AB131" s="2" t="str">
        <f t="shared" si="10"/>
        <v>🟡 Cerca (5-10 km)</v>
      </c>
      <c r="AC131" s="2" t="str" cm="1">
        <f t="array" ref="AC131">INDEX(PARADEROS_VALIDOS!$C$2:$C$68,MATCH(MIN(6371*ACOS(COS(RADIANS(Y131))*COS(RADIANS(PARADEROS_VALIDOS!$E$2:$E$68))*COS(RADIANS(PARADEROS_VALIDOS!$F$2:$F$68)-RADIANS(Z131))+SIN(RADIANS(Y131))*SIN(RADIANS(PARADEROS_VALIDOS!$E$2:$E$68)))),6371*ACOS(COS(RADIANS(Y131))*COS(RADIANS(PARADEROS_VALIDOS!$E$2:$E$68))*COS(RADIANS(PARADEROS_VALIDOS!$F$2:$F$68)-RADIANS(Z131))+SIN(RADIANS(Y131))*SIN(RADIANS(PARADEROS_VALIDOS!$E$2:$E$68))),0))</f>
        <v>Entrada Horacio</v>
      </c>
      <c r="AD131" s="2" t="str">
        <f>IFERROR(INDEX(PARADEROS_VALIDOS!$A$2:$A$68,MATCH(AC131,PARADEROS_VALIDOS!$C$2:$C$68,0)),"")</f>
        <v>RUTA 5B</v>
      </c>
      <c r="AE131" s="33" cm="1">
        <f t="array" ref="AE131">ROUND(MIN(6371*ACOS(COS(RADIANS(Y131))*COS(RADIANS(PARADEROS_VALIDOS!$E$2:$E$68))*COS(RADIANS(PARADEROS_VALIDOS!$F$2:$F$68)-RADIANS(Z131))+SIN(RADIANS(Y131))*SIN(RADIANS(PARADEROS_VALIDOS!$E$2:$E$68)))),2)</f>
        <v>0</v>
      </c>
      <c r="AF131" s="2" t="str">
        <f t="shared" si="11"/>
        <v>🟢 Muy Cerca (0-1 km)</v>
      </c>
      <c r="AG131" s="2"/>
      <c r="AH131" s="2"/>
      <c r="AI131" s="51">
        <v>-11.997563</v>
      </c>
      <c r="AJ131" s="51">
        <v>-76.900062000000005</v>
      </c>
      <c r="AK131" s="2" t="str">
        <f>IFERROR(VLOOKUP(H131,tdcargo[],2,FALSE),"DESCONOCIDO")</f>
        <v>STAFF</v>
      </c>
    </row>
    <row r="132" spans="1:37" x14ac:dyDescent="0.35">
      <c r="A132" s="2" t="s">
        <v>3820</v>
      </c>
      <c r="B132" s="2" t="s">
        <v>3821</v>
      </c>
      <c r="C132" s="2" t="s">
        <v>1794</v>
      </c>
      <c r="D132" s="2" t="s">
        <v>1316</v>
      </c>
      <c r="E132" s="2">
        <v>27</v>
      </c>
      <c r="F132" s="2" t="s">
        <v>3255</v>
      </c>
      <c r="G132" s="2">
        <v>20508098</v>
      </c>
      <c r="H132" s="2" t="s">
        <v>1971</v>
      </c>
      <c r="I132" s="3">
        <v>45659</v>
      </c>
      <c r="J132" s="2" t="s">
        <v>31</v>
      </c>
      <c r="K132" s="3" t="s">
        <v>1968</v>
      </c>
      <c r="L132" s="2" t="s">
        <v>3263</v>
      </c>
      <c r="M132" s="2" t="s">
        <v>3264</v>
      </c>
      <c r="N132" s="2" t="s">
        <v>34</v>
      </c>
      <c r="O132" s="2" t="s">
        <v>3822</v>
      </c>
      <c r="P132" s="2" t="s">
        <v>36</v>
      </c>
      <c r="Q132" s="2" t="s">
        <v>116</v>
      </c>
      <c r="R132" s="2" t="s">
        <v>3274</v>
      </c>
      <c r="S132" s="2" t="s">
        <v>37</v>
      </c>
      <c r="T132" s="2" t="s">
        <v>37</v>
      </c>
      <c r="U132" s="2" t="s">
        <v>76</v>
      </c>
      <c r="V132" s="3">
        <v>45659</v>
      </c>
      <c r="W132" s="2" t="s">
        <v>77</v>
      </c>
      <c r="X132" s="2" t="str">
        <f t="shared" si="8"/>
        <v>Avenida Pasaje Sacarias Los Olivos, Lurigancho, Lima, Lima, Perú</v>
      </c>
      <c r="Y132" s="22">
        <v>-11.9880008</v>
      </c>
      <c r="Z132" s="22">
        <v>-77.069480499999997</v>
      </c>
      <c r="AA132" s="33">
        <f t="shared" si="9"/>
        <v>18.46</v>
      </c>
      <c r="AB132" s="2" t="str">
        <f t="shared" si="10"/>
        <v>🟠 Moderada (10-20 km)</v>
      </c>
      <c r="AC132" s="2" t="str" cm="1">
        <f t="array" ref="AC132">INDEX(PARADEROS_VALIDOS!$C$2:$C$68,MATCH(MIN(6371*ACOS(COS(RADIANS(Y132))*COS(RADIANS(PARADEROS_VALIDOS!$E$2:$E$68))*COS(RADIANS(PARADEROS_VALIDOS!$F$2:$F$68)-RADIANS(Z132))+SIN(RADIANS(Y132))*SIN(RADIANS(PARADEROS_VALIDOS!$E$2:$E$68)))),6371*ACOS(COS(RADIANS(Y132))*COS(RADIANS(PARADEROS_VALIDOS!$E$2:$E$68))*COS(RADIANS(PARADEROS_VALIDOS!$F$2:$F$68)-RADIANS(Z132))+SIN(RADIANS(Y132))*SIN(RADIANS(PARADEROS_VALIDOS!$E$2:$E$68))),0))</f>
        <v>Paradero Metro Eyzaguirre</v>
      </c>
      <c r="AD132" s="2" t="str">
        <f>IFERROR(INDEX(PARADEROS_VALIDOS!$A$2:$A$68,MATCH(AC132,PARADEROS_VALIDOS!$C$2:$C$68,0)),"")</f>
        <v>RUTA 8</v>
      </c>
      <c r="AE132" s="33" cm="1">
        <f t="array" ref="AE132">ROUND(MIN(6371*ACOS(COS(RADIANS(Y132))*COS(RADIANS(PARADEROS_VALIDOS!$E$2:$E$68))*COS(RADIANS(PARADEROS_VALIDOS!$F$2:$F$68)-RADIANS(Z132))+SIN(RADIANS(Y132))*SIN(RADIANS(PARADEROS_VALIDOS!$E$2:$E$68)))),2)</f>
        <v>0.66</v>
      </c>
      <c r="AF132" s="2" t="str">
        <f t="shared" si="11"/>
        <v>🟢 Muy Cerca (0-1 km)</v>
      </c>
      <c r="AG132" s="2"/>
      <c r="AH132" s="2"/>
      <c r="AI132" s="51">
        <v>-11.997563</v>
      </c>
      <c r="AJ132" s="51">
        <v>-76.900062000000005</v>
      </c>
      <c r="AK132" s="2" t="str">
        <f>IFERROR(VLOOKUP(H132,tdcargo[],2,FALSE),"DESCONOCIDO")</f>
        <v>OPERARIO</v>
      </c>
    </row>
    <row r="133" spans="1:37" x14ac:dyDescent="0.35">
      <c r="A133" s="2" t="s">
        <v>3823</v>
      </c>
      <c r="B133" s="2" t="s">
        <v>3824</v>
      </c>
      <c r="C133" s="2" t="s">
        <v>1773</v>
      </c>
      <c r="D133" s="2" t="s">
        <v>1768</v>
      </c>
      <c r="E133" s="2">
        <v>25</v>
      </c>
      <c r="F133" s="2" t="s">
        <v>3255</v>
      </c>
      <c r="G133" s="2">
        <v>20508145</v>
      </c>
      <c r="H133" s="2" t="s">
        <v>1971</v>
      </c>
      <c r="I133" s="3">
        <v>46083</v>
      </c>
      <c r="J133" s="2" t="s">
        <v>31</v>
      </c>
      <c r="K133" s="3" t="s">
        <v>1968</v>
      </c>
      <c r="L133" s="2" t="s">
        <v>3732</v>
      </c>
      <c r="M133" s="2" t="s">
        <v>3292</v>
      </c>
      <c r="N133" s="2" t="s">
        <v>82</v>
      </c>
      <c r="O133" s="2" t="s">
        <v>102</v>
      </c>
      <c r="P133" s="2" t="s">
        <v>36</v>
      </c>
      <c r="Q133" s="2" t="s">
        <v>3825</v>
      </c>
      <c r="R133" s="2" t="s">
        <v>3416</v>
      </c>
      <c r="S133" s="2" t="s">
        <v>37</v>
      </c>
      <c r="T133" s="2" t="s">
        <v>37</v>
      </c>
      <c r="U133" s="2" t="s">
        <v>37</v>
      </c>
      <c r="V133" s="3">
        <v>46083</v>
      </c>
      <c r="W133" s="2" t="s">
        <v>135</v>
      </c>
      <c r="X133" s="2" t="str">
        <f t="shared" si="8"/>
        <v>Calle Esperanza Las Américas, Lima, Lima, Lima, Perú</v>
      </c>
      <c r="Y133" s="22">
        <v>-12.120415700000001</v>
      </c>
      <c r="Z133" s="22">
        <v>-77.026739599999999</v>
      </c>
      <c r="AA133" s="33">
        <f t="shared" si="9"/>
        <v>19.399999999999999</v>
      </c>
      <c r="AB133" s="2" t="str">
        <f t="shared" si="10"/>
        <v>🟠 Moderada (10-20 km)</v>
      </c>
      <c r="AC133" s="2" t="str" cm="1">
        <f t="array" ref="AC133">INDEX(PARADEROS_VALIDOS!$C$2:$C$68,MATCH(MIN(6371*ACOS(COS(RADIANS(Y133))*COS(RADIANS(PARADEROS_VALIDOS!$E$2:$E$68))*COS(RADIANS(PARADEROS_VALIDOS!$F$2:$F$68)-RADIANS(Z133))+SIN(RADIANS(Y133))*SIN(RADIANS(PARADEROS_VALIDOS!$E$2:$E$68)))),6371*ACOS(COS(RADIANS(Y133))*COS(RADIANS(PARADEROS_VALIDOS!$E$2:$E$68))*COS(RADIANS(PARADEROS_VALIDOS!$F$2:$F$68)-RADIANS(Z133))+SIN(RADIANS(Y133))*SIN(RADIANS(PARADEROS_VALIDOS!$E$2:$E$68))),0))</f>
        <v>Paradero Berlín con Javier prado (cruzando el semáforo) aplica solo al ingreso.</v>
      </c>
      <c r="AD133" s="2" t="str">
        <f>IFERROR(INDEX(PARADEROS_VALIDOS!$A$2:$A$68,MATCH(AC133,PARADEROS_VALIDOS!$C$2:$C$68,0)),"")</f>
        <v>RUTA 4A</v>
      </c>
      <c r="AE133" s="33" cm="1">
        <f t="array" ref="AE133">ROUND(MIN(6371*ACOS(COS(RADIANS(Y133))*COS(RADIANS(PARADEROS_VALIDOS!$E$2:$E$68))*COS(RADIANS(PARADEROS_VALIDOS!$F$2:$F$68)-RADIANS(Z133))+SIN(RADIANS(Y133))*SIN(RADIANS(PARADEROS_VALIDOS!$E$2:$E$68)))),2)</f>
        <v>3.51</v>
      </c>
      <c r="AF133" s="2" t="str">
        <f t="shared" si="11"/>
        <v>🟠 Moderada (3-5 km)</v>
      </c>
      <c r="AG133" s="2"/>
      <c r="AH133" s="2"/>
      <c r="AI133" s="51">
        <v>-11.997563</v>
      </c>
      <c r="AJ133" s="51">
        <v>-76.900062000000005</v>
      </c>
      <c r="AK133" s="2" t="str">
        <f>IFERROR(VLOOKUP(H133,tdcargo[],2,FALSE),"DESCONOCIDO")</f>
        <v>OPERARIO</v>
      </c>
    </row>
    <row r="134" spans="1:37" x14ac:dyDescent="0.35">
      <c r="A134" s="2" t="s">
        <v>3826</v>
      </c>
      <c r="B134" s="2" t="s">
        <v>3827</v>
      </c>
      <c r="C134" s="2" t="s">
        <v>43</v>
      </c>
      <c r="D134" s="2" t="s">
        <v>106</v>
      </c>
      <c r="E134" s="2">
        <v>20</v>
      </c>
      <c r="F134" s="2" t="s">
        <v>3255</v>
      </c>
      <c r="G134" s="2">
        <v>20508070</v>
      </c>
      <c r="H134" s="2" t="s">
        <v>1971</v>
      </c>
      <c r="I134" s="3">
        <v>45572</v>
      </c>
      <c r="J134" s="2" t="s">
        <v>31</v>
      </c>
      <c r="K134" s="3" t="s">
        <v>1968</v>
      </c>
      <c r="L134" s="2" t="s">
        <v>3299</v>
      </c>
      <c r="M134" s="2" t="s">
        <v>3300</v>
      </c>
      <c r="N134" s="2" t="s">
        <v>36</v>
      </c>
      <c r="O134" s="2" t="s">
        <v>3828</v>
      </c>
      <c r="P134" s="2" t="s">
        <v>36</v>
      </c>
      <c r="Q134" s="2" t="s">
        <v>3829</v>
      </c>
      <c r="R134" s="2" t="s">
        <v>3291</v>
      </c>
      <c r="S134" s="2" t="s">
        <v>37</v>
      </c>
      <c r="T134" s="2" t="s">
        <v>37</v>
      </c>
      <c r="U134" s="2" t="s">
        <v>57</v>
      </c>
      <c r="V134" s="3">
        <v>45572</v>
      </c>
      <c r="W134" s="2" t="s">
        <v>48</v>
      </c>
      <c r="X134" s="2" t="str">
        <f t="shared" si="8"/>
        <v>Conjunto Resindencial Las Praderas De Pariachi, Ate, Lima, Lima, Perú</v>
      </c>
      <c r="Y134" s="22">
        <v>-11.9958586</v>
      </c>
      <c r="Z134" s="22">
        <v>-77.122063499999996</v>
      </c>
      <c r="AA134" s="33">
        <f t="shared" si="9"/>
        <v>24.15</v>
      </c>
      <c r="AB134" s="2" t="str">
        <f t="shared" si="10"/>
        <v>🔴 Lejos (&gt;20 km)</v>
      </c>
      <c r="AC134" s="2" t="str" cm="1">
        <f t="array" ref="AC134">INDEX(PARADEROS_VALIDOS!$C$2:$C$68,MATCH(MIN(6371*ACOS(COS(RADIANS(Y134))*COS(RADIANS(PARADEROS_VALIDOS!$E$2:$E$68))*COS(RADIANS(PARADEROS_VALIDOS!$F$2:$F$68)-RADIANS(Z134))+SIN(RADIANS(Y134))*SIN(RADIANS(PARADEROS_VALIDOS!$E$2:$E$68)))),6371*ACOS(COS(RADIANS(Y134))*COS(RADIANS(PARADEROS_VALIDOS!$E$2:$E$68))*COS(RADIANS(PARADEROS_VALIDOS!$F$2:$F$68)-RADIANS(Z134))+SIN(RADIANS(Y134))*SIN(RADIANS(PARADEROS_VALIDOS!$E$2:$E$68))),0))</f>
        <v>Paradero 200 Millas</v>
      </c>
      <c r="AD134" s="2" t="str">
        <f>IFERROR(INDEX(PARADEROS_VALIDOS!$A$2:$A$68,MATCH(AC134,PARADEROS_VALIDOS!$C$2:$C$68,0)),"")</f>
        <v>RUTA 7</v>
      </c>
      <c r="AE134" s="33" cm="1">
        <f t="array" ref="AE134">ROUND(MIN(6371*ACOS(COS(RADIANS(Y134))*COS(RADIANS(PARADEROS_VALIDOS!$E$2:$E$68))*COS(RADIANS(PARADEROS_VALIDOS!$F$2:$F$68)-RADIANS(Z134))+SIN(RADIANS(Y134))*SIN(RADIANS(PARADEROS_VALIDOS!$E$2:$E$68)))),2)</f>
        <v>0.3</v>
      </c>
      <c r="AF134" s="2" t="str">
        <f t="shared" si="11"/>
        <v>🟢 Muy Cerca (0-1 km)</v>
      </c>
      <c r="AG134" s="2"/>
      <c r="AH134" s="2"/>
      <c r="AI134" s="51">
        <v>-11.997563</v>
      </c>
      <c r="AJ134" s="51">
        <v>-76.900062000000005</v>
      </c>
      <c r="AK134" s="2" t="str">
        <f>IFERROR(VLOOKUP(H134,tdcargo[],2,FALSE),"DESCONOCIDO")</f>
        <v>OPERARIO</v>
      </c>
    </row>
    <row r="135" spans="1:37" x14ac:dyDescent="0.35">
      <c r="A135" s="2" t="s">
        <v>3830</v>
      </c>
      <c r="B135" s="2" t="s">
        <v>3831</v>
      </c>
      <c r="C135" s="2" t="s">
        <v>3832</v>
      </c>
      <c r="D135" s="2" t="s">
        <v>3833</v>
      </c>
      <c r="E135" s="2">
        <v>28</v>
      </c>
      <c r="F135" s="2" t="s">
        <v>3255</v>
      </c>
      <c r="G135" s="2">
        <v>20511985</v>
      </c>
      <c r="H135" s="2" t="s">
        <v>1971</v>
      </c>
      <c r="I135" s="3">
        <v>45442</v>
      </c>
      <c r="J135" s="2" t="s">
        <v>31</v>
      </c>
      <c r="K135" s="3" t="s">
        <v>1968</v>
      </c>
      <c r="L135" s="2" t="s">
        <v>3299</v>
      </c>
      <c r="M135" s="2" t="s">
        <v>3300</v>
      </c>
      <c r="N135" s="2" t="s">
        <v>82</v>
      </c>
      <c r="O135" s="2" t="s">
        <v>3550</v>
      </c>
      <c r="P135" s="2" t="s">
        <v>36</v>
      </c>
      <c r="Q135" s="2" t="s">
        <v>3058</v>
      </c>
      <c r="R135" s="2" t="s">
        <v>3260</v>
      </c>
      <c r="S135" s="2" t="s">
        <v>37</v>
      </c>
      <c r="T135" s="2" t="s">
        <v>37</v>
      </c>
      <c r="U135" s="2" t="s">
        <v>38</v>
      </c>
      <c r="V135" s="3">
        <v>45442</v>
      </c>
      <c r="W135" s="2" t="s">
        <v>48</v>
      </c>
      <c r="X135" s="2" t="str">
        <f t="shared" si="8"/>
        <v>Calle Las Bellotitas Las Violetas, San Juan De Lurigancho, Lima, Lima, Perú</v>
      </c>
      <c r="Y135" s="22">
        <v>-12.0106859</v>
      </c>
      <c r="Z135" s="22">
        <v>-77.007673600000004</v>
      </c>
      <c r="AA135" s="33">
        <f t="shared" si="9"/>
        <v>11.79</v>
      </c>
      <c r="AB135" s="2" t="str">
        <f t="shared" si="10"/>
        <v>🟠 Moderada (10-20 km)</v>
      </c>
      <c r="AC135" s="2" t="str" cm="1">
        <f t="array" ref="AC135">INDEX(PARADEROS_VALIDOS!$C$2:$C$68,MATCH(MIN(6371*ACOS(COS(RADIANS(Y135))*COS(RADIANS(PARADEROS_VALIDOS!$E$2:$E$68))*COS(RADIANS(PARADEROS_VALIDOS!$F$2:$F$68)-RADIANS(Z135))+SIN(RADIANS(Y135))*SIN(RADIANS(PARADEROS_VALIDOS!$E$2:$E$68)))),6371*ACOS(COS(RADIANS(Y135))*COS(RADIANS(PARADEROS_VALIDOS!$E$2:$E$68))*COS(RADIANS(PARADEROS_VALIDOS!$F$2:$F$68)-RADIANS(Z135))+SIN(RADIANS(Y135))*SIN(RADIANS(PARADEROS_VALIDOS!$E$2:$E$68))),0))</f>
        <v>Paradero Metro Hacienda</v>
      </c>
      <c r="AD135" s="2" t="str">
        <f>IFERROR(INDEX(PARADEROS_VALIDOS!$A$2:$A$68,MATCH(AC135,PARADEROS_VALIDOS!$C$2:$C$68,0)),"")</f>
        <v>RUTA 6B</v>
      </c>
      <c r="AE135" s="33" cm="1">
        <f t="array" ref="AE135">ROUND(MIN(6371*ACOS(COS(RADIANS(Y135))*COS(RADIANS(PARADEROS_VALIDOS!$E$2:$E$68))*COS(RADIANS(PARADEROS_VALIDOS!$F$2:$F$68)-RADIANS(Z135))+SIN(RADIANS(Y135))*SIN(RADIANS(PARADEROS_VALIDOS!$E$2:$E$68)))),2)</f>
        <v>0.47</v>
      </c>
      <c r="AF135" s="2" t="str">
        <f t="shared" si="11"/>
        <v>🟢 Muy Cerca (0-1 km)</v>
      </c>
      <c r="AG135" s="2"/>
      <c r="AH135" s="2"/>
      <c r="AI135" s="51">
        <v>-11.997563</v>
      </c>
      <c r="AJ135" s="51">
        <v>-76.900062000000005</v>
      </c>
      <c r="AK135" s="2" t="str">
        <f>IFERROR(VLOOKUP(H135,tdcargo[],2,FALSE),"DESCONOCIDO")</f>
        <v>OPERARIO</v>
      </c>
    </row>
    <row r="136" spans="1:37" x14ac:dyDescent="0.35">
      <c r="A136" s="2" t="s">
        <v>3834</v>
      </c>
      <c r="B136" s="2" t="s">
        <v>3835</v>
      </c>
      <c r="C136" s="2" t="s">
        <v>3836</v>
      </c>
      <c r="D136" s="2" t="s">
        <v>326</v>
      </c>
      <c r="E136" s="2">
        <v>24</v>
      </c>
      <c r="F136" s="2" t="s">
        <v>3255</v>
      </c>
      <c r="G136" s="2">
        <v>20508148</v>
      </c>
      <c r="H136" s="2" t="s">
        <v>1971</v>
      </c>
      <c r="I136" s="3">
        <v>45068</v>
      </c>
      <c r="J136" s="2" t="s">
        <v>31</v>
      </c>
      <c r="K136" s="3" t="s">
        <v>1968</v>
      </c>
      <c r="L136" s="2" t="s">
        <v>3690</v>
      </c>
      <c r="M136" s="2" t="s">
        <v>1968</v>
      </c>
      <c r="N136" s="2" t="s">
        <v>36</v>
      </c>
      <c r="O136" s="2" t="s">
        <v>3837</v>
      </c>
      <c r="P136" s="2" t="s">
        <v>66</v>
      </c>
      <c r="Q136" s="2" t="s">
        <v>3838</v>
      </c>
      <c r="R136" s="2" t="s">
        <v>3291</v>
      </c>
      <c r="S136" s="2" t="s">
        <v>37</v>
      </c>
      <c r="T136" s="2" t="s">
        <v>37</v>
      </c>
      <c r="U136" s="2" t="s">
        <v>57</v>
      </c>
      <c r="V136" s="3">
        <v>45068</v>
      </c>
      <c r="W136" s="2" t="s">
        <v>48</v>
      </c>
      <c r="X136" s="2" t="str">
        <f t="shared" si="8"/>
        <v>Asc.Nueva Primavera, U.V. Unidad Vecinal Nueva Primavera, Ate, Lima, Lima, Perú</v>
      </c>
      <c r="Y136" s="22">
        <v>-12.0425</v>
      </c>
      <c r="Z136" s="22">
        <v>-76.874793699999998</v>
      </c>
      <c r="AA136" s="33">
        <f t="shared" si="9"/>
        <v>5.7</v>
      </c>
      <c r="AB136" s="2" t="str">
        <f t="shared" si="10"/>
        <v>🟡 Cerca (5-10 km)</v>
      </c>
      <c r="AC136" s="2" t="str" cm="1">
        <f t="array" ref="AC136">INDEX(PARADEROS_VALIDOS!$C$2:$C$68,MATCH(MIN(6371*ACOS(COS(RADIANS(Y136))*COS(RADIANS(PARADEROS_VALIDOS!$E$2:$E$68))*COS(RADIANS(PARADEROS_VALIDOS!$F$2:$F$68)-RADIANS(Z136))+SIN(RADIANS(Y136))*SIN(RADIANS(PARADEROS_VALIDOS!$E$2:$E$68)))),6371*ACOS(COS(RADIANS(Y136))*COS(RADIANS(PARADEROS_VALIDOS!$E$2:$E$68))*COS(RADIANS(PARADEROS_VALIDOS!$F$2:$F$68)-RADIANS(Z136))+SIN(RADIANS(Y136))*SIN(RADIANS(PARADEROS_VALIDOS!$E$2:$E$68))),0))</f>
        <v>Paradero la Cruz</v>
      </c>
      <c r="AD136" s="2" t="str">
        <f>IFERROR(INDEX(PARADEROS_VALIDOS!$A$2:$A$68,MATCH(AC136,PARADEROS_VALIDOS!$C$2:$C$68,0)),"")</f>
        <v>RUTA 4B</v>
      </c>
      <c r="AE136" s="33" cm="1">
        <f t="array" ref="AE136">ROUND(MIN(6371*ACOS(COS(RADIANS(Y136))*COS(RADIANS(PARADEROS_VALIDOS!$E$2:$E$68))*COS(RADIANS(PARADEROS_VALIDOS!$F$2:$F$68)-RADIANS(Z136))+SIN(RADIANS(Y136))*SIN(RADIANS(PARADEROS_VALIDOS!$E$2:$E$68)))),2)</f>
        <v>3.28</v>
      </c>
      <c r="AF136" s="2" t="str">
        <f t="shared" si="11"/>
        <v>🟠 Moderada (3-5 km)</v>
      </c>
      <c r="AG136" s="2"/>
      <c r="AH136" s="2"/>
      <c r="AI136" s="51">
        <v>-11.997563</v>
      </c>
      <c r="AJ136" s="51">
        <v>-76.900062000000005</v>
      </c>
      <c r="AK136" s="2" t="str">
        <f>IFERROR(VLOOKUP(H136,tdcargo[],2,FALSE),"DESCONOCIDO")</f>
        <v>OPERARIO</v>
      </c>
    </row>
    <row r="137" spans="1:37" x14ac:dyDescent="0.35">
      <c r="A137" s="2" t="s">
        <v>3668</v>
      </c>
      <c r="B137" s="2" t="s">
        <v>3839</v>
      </c>
      <c r="C137" s="2" t="s">
        <v>3840</v>
      </c>
      <c r="D137" s="2" t="s">
        <v>3841</v>
      </c>
      <c r="E137" s="2">
        <v>29</v>
      </c>
      <c r="F137" s="2" t="s">
        <v>3255</v>
      </c>
      <c r="G137" s="2">
        <v>20512187</v>
      </c>
      <c r="H137" s="2" t="s">
        <v>3842</v>
      </c>
      <c r="I137" s="3">
        <v>43899</v>
      </c>
      <c r="J137" s="2" t="s">
        <v>31</v>
      </c>
      <c r="K137" s="3" t="s">
        <v>1968</v>
      </c>
      <c r="L137" s="2" t="s">
        <v>3515</v>
      </c>
      <c r="M137" s="2" t="s">
        <v>1968</v>
      </c>
      <c r="N137" s="2" t="s">
        <v>148</v>
      </c>
      <c r="O137" s="2" t="s">
        <v>3843</v>
      </c>
      <c r="P137" s="2" t="s">
        <v>186</v>
      </c>
      <c r="Q137" s="2" t="s">
        <v>2503</v>
      </c>
      <c r="R137" s="2" t="s">
        <v>3260</v>
      </c>
      <c r="S137" s="2" t="s">
        <v>37</v>
      </c>
      <c r="T137" s="2" t="s">
        <v>37</v>
      </c>
      <c r="U137" s="2" t="s">
        <v>76</v>
      </c>
      <c r="V137" s="3">
        <v>45842</v>
      </c>
      <c r="W137" s="2" t="s">
        <v>3668</v>
      </c>
      <c r="X137" s="2" t="str">
        <f t="shared" si="8"/>
        <v>Pasaje Las Traquitas, Urb. Urbanización San Miguel De Pedregal, Lurigancho, Lima, Lima, Perú</v>
      </c>
      <c r="Y137" s="22">
        <v>-11.938595100000001</v>
      </c>
      <c r="Z137" s="22">
        <v>-76.701427499999994</v>
      </c>
      <c r="AA137" s="33">
        <f t="shared" si="9"/>
        <v>22.58</v>
      </c>
      <c r="AB137" s="2" t="str">
        <f t="shared" si="10"/>
        <v>🔴 Lejos (&gt;20 km)</v>
      </c>
      <c r="AC137" s="2" t="str" cm="1">
        <f t="array" ref="AC137">INDEX(PARADEROS_VALIDOS!$C$2:$C$68,MATCH(MIN(6371*ACOS(COS(RADIANS(Y137))*COS(RADIANS(PARADEROS_VALIDOS!$E$2:$E$68))*COS(RADIANS(PARADEROS_VALIDOS!$F$2:$F$68)-RADIANS(Z137))+SIN(RADIANS(Y137))*SIN(RADIANS(PARADEROS_VALIDOS!$E$2:$E$68)))),6371*ACOS(COS(RADIANS(Y137))*COS(RADIANS(PARADEROS_VALIDOS!$E$2:$E$68))*COS(RADIANS(PARADEROS_VALIDOS!$F$2:$F$68)-RADIANS(Z137))+SIN(RADIANS(Y137))*SIN(RADIANS(PARADEROS_VALIDOS!$E$2:$E$68))),0))</f>
        <v>Paradero Girasoles - Chaclacayo</v>
      </c>
      <c r="AD137" s="2" t="str">
        <f>IFERROR(INDEX(PARADEROS_VALIDOS!$A$2:$A$68,MATCH(AC137,PARADEROS_VALIDOS!$C$2:$C$68,0)),"")</f>
        <v>RUTA 5A</v>
      </c>
      <c r="AE137" s="33" cm="1">
        <f t="array" ref="AE137">ROUND(MIN(6371*ACOS(COS(RADIANS(Y137))*COS(RADIANS(PARADEROS_VALIDOS!$E$2:$E$68))*COS(RADIANS(PARADEROS_VALIDOS!$F$2:$F$68)-RADIANS(Z137))+SIN(RADIANS(Y137))*SIN(RADIANS(PARADEROS_VALIDOS!$E$2:$E$68)))),2)</f>
        <v>8.8000000000000007</v>
      </c>
      <c r="AF137" s="2" t="str">
        <f t="shared" si="11"/>
        <v>🔴 Lejos (&gt;5 km)</v>
      </c>
      <c r="AG137" s="2"/>
      <c r="AH137" s="2"/>
      <c r="AI137" s="51">
        <v>-11.997563</v>
      </c>
      <c r="AJ137" s="51">
        <v>-76.900062000000005</v>
      </c>
      <c r="AK137" s="2" t="str">
        <f>IFERROR(VLOOKUP(H137,tdcargo[],2,FALSE),"DESCONOCIDO")</f>
        <v>STAFF</v>
      </c>
    </row>
    <row r="138" spans="1:37" x14ac:dyDescent="0.35">
      <c r="A138" s="2" t="s">
        <v>3844</v>
      </c>
      <c r="B138" s="2" t="s">
        <v>3845</v>
      </c>
      <c r="C138" s="2" t="s">
        <v>370</v>
      </c>
      <c r="D138" s="2" t="s">
        <v>589</v>
      </c>
      <c r="E138" s="2">
        <v>21</v>
      </c>
      <c r="F138" s="2" t="s">
        <v>3255</v>
      </c>
      <c r="G138" s="2">
        <v>20508052</v>
      </c>
      <c r="H138" s="2" t="s">
        <v>1971</v>
      </c>
      <c r="I138" s="3">
        <v>45614</v>
      </c>
      <c r="J138" s="2" t="s">
        <v>31</v>
      </c>
      <c r="K138" s="3" t="s">
        <v>1968</v>
      </c>
      <c r="L138" s="2" t="s">
        <v>3299</v>
      </c>
      <c r="M138" s="2" t="s">
        <v>3300</v>
      </c>
      <c r="N138" s="2" t="s">
        <v>53</v>
      </c>
      <c r="O138" s="2" t="s">
        <v>2733</v>
      </c>
      <c r="P138" s="2" t="s">
        <v>36</v>
      </c>
      <c r="Q138" s="2" t="s">
        <v>1956</v>
      </c>
      <c r="R138" s="2" t="s">
        <v>3442</v>
      </c>
      <c r="S138" s="2" t="s">
        <v>37</v>
      </c>
      <c r="T138" s="2" t="s">
        <v>37</v>
      </c>
      <c r="U138" s="2" t="s">
        <v>47</v>
      </c>
      <c r="V138" s="3">
        <v>45614</v>
      </c>
      <c r="W138" s="2" t="s">
        <v>48</v>
      </c>
      <c r="X138" s="2" t="str">
        <f t="shared" si="8"/>
        <v>Jirón Huancavelica, Puente Piedra, Lima, Lima, Perú</v>
      </c>
      <c r="Y138" s="22">
        <v>-11.8688912</v>
      </c>
      <c r="Z138" s="22">
        <v>-77.077560300000002</v>
      </c>
      <c r="AA138" s="33">
        <f t="shared" si="9"/>
        <v>24.03</v>
      </c>
      <c r="AB138" s="2" t="str">
        <f t="shared" si="10"/>
        <v>🔴 Lejos (&gt;20 km)</v>
      </c>
      <c r="AC138" s="2" t="str" cm="1">
        <f t="array" ref="AC138">INDEX(PARADEROS_VALIDOS!$C$2:$C$68,MATCH(MIN(6371*ACOS(COS(RADIANS(Y138))*COS(RADIANS(PARADEROS_VALIDOS!$E$2:$E$68))*COS(RADIANS(PARADEROS_VALIDOS!$F$2:$F$68)-RADIANS(Z138))+SIN(RADIANS(Y138))*SIN(RADIANS(PARADEROS_VALIDOS!$E$2:$E$68)))),6371*ACOS(COS(RADIANS(Y138))*COS(RADIANS(PARADEROS_VALIDOS!$E$2:$E$68))*COS(RADIANS(PARADEROS_VALIDOS!$F$2:$F$68)-RADIANS(Z138))+SIN(RADIANS(Y138))*SIN(RADIANS(PARADEROS_VALIDOS!$E$2:$E$68))),0))</f>
        <v>Av. Metropolitana con Cultura</v>
      </c>
      <c r="AD138" s="2" t="str">
        <f>IFERROR(INDEX(PARADEROS_VALIDOS!$A$2:$A$68,MATCH(AC138,PARADEROS_VALIDOS!$C$2:$C$68,0)),"")</f>
        <v>RUTA 4A</v>
      </c>
      <c r="AE138" s="33" cm="1">
        <f t="array" ref="AE138">ROUND(MIN(6371*ACOS(COS(RADIANS(Y138))*COS(RADIANS(PARADEROS_VALIDOS!$E$2:$E$68))*COS(RADIANS(PARADEROS_VALIDOS!$F$2:$F$68)-RADIANS(Z138))+SIN(RADIANS(Y138))*SIN(RADIANS(PARADEROS_VALIDOS!$E$2:$E$68)))),2)</f>
        <v>9.4499999999999993</v>
      </c>
      <c r="AF138" s="2" t="str">
        <f t="shared" si="11"/>
        <v>🔴 Lejos (&gt;5 km)</v>
      </c>
      <c r="AG138" s="2"/>
      <c r="AH138" s="2"/>
      <c r="AI138" s="51">
        <v>-11.997563</v>
      </c>
      <c r="AJ138" s="51">
        <v>-76.900062000000005</v>
      </c>
      <c r="AK138" s="2" t="str">
        <f>IFERROR(VLOOKUP(H138,tdcargo[],2,FALSE),"DESCONOCIDO")</f>
        <v>OPERARIO</v>
      </c>
    </row>
    <row r="139" spans="1:37" x14ac:dyDescent="0.35">
      <c r="A139" s="2" t="s">
        <v>3846</v>
      </c>
      <c r="B139" s="2" t="s">
        <v>3847</v>
      </c>
      <c r="C139" s="2" t="s">
        <v>1469</v>
      </c>
      <c r="D139" s="2" t="s">
        <v>715</v>
      </c>
      <c r="E139" s="2">
        <v>27</v>
      </c>
      <c r="F139" s="2" t="s">
        <v>3255</v>
      </c>
      <c r="G139" s="2">
        <v>20508153</v>
      </c>
      <c r="H139" s="2" t="s">
        <v>2070</v>
      </c>
      <c r="I139" s="3">
        <v>44543</v>
      </c>
      <c r="J139" s="2" t="s">
        <v>31</v>
      </c>
      <c r="K139" s="3" t="s">
        <v>1968</v>
      </c>
      <c r="L139" s="2" t="s">
        <v>3336</v>
      </c>
      <c r="M139" s="2" t="s">
        <v>3337</v>
      </c>
      <c r="N139" s="2" t="s">
        <v>36</v>
      </c>
      <c r="O139" s="2" t="s">
        <v>3848</v>
      </c>
      <c r="P139" s="2" t="s">
        <v>36</v>
      </c>
      <c r="Q139" s="2" t="s">
        <v>3849</v>
      </c>
      <c r="R139" s="2" t="s">
        <v>3291</v>
      </c>
      <c r="S139" s="2" t="s">
        <v>37</v>
      </c>
      <c r="T139" s="2" t="s">
        <v>37</v>
      </c>
      <c r="U139" s="2" t="s">
        <v>57</v>
      </c>
      <c r="V139" s="3">
        <v>44543</v>
      </c>
      <c r="W139" s="2" t="s">
        <v>48</v>
      </c>
      <c r="X139" s="2" t="str">
        <f t="shared" si="8"/>
        <v>Asoc Civil Pariachi 3Ra Etapa Mz.F Lt.5 Asociacion Civil, Ate, Lima, Lima, Perú</v>
      </c>
      <c r="Y139" s="22">
        <v>-12.0075226</v>
      </c>
      <c r="Z139" s="22">
        <v>-76.845428799999993</v>
      </c>
      <c r="AA139" s="33">
        <f t="shared" si="9"/>
        <v>6.04</v>
      </c>
      <c r="AB139" s="2" t="str">
        <f t="shared" si="10"/>
        <v>🟡 Cerca (5-10 km)</v>
      </c>
      <c r="AC139" s="2" t="str" cm="1">
        <f t="array" ref="AC139">INDEX(PARADEROS_VALIDOS!$C$2:$C$68,MATCH(MIN(6371*ACOS(COS(RADIANS(Y139))*COS(RADIANS(PARADEROS_VALIDOS!$E$2:$E$68))*COS(RADIANS(PARADEROS_VALIDOS!$F$2:$F$68)-RADIANS(Z139))+SIN(RADIANS(Y139))*SIN(RADIANS(PARADEROS_VALIDOS!$E$2:$E$68)))),6371*ACOS(COS(RADIANS(Y139))*COS(RADIANS(PARADEROS_VALIDOS!$E$2:$E$68))*COS(RADIANS(PARADEROS_VALIDOS!$F$2:$F$68)-RADIANS(Z139))+SIN(RADIANS(Y139))*SIN(RADIANS(PARADEROS_VALIDOS!$E$2:$E$68))),0))</f>
        <v>Entrada Horacio</v>
      </c>
      <c r="AD139" s="2" t="str">
        <f>IFERROR(INDEX(PARADEROS_VALIDOS!$A$2:$A$68,MATCH(AC139,PARADEROS_VALIDOS!$C$2:$C$68,0)),"")</f>
        <v>RUTA 5B</v>
      </c>
      <c r="AE139" s="33" cm="1">
        <f t="array" ref="AE139">ROUND(MIN(6371*ACOS(COS(RADIANS(Y139))*COS(RADIANS(PARADEROS_VALIDOS!$E$2:$E$68))*COS(RADIANS(PARADEROS_VALIDOS!$F$2:$F$68)-RADIANS(Z139))+SIN(RADIANS(Y139))*SIN(RADIANS(PARADEROS_VALIDOS!$E$2:$E$68)))),2)</f>
        <v>0.38</v>
      </c>
      <c r="AF139" s="2" t="str">
        <f t="shared" si="11"/>
        <v>🟢 Muy Cerca (0-1 km)</v>
      </c>
      <c r="AG139" s="2"/>
      <c r="AH139" s="2"/>
      <c r="AI139" s="51">
        <v>-11.997563</v>
      </c>
      <c r="AJ139" s="51">
        <v>-76.900062000000005</v>
      </c>
      <c r="AK139" s="2" t="str">
        <f>IFERROR(VLOOKUP(H139,tdcargo[],2,FALSE),"DESCONOCIDO")</f>
        <v>STAFF</v>
      </c>
    </row>
    <row r="140" spans="1:37" x14ac:dyDescent="0.35">
      <c r="A140" s="2" t="s">
        <v>3850</v>
      </c>
      <c r="B140" s="2" t="s">
        <v>1772</v>
      </c>
      <c r="C140" s="2" t="s">
        <v>3851</v>
      </c>
      <c r="D140" s="2" t="s">
        <v>949</v>
      </c>
      <c r="E140" s="2">
        <v>40</v>
      </c>
      <c r="F140" s="2" t="s">
        <v>3255</v>
      </c>
      <c r="G140" s="2">
        <v>20510972</v>
      </c>
      <c r="H140" s="2" t="s">
        <v>1971</v>
      </c>
      <c r="I140" s="3">
        <v>45763</v>
      </c>
      <c r="J140" s="2" t="s">
        <v>31</v>
      </c>
      <c r="K140" s="3" t="s">
        <v>1968</v>
      </c>
      <c r="L140" s="2" t="s">
        <v>3256</v>
      </c>
      <c r="M140" s="2" t="s">
        <v>3257</v>
      </c>
      <c r="N140" s="2" t="s">
        <v>34</v>
      </c>
      <c r="O140" s="2" t="s">
        <v>798</v>
      </c>
      <c r="P140" s="2" t="s">
        <v>1054</v>
      </c>
      <c r="Q140" s="2" t="s">
        <v>3852</v>
      </c>
      <c r="R140" s="2" t="s">
        <v>3291</v>
      </c>
      <c r="S140" s="2" t="s">
        <v>37</v>
      </c>
      <c r="T140" s="2" t="s">
        <v>37</v>
      </c>
      <c r="U140" s="2" t="s">
        <v>57</v>
      </c>
      <c r="V140" s="3">
        <v>45763</v>
      </c>
      <c r="W140" s="2" t="s">
        <v>39</v>
      </c>
      <c r="X140" s="2" t="str">
        <f t="shared" si="8"/>
        <v>Avenida 15 De Julio, Z.I. Zona Industrial Ucv 64 Lt 64 63 Zona D Aahh Huaycan|, Ate, Lima, Lima, Perú</v>
      </c>
      <c r="Y140" s="22">
        <v>-12.016420999999999</v>
      </c>
      <c r="Z140" s="22">
        <v>-76.825003800000005</v>
      </c>
      <c r="AA140" s="33">
        <f t="shared" si="9"/>
        <v>8.43</v>
      </c>
      <c r="AB140" s="2" t="str">
        <f t="shared" si="10"/>
        <v>🟡 Cerca (5-10 km)</v>
      </c>
      <c r="AC140" s="2" t="str" cm="1">
        <f t="array" ref="AC140">INDEX(PARADEROS_VALIDOS!$C$2:$C$68,MATCH(MIN(6371*ACOS(COS(RADIANS(Y140))*COS(RADIANS(PARADEROS_VALIDOS!$E$2:$E$68))*COS(RADIANS(PARADEROS_VALIDOS!$F$2:$F$68)-RADIANS(Z140))+SIN(RADIANS(Y140))*SIN(RADIANS(PARADEROS_VALIDOS!$E$2:$E$68)))),6371*ACOS(COS(RADIANS(Y140))*COS(RADIANS(PARADEROS_VALIDOS!$E$2:$E$68))*COS(RADIANS(PARADEROS_VALIDOS!$F$2:$F$68)-RADIANS(Z140))+SIN(RADIANS(Y140))*SIN(RADIANS(PARADEROS_VALIDOS!$E$2:$E$68))),0))</f>
        <v>Paradero Aurora</v>
      </c>
      <c r="AD140" s="2" t="str">
        <f>IFERROR(INDEX(PARADEROS_VALIDOS!$A$2:$A$68,MATCH(AC140,PARADEROS_VALIDOS!$C$2:$C$68,0)),"")</f>
        <v>RUTA 3</v>
      </c>
      <c r="AE140" s="33" cm="1">
        <f t="array" ref="AE140">ROUND(MIN(6371*ACOS(COS(RADIANS(Y140))*COS(RADIANS(PARADEROS_VALIDOS!$E$2:$E$68))*COS(RADIANS(PARADEROS_VALIDOS!$F$2:$F$68)-RADIANS(Z140))+SIN(RADIANS(Y140))*SIN(RADIANS(PARADEROS_VALIDOS!$E$2:$E$68)))),2)</f>
        <v>1.08</v>
      </c>
      <c r="AF140" s="2" t="str">
        <f t="shared" si="11"/>
        <v>🟡 Cerca (1-3 km)</v>
      </c>
      <c r="AG140" s="2"/>
      <c r="AH140" s="2"/>
      <c r="AI140" s="51">
        <v>-11.997563</v>
      </c>
      <c r="AJ140" s="51">
        <v>-76.900062000000005</v>
      </c>
      <c r="AK140" s="2" t="str">
        <f>IFERROR(VLOOKUP(H140,tdcargo[],2,FALSE),"DESCONOCIDO")</f>
        <v>OPERARIO</v>
      </c>
    </row>
    <row r="141" spans="1:37" x14ac:dyDescent="0.35">
      <c r="A141" s="2" t="s">
        <v>3853</v>
      </c>
      <c r="B141" s="2" t="s">
        <v>3854</v>
      </c>
      <c r="C141" s="2" t="s">
        <v>43</v>
      </c>
      <c r="D141" s="2" t="s">
        <v>3855</v>
      </c>
      <c r="E141" s="2">
        <v>21</v>
      </c>
      <c r="F141" s="2" t="s">
        <v>3255</v>
      </c>
      <c r="G141" s="2">
        <v>20511222</v>
      </c>
      <c r="H141" s="2" t="s">
        <v>1971</v>
      </c>
      <c r="I141" s="3">
        <v>45677</v>
      </c>
      <c r="J141" s="2" t="s">
        <v>31</v>
      </c>
      <c r="K141" s="3" t="s">
        <v>1968</v>
      </c>
      <c r="L141" s="2" t="s">
        <v>3278</v>
      </c>
      <c r="M141" s="2" t="s">
        <v>3279</v>
      </c>
      <c r="N141" s="2" t="s">
        <v>34</v>
      </c>
      <c r="O141" s="2" t="s">
        <v>76</v>
      </c>
      <c r="P141" s="2" t="s">
        <v>36</v>
      </c>
      <c r="Q141" s="2" t="s">
        <v>3856</v>
      </c>
      <c r="R141" s="2" t="s">
        <v>3274</v>
      </c>
      <c r="S141" s="2" t="s">
        <v>37</v>
      </c>
      <c r="T141" s="2" t="s">
        <v>37</v>
      </c>
      <c r="U141" s="2" t="s">
        <v>76</v>
      </c>
      <c r="V141" s="3">
        <v>45677</v>
      </c>
      <c r="W141" s="2" t="s">
        <v>77</v>
      </c>
      <c r="X141" s="2" t="str">
        <f t="shared" si="8"/>
        <v>Avenida Lurigancho Lurigancho Chosica, Lurigancho, Lima, Lima, Perú</v>
      </c>
      <c r="Y141" s="22">
        <v>-12.0168579</v>
      </c>
      <c r="Z141" s="22">
        <v>-76.994785100000001</v>
      </c>
      <c r="AA141" s="33">
        <f t="shared" si="9"/>
        <v>10.52</v>
      </c>
      <c r="AB141" s="2" t="str">
        <f t="shared" si="10"/>
        <v>🟠 Moderada (10-20 km)</v>
      </c>
      <c r="AC141" s="2" t="str" cm="1">
        <f t="array" ref="AC141">INDEX(PARADEROS_VALIDOS!$C$2:$C$68,MATCH(MIN(6371*ACOS(COS(RADIANS(Y141))*COS(RADIANS(PARADEROS_VALIDOS!$E$2:$E$68))*COS(RADIANS(PARADEROS_VALIDOS!$F$2:$F$68)-RADIANS(Z141))+SIN(RADIANS(Y141))*SIN(RADIANS(PARADEROS_VALIDOS!$E$2:$E$68)))),6371*ACOS(COS(RADIANS(Y141))*COS(RADIANS(PARADEROS_VALIDOS!$E$2:$E$68))*COS(RADIANS(PARADEROS_VALIDOS!$F$2:$F$68)-RADIANS(Z141))+SIN(RADIANS(Y141))*SIN(RADIANS(PARADEROS_VALIDOS!$E$2:$E$68))),0))</f>
        <v>Paradero Celima</v>
      </c>
      <c r="AD141" s="2" t="str">
        <f>IFERROR(INDEX(PARADEROS_VALIDOS!$A$2:$A$68,MATCH(AC141,PARADEROS_VALIDOS!$C$2:$C$68,0)),"")</f>
        <v>RUTA 6C</v>
      </c>
      <c r="AE141" s="33" cm="1">
        <f t="array" ref="AE141">ROUND(MIN(6371*ACOS(COS(RADIANS(Y141))*COS(RADIANS(PARADEROS_VALIDOS!$E$2:$E$68))*COS(RADIANS(PARADEROS_VALIDOS!$F$2:$F$68)-RADIANS(Z141))+SIN(RADIANS(Y141))*SIN(RADIANS(PARADEROS_VALIDOS!$E$2:$E$68)))),2)</f>
        <v>0.83</v>
      </c>
      <c r="AF141" s="2" t="str">
        <f t="shared" si="11"/>
        <v>🟢 Muy Cerca (0-1 km)</v>
      </c>
      <c r="AG141" s="2"/>
      <c r="AH141" s="2"/>
      <c r="AI141" s="51">
        <v>-11.997563</v>
      </c>
      <c r="AJ141" s="51">
        <v>-76.900062000000005</v>
      </c>
      <c r="AK141" s="2" t="str">
        <f>IFERROR(VLOOKUP(H141,tdcargo[],2,FALSE),"DESCONOCIDO")</f>
        <v>OPERARIO</v>
      </c>
    </row>
    <row r="142" spans="1:37" x14ac:dyDescent="0.35">
      <c r="A142" s="2" t="s">
        <v>3857</v>
      </c>
      <c r="B142" s="2" t="s">
        <v>1873</v>
      </c>
      <c r="C142" s="2" t="s">
        <v>3858</v>
      </c>
      <c r="D142" s="2" t="s">
        <v>26</v>
      </c>
      <c r="E142" s="2">
        <v>25</v>
      </c>
      <c r="F142" s="2" t="s">
        <v>3255</v>
      </c>
      <c r="G142" s="2">
        <v>20511994</v>
      </c>
      <c r="H142" s="2" t="s">
        <v>1971</v>
      </c>
      <c r="I142" s="3">
        <v>45600</v>
      </c>
      <c r="J142" s="2" t="s">
        <v>31</v>
      </c>
      <c r="K142" s="3" t="s">
        <v>1968</v>
      </c>
      <c r="L142" s="2" t="s">
        <v>3271</v>
      </c>
      <c r="M142" s="2" t="s">
        <v>3272</v>
      </c>
      <c r="N142" s="2" t="s">
        <v>36</v>
      </c>
      <c r="O142" s="2" t="s">
        <v>1510</v>
      </c>
      <c r="P142" s="2" t="s">
        <v>36</v>
      </c>
      <c r="Q142" s="2" t="s">
        <v>279</v>
      </c>
      <c r="R142" s="2" t="s">
        <v>3260</v>
      </c>
      <c r="S142" s="2" t="s">
        <v>37</v>
      </c>
      <c r="T142" s="2" t="s">
        <v>37</v>
      </c>
      <c r="U142" s="2" t="s">
        <v>38</v>
      </c>
      <c r="V142" s="3">
        <v>45600</v>
      </c>
      <c r="W142" s="2" t="s">
        <v>48</v>
      </c>
      <c r="X142" s="2" t="str">
        <f t="shared" si="8"/>
        <v>Primavera Campoy, San Juan De Lurigancho, Lima, Lima, Perú</v>
      </c>
      <c r="Y142" s="22">
        <v>-12.019210599999999</v>
      </c>
      <c r="Z142" s="22">
        <v>-76.966826400000002</v>
      </c>
      <c r="AA142" s="33">
        <f t="shared" si="9"/>
        <v>7.65</v>
      </c>
      <c r="AB142" s="2" t="str">
        <f t="shared" si="10"/>
        <v>🟡 Cerca (5-10 km)</v>
      </c>
      <c r="AC142" s="2" t="str" cm="1">
        <f t="array" ref="AC142">INDEX(PARADEROS_VALIDOS!$C$2:$C$68,MATCH(MIN(6371*ACOS(COS(RADIANS(Y142))*COS(RADIANS(PARADEROS_VALIDOS!$E$2:$E$68))*COS(RADIANS(PARADEROS_VALIDOS!$F$2:$F$68)-RADIANS(Z142))+SIN(RADIANS(Y142))*SIN(RADIANS(PARADEROS_VALIDOS!$E$2:$E$68)))),6371*ACOS(COS(RADIANS(Y142))*COS(RADIANS(PARADEROS_VALIDOS!$E$2:$E$68))*COS(RADIANS(PARADEROS_VALIDOS!$F$2:$F$68)-RADIANS(Z142))+SIN(RADIANS(Y142))*SIN(RADIANS(PARADEROS_VALIDOS!$E$2:$E$68))),0))</f>
        <v>Paradero Tottus Campoy</v>
      </c>
      <c r="AD142" s="2" t="str">
        <f>IFERROR(INDEX(PARADEROS_VALIDOS!$A$2:$A$68,MATCH(AC142,PARADEROS_VALIDOS!$C$2:$C$68,0)),"")</f>
        <v>RUTA 6C</v>
      </c>
      <c r="AE142" s="33" cm="1">
        <f t="array" ref="AE142">ROUND(MIN(6371*ACOS(COS(RADIANS(Y142))*COS(RADIANS(PARADEROS_VALIDOS!$E$2:$E$68))*COS(RADIANS(PARADEROS_VALIDOS!$F$2:$F$68)-RADIANS(Z142))+SIN(RADIANS(Y142))*SIN(RADIANS(PARADEROS_VALIDOS!$E$2:$E$68)))),2)</f>
        <v>0.87</v>
      </c>
      <c r="AF142" s="2" t="str">
        <f t="shared" si="11"/>
        <v>🟢 Muy Cerca (0-1 km)</v>
      </c>
      <c r="AG142" s="2"/>
      <c r="AH142" s="2"/>
      <c r="AI142" s="51">
        <v>-11.997563</v>
      </c>
      <c r="AJ142" s="51">
        <v>-76.900062000000005</v>
      </c>
      <c r="AK142" s="2" t="str">
        <f>IFERROR(VLOOKUP(H142,tdcargo[],2,FALSE),"DESCONOCIDO")</f>
        <v>OPERARIO</v>
      </c>
    </row>
    <row r="143" spans="1:37" x14ac:dyDescent="0.35">
      <c r="A143" s="2" t="s">
        <v>3859</v>
      </c>
      <c r="B143" s="2" t="s">
        <v>3860</v>
      </c>
      <c r="C143" s="2" t="s">
        <v>3861</v>
      </c>
      <c r="D143" s="2" t="s">
        <v>81</v>
      </c>
      <c r="E143" s="2">
        <v>22</v>
      </c>
      <c r="F143" s="2" t="s">
        <v>3255</v>
      </c>
      <c r="G143" s="2">
        <v>20508071</v>
      </c>
      <c r="H143" s="2" t="s">
        <v>1971</v>
      </c>
      <c r="I143" s="3">
        <v>45117</v>
      </c>
      <c r="J143" s="2" t="s">
        <v>31</v>
      </c>
      <c r="K143" s="3" t="s">
        <v>1968</v>
      </c>
      <c r="L143" s="2" t="s">
        <v>3373</v>
      </c>
      <c r="M143" s="2" t="s">
        <v>3374</v>
      </c>
      <c r="N143" s="2" t="s">
        <v>82</v>
      </c>
      <c r="O143" s="2" t="s">
        <v>3862</v>
      </c>
      <c r="P143" s="2" t="s">
        <v>36</v>
      </c>
      <c r="Q143" s="2" t="s">
        <v>3863</v>
      </c>
      <c r="R143" s="2" t="s">
        <v>3274</v>
      </c>
      <c r="S143" s="2" t="s">
        <v>37</v>
      </c>
      <c r="T143" s="2" t="s">
        <v>37</v>
      </c>
      <c r="U143" s="2" t="s">
        <v>76</v>
      </c>
      <c r="V143" s="3">
        <v>46082</v>
      </c>
      <c r="W143" s="2" t="s">
        <v>39</v>
      </c>
      <c r="X143" s="2" t="str">
        <f t="shared" si="8"/>
        <v>Calle Nueva Jerusalen Anexo, Lurigancho, Lima, Lima, Perú</v>
      </c>
      <c r="Y143" s="22">
        <v>-11.932118300000001</v>
      </c>
      <c r="Z143" s="22">
        <v>-76.694147200000003</v>
      </c>
      <c r="AA143" s="33">
        <f t="shared" si="9"/>
        <v>23.55</v>
      </c>
      <c r="AB143" s="2" t="str">
        <f t="shared" si="10"/>
        <v>🔴 Lejos (&gt;20 km)</v>
      </c>
      <c r="AC143" s="2" t="str" cm="1">
        <f t="array" ref="AC143">INDEX(PARADEROS_VALIDOS!$C$2:$C$68,MATCH(MIN(6371*ACOS(COS(RADIANS(Y143))*COS(RADIANS(PARADEROS_VALIDOS!$E$2:$E$68))*COS(RADIANS(PARADEROS_VALIDOS!$F$2:$F$68)-RADIANS(Z143))+SIN(RADIANS(Y143))*SIN(RADIANS(PARADEROS_VALIDOS!$E$2:$E$68)))),6371*ACOS(COS(RADIANS(Y143))*COS(RADIANS(PARADEROS_VALIDOS!$E$2:$E$68))*COS(RADIANS(PARADEROS_VALIDOS!$F$2:$F$68)-RADIANS(Z143))+SIN(RADIANS(Y143))*SIN(RADIANS(PARADEROS_VALIDOS!$E$2:$E$68))),0))</f>
        <v>Paradero Girasoles - Chaclacayo</v>
      </c>
      <c r="AD143" s="2" t="str">
        <f>IFERROR(INDEX(PARADEROS_VALIDOS!$A$2:$A$68,MATCH(AC143,PARADEROS_VALIDOS!$C$2:$C$68,0)),"")</f>
        <v>RUTA 5A</v>
      </c>
      <c r="AE143" s="33" cm="1">
        <f t="array" ref="AE143">ROUND(MIN(6371*ACOS(COS(RADIANS(Y143))*COS(RADIANS(PARADEROS_VALIDOS!$E$2:$E$68))*COS(RADIANS(PARADEROS_VALIDOS!$F$2:$F$68)-RADIANS(Z143))+SIN(RADIANS(Y143))*SIN(RADIANS(PARADEROS_VALIDOS!$E$2:$E$68)))),2)</f>
        <v>9.85</v>
      </c>
      <c r="AF143" s="2" t="str">
        <f t="shared" si="11"/>
        <v>🔴 Lejos (&gt;5 km)</v>
      </c>
      <c r="AG143" s="2"/>
      <c r="AH143" s="2"/>
      <c r="AI143" s="51">
        <v>-11.997563</v>
      </c>
      <c r="AJ143" s="51">
        <v>-76.900062000000005</v>
      </c>
      <c r="AK143" s="2" t="str">
        <f>IFERROR(VLOOKUP(H143,tdcargo[],2,FALSE),"DESCONOCIDO")</f>
        <v>OPERARIO</v>
      </c>
    </row>
    <row r="144" spans="1:37" x14ac:dyDescent="0.35">
      <c r="A144" s="2" t="s">
        <v>3864</v>
      </c>
      <c r="B144" s="2" t="s">
        <v>3865</v>
      </c>
      <c r="C144" s="2" t="s">
        <v>452</v>
      </c>
      <c r="D144" s="2" t="s">
        <v>3866</v>
      </c>
      <c r="E144" s="2">
        <v>25</v>
      </c>
      <c r="F144" s="2" t="s">
        <v>3255</v>
      </c>
      <c r="G144" s="2">
        <v>20508065</v>
      </c>
      <c r="H144" s="2" t="s">
        <v>1971</v>
      </c>
      <c r="I144" s="3">
        <v>45996</v>
      </c>
      <c r="J144" s="2" t="s">
        <v>31</v>
      </c>
      <c r="K144" s="3" t="s">
        <v>1968</v>
      </c>
      <c r="L144" s="2" t="s">
        <v>3299</v>
      </c>
      <c r="M144" s="2" t="s">
        <v>3300</v>
      </c>
      <c r="N144" s="2" t="s">
        <v>36</v>
      </c>
      <c r="O144" s="2" t="s">
        <v>3867</v>
      </c>
      <c r="P144" s="2" t="s">
        <v>36</v>
      </c>
      <c r="Q144" s="2" t="s">
        <v>3867</v>
      </c>
      <c r="R144" s="2" t="s">
        <v>3274</v>
      </c>
      <c r="S144" s="2" t="s">
        <v>37</v>
      </c>
      <c r="T144" s="2" t="s">
        <v>37</v>
      </c>
      <c r="U144" s="2" t="s">
        <v>76</v>
      </c>
      <c r="V144" s="3">
        <v>45996</v>
      </c>
      <c r="W144" s="2" t="s">
        <v>135</v>
      </c>
      <c r="X144" s="2" t="str">
        <f t="shared" si="8"/>
        <v>Flor De Magnolias Flor De Magnolias, Lurigancho, Lima, Lima, Perú</v>
      </c>
      <c r="Y144" s="22">
        <v>-12.017103799999999</v>
      </c>
      <c r="Z144" s="22">
        <v>-76.961456900000002</v>
      </c>
      <c r="AA144" s="33">
        <f t="shared" si="9"/>
        <v>7.02</v>
      </c>
      <c r="AB144" s="2" t="str">
        <f t="shared" si="10"/>
        <v>🟡 Cerca (5-10 km)</v>
      </c>
      <c r="AC144" s="2" t="str" cm="1">
        <f t="array" ref="AC144">INDEX(PARADEROS_VALIDOS!$C$2:$C$68,MATCH(MIN(6371*ACOS(COS(RADIANS(Y144))*COS(RADIANS(PARADEROS_VALIDOS!$E$2:$E$68))*COS(RADIANS(PARADEROS_VALIDOS!$F$2:$F$68)-RADIANS(Z144))+SIN(RADIANS(Y144))*SIN(RADIANS(PARADEROS_VALIDOS!$E$2:$E$68)))),6371*ACOS(COS(RADIANS(Y144))*COS(RADIANS(PARADEROS_VALIDOS!$E$2:$E$68))*COS(RADIANS(PARADEROS_VALIDOS!$F$2:$F$68)-RADIANS(Z144))+SIN(RADIANS(Y144))*SIN(RADIANS(PARADEROS_VALIDOS!$E$2:$E$68))),0))</f>
        <v>Paradero Bayóvar</v>
      </c>
      <c r="AD144" s="2" t="str">
        <f>IFERROR(INDEX(PARADEROS_VALIDOS!$A$2:$A$68,MATCH(AC144,PARADEROS_VALIDOS!$C$2:$C$68,0)),"")</f>
        <v>RUTA 6A</v>
      </c>
      <c r="AE144" s="33" cm="1">
        <f t="array" ref="AE144">ROUND(MIN(6371*ACOS(COS(RADIANS(Y144))*COS(RADIANS(PARADEROS_VALIDOS!$E$2:$E$68))*COS(RADIANS(PARADEROS_VALIDOS!$F$2:$F$68)-RADIANS(Z144))+SIN(RADIANS(Y144))*SIN(RADIANS(PARADEROS_VALIDOS!$E$2:$E$68)))),2)</f>
        <v>1.45</v>
      </c>
      <c r="AF144" s="2" t="str">
        <f t="shared" si="11"/>
        <v>🟡 Cerca (1-3 km)</v>
      </c>
      <c r="AG144" s="2"/>
      <c r="AH144" s="2"/>
      <c r="AI144" s="51">
        <v>-11.997563</v>
      </c>
      <c r="AJ144" s="51">
        <v>-76.900062000000005</v>
      </c>
      <c r="AK144" s="2" t="str">
        <f>IFERROR(VLOOKUP(H144,tdcargo[],2,FALSE),"DESCONOCIDO")</f>
        <v>OPERARIO</v>
      </c>
    </row>
    <row r="145" spans="1:37" x14ac:dyDescent="0.35">
      <c r="A145" s="2" t="s">
        <v>3868</v>
      </c>
      <c r="B145" s="2" t="s">
        <v>3869</v>
      </c>
      <c r="C145" s="2" t="s">
        <v>363</v>
      </c>
      <c r="D145" s="2" t="s">
        <v>781</v>
      </c>
      <c r="E145" s="2">
        <v>27</v>
      </c>
      <c r="F145" s="2" t="s">
        <v>3255</v>
      </c>
      <c r="G145" s="2">
        <v>20507975</v>
      </c>
      <c r="H145" s="2" t="s">
        <v>1971</v>
      </c>
      <c r="I145" s="3">
        <v>44347</v>
      </c>
      <c r="J145" s="2" t="s">
        <v>31</v>
      </c>
      <c r="K145" s="3" t="s">
        <v>1968</v>
      </c>
      <c r="L145" s="2" t="s">
        <v>3717</v>
      </c>
      <c r="M145" s="2" t="s">
        <v>1968</v>
      </c>
      <c r="N145" s="2" t="s">
        <v>34</v>
      </c>
      <c r="O145" s="2" t="s">
        <v>3870</v>
      </c>
      <c r="P145" s="2" t="s">
        <v>55</v>
      </c>
      <c r="Q145" s="2" t="s">
        <v>46</v>
      </c>
      <c r="R145" s="2" t="s">
        <v>3509</v>
      </c>
      <c r="S145" s="2" t="s">
        <v>37</v>
      </c>
      <c r="T145" s="2" t="s">
        <v>37</v>
      </c>
      <c r="U145" s="2" t="s">
        <v>367</v>
      </c>
      <c r="V145" s="3">
        <v>44347</v>
      </c>
      <c r="W145" s="2" t="s">
        <v>48</v>
      </c>
      <c r="X145" s="2" t="str">
        <f t="shared" si="8"/>
        <v>Avenida Bolognesi Coop. Universal, Coo. Cooperativa, Santa Anita, Lima, Lima, Perú</v>
      </c>
      <c r="Y145" s="22">
        <v>-12.0508791</v>
      </c>
      <c r="Z145" s="22">
        <v>-76.971610900000002</v>
      </c>
      <c r="AA145" s="33">
        <f t="shared" si="9"/>
        <v>9.7799999999999994</v>
      </c>
      <c r="AB145" s="2" t="str">
        <f t="shared" si="10"/>
        <v>🟡 Cerca (5-10 km)</v>
      </c>
      <c r="AC145" s="2" t="str" cm="1">
        <f t="array" ref="AC145">INDEX(PARADEROS_VALIDOS!$C$2:$C$68,MATCH(MIN(6371*ACOS(COS(RADIANS(Y145))*COS(RADIANS(PARADEROS_VALIDOS!$E$2:$E$68))*COS(RADIANS(PARADEROS_VALIDOS!$F$2:$F$68)-RADIANS(Z145))+SIN(RADIANS(Y145))*SIN(RADIANS(PARADEROS_VALIDOS!$E$2:$E$68)))),6371*ACOS(COS(RADIANS(Y145))*COS(RADIANS(PARADEROS_VALIDOS!$E$2:$E$68))*COS(RADIANS(PARADEROS_VALIDOS!$F$2:$F$68)-RADIANS(Z145))+SIN(RADIANS(Y145))*SIN(RADIANS(PARADEROS_VALIDOS!$E$2:$E$68))),0))</f>
        <v>Puente Santa Anita</v>
      </c>
      <c r="AD145" s="2" t="str">
        <f>IFERROR(INDEX(PARADEROS_VALIDOS!$A$2:$A$68,MATCH(AC145,PARADEROS_VALIDOS!$C$2:$C$68,0)),"")</f>
        <v>RUTA 7</v>
      </c>
      <c r="AE145" s="33" cm="1">
        <f t="array" ref="AE145">ROUND(MIN(6371*ACOS(COS(RADIANS(Y145))*COS(RADIANS(PARADEROS_VALIDOS!$E$2:$E$68))*COS(RADIANS(PARADEROS_VALIDOS!$F$2:$F$68)-RADIANS(Z145))+SIN(RADIANS(Y145))*SIN(RADIANS(PARADEROS_VALIDOS!$E$2:$E$68)))),2)</f>
        <v>0.8</v>
      </c>
      <c r="AF145" s="2" t="str">
        <f t="shared" si="11"/>
        <v>🟢 Muy Cerca (0-1 km)</v>
      </c>
      <c r="AG145" s="2"/>
      <c r="AH145" s="2"/>
      <c r="AI145" s="51">
        <v>-11.997563</v>
      </c>
      <c r="AJ145" s="51">
        <v>-76.900062000000005</v>
      </c>
      <c r="AK145" s="2" t="str">
        <f>IFERROR(VLOOKUP(H145,tdcargo[],2,FALSE),"DESCONOCIDO")</f>
        <v>OPERARIO</v>
      </c>
    </row>
    <row r="146" spans="1:37" x14ac:dyDescent="0.35">
      <c r="A146" s="2" t="s">
        <v>3871</v>
      </c>
      <c r="B146" s="2" t="s">
        <v>3872</v>
      </c>
      <c r="C146" s="2" t="s">
        <v>70</v>
      </c>
      <c r="D146" s="2" t="s">
        <v>3873</v>
      </c>
      <c r="E146" s="2">
        <v>26</v>
      </c>
      <c r="F146" s="2" t="s">
        <v>3255</v>
      </c>
      <c r="G146" s="2">
        <v>20508042</v>
      </c>
      <c r="H146" s="2" t="s">
        <v>1971</v>
      </c>
      <c r="I146" s="3">
        <v>46083</v>
      </c>
      <c r="J146" s="2" t="s">
        <v>31</v>
      </c>
      <c r="K146" s="3" t="s">
        <v>1968</v>
      </c>
      <c r="L146" s="2" t="s">
        <v>3278</v>
      </c>
      <c r="M146" s="2" t="s">
        <v>3279</v>
      </c>
      <c r="N146" s="2" t="s">
        <v>34</v>
      </c>
      <c r="O146" s="2" t="s">
        <v>3874</v>
      </c>
      <c r="P146" s="2" t="s">
        <v>36</v>
      </c>
      <c r="Q146" s="2" t="s">
        <v>1996</v>
      </c>
      <c r="R146" s="2" t="s">
        <v>3291</v>
      </c>
      <c r="S146" s="2" t="s">
        <v>37</v>
      </c>
      <c r="T146" s="2" t="s">
        <v>37</v>
      </c>
      <c r="U146" s="2" t="s">
        <v>57</v>
      </c>
      <c r="V146" s="3">
        <v>46083</v>
      </c>
      <c r="W146" s="2" t="s">
        <v>135</v>
      </c>
      <c r="X146" s="2" t="str">
        <f t="shared" si="8"/>
        <v>Avenida Ceramicos Kar 2, Ate, Lima, Lima, Perú</v>
      </c>
      <c r="Y146" s="22">
        <v>-12.0276248</v>
      </c>
      <c r="Z146" s="22">
        <v>-76.932526300000006</v>
      </c>
      <c r="AA146" s="33">
        <f t="shared" si="9"/>
        <v>4.8600000000000003</v>
      </c>
      <c r="AB146" s="2" t="str">
        <f t="shared" si="10"/>
        <v>🟢 Muy Cerca (0-5 km)</v>
      </c>
      <c r="AC146" s="2" t="str" cm="1">
        <f t="array" ref="AC146">INDEX(PARADEROS_VALIDOS!$C$2:$C$68,MATCH(MIN(6371*ACOS(COS(RADIANS(Y146))*COS(RADIANS(PARADEROS_VALIDOS!$E$2:$E$68))*COS(RADIANS(PARADEROS_VALIDOS!$F$2:$F$68)-RADIANS(Z146))+SIN(RADIANS(Y146))*SIN(RADIANS(PARADEROS_VALIDOS!$E$2:$E$68)))),6371*ACOS(COS(RADIANS(Y146))*COS(RADIANS(PARADEROS_VALIDOS!$E$2:$E$68))*COS(RADIANS(PARADEROS_VALIDOS!$F$2:$F$68)-RADIANS(Z146))+SIN(RADIANS(Y146))*SIN(RADIANS(PARADEROS_VALIDOS!$E$2:$E$68))),0))</f>
        <v>Panadería Marcela (cruce de la carretera central, con Av. Jose Carlos Mariátegui)</v>
      </c>
      <c r="AD146" s="2" t="str">
        <f>IFERROR(INDEX(PARADEROS_VALIDOS!$A$2:$A$68,MATCH(AC146,PARADEROS_VALIDOS!$C$2:$C$68,0)),"")</f>
        <v>RUTA 4B</v>
      </c>
      <c r="AE146" s="33" cm="1">
        <f t="array" ref="AE146">ROUND(MIN(6371*ACOS(COS(RADIANS(Y146))*COS(RADIANS(PARADEROS_VALIDOS!$E$2:$E$68))*COS(RADIANS(PARADEROS_VALIDOS!$F$2:$F$68)-RADIANS(Z146))+SIN(RADIANS(Y146))*SIN(RADIANS(PARADEROS_VALIDOS!$E$2:$E$68)))),2)</f>
        <v>1.3</v>
      </c>
      <c r="AF146" s="2" t="str">
        <f t="shared" si="11"/>
        <v>🟡 Cerca (1-3 km)</v>
      </c>
      <c r="AG146" s="2"/>
      <c r="AH146" s="2"/>
      <c r="AI146" s="51">
        <v>-11.997563</v>
      </c>
      <c r="AJ146" s="51">
        <v>-76.900062000000005</v>
      </c>
      <c r="AK146" s="2" t="str">
        <f>IFERROR(VLOOKUP(H146,tdcargo[],2,FALSE),"DESCONOCIDO")</f>
        <v>OPERARIO</v>
      </c>
    </row>
    <row r="147" spans="1:37" x14ac:dyDescent="0.35">
      <c r="A147" s="2" t="s">
        <v>3875</v>
      </c>
      <c r="B147" s="2" t="s">
        <v>3876</v>
      </c>
      <c r="C147" s="2" t="s">
        <v>1256</v>
      </c>
      <c r="D147" s="2" t="s">
        <v>138</v>
      </c>
      <c r="E147" s="2">
        <v>19</v>
      </c>
      <c r="F147" s="2" t="s">
        <v>3255</v>
      </c>
      <c r="G147" s="2">
        <v>20508067</v>
      </c>
      <c r="H147" s="2" t="s">
        <v>1971</v>
      </c>
      <c r="I147" s="3">
        <v>46037</v>
      </c>
      <c r="J147" s="2" t="s">
        <v>31</v>
      </c>
      <c r="K147" s="3" t="s">
        <v>1968</v>
      </c>
      <c r="L147" s="2" t="s">
        <v>3299</v>
      </c>
      <c r="M147" s="2" t="s">
        <v>3300</v>
      </c>
      <c r="N147" s="2" t="s">
        <v>960</v>
      </c>
      <c r="O147" s="2" t="s">
        <v>3877</v>
      </c>
      <c r="P147" s="2" t="s">
        <v>88</v>
      </c>
      <c r="Q147" s="2" t="s">
        <v>2593</v>
      </c>
      <c r="R147" s="2" t="s">
        <v>3274</v>
      </c>
      <c r="S147" s="2" t="s">
        <v>37</v>
      </c>
      <c r="T147" s="2" t="s">
        <v>37</v>
      </c>
      <c r="U147" s="2" t="s">
        <v>76</v>
      </c>
      <c r="V147" s="3">
        <v>46037</v>
      </c>
      <c r="W147" s="2" t="s">
        <v>135</v>
      </c>
      <c r="X147" s="2" t="str">
        <f t="shared" si="8"/>
        <v>Ovalo Avenida Del Estado, A.H. Asentamiento Humano LA CAMPIÑA, Lurigancho, Lima, Lima, Perú</v>
      </c>
      <c r="Y147" s="22">
        <v>-11.9789365</v>
      </c>
      <c r="Z147" s="22">
        <v>-76.9163894</v>
      </c>
      <c r="AA147" s="33">
        <f t="shared" si="9"/>
        <v>2.73</v>
      </c>
      <c r="AB147" s="2" t="str">
        <f t="shared" si="10"/>
        <v>🟢 Muy Cerca (0-5 km)</v>
      </c>
      <c r="AC147" s="2" t="str" cm="1">
        <f t="array" ref="AC147">INDEX(PARADEROS_VALIDOS!$C$2:$C$68,MATCH(MIN(6371*ACOS(COS(RADIANS(Y147))*COS(RADIANS(PARADEROS_VALIDOS!$E$2:$E$68))*COS(RADIANS(PARADEROS_VALIDOS!$F$2:$F$68)-RADIANS(Z147))+SIN(RADIANS(Y147))*SIN(RADIANS(PARADEROS_VALIDOS!$E$2:$E$68)))),6371*ACOS(COS(RADIANS(Y147))*COS(RADIANS(PARADEROS_VALIDOS!$E$2:$E$68))*COS(RADIANS(PARADEROS_VALIDOS!$F$2:$F$68)-RADIANS(Z147))+SIN(RADIANS(Y147))*SIN(RADIANS(PARADEROS_VALIDOS!$E$2:$E$68))),0))</f>
        <v>Paradero Arco San Antonio</v>
      </c>
      <c r="AD147" s="2" t="str">
        <f>IFERROR(INDEX(PARADEROS_VALIDOS!$A$2:$A$68,MATCH(AC147,PARADEROS_VALIDOS!$C$2:$C$68,0)),"")</f>
        <v>RUTA 2</v>
      </c>
      <c r="AE147" s="33" cm="1">
        <f t="array" ref="AE147">ROUND(MIN(6371*ACOS(COS(RADIANS(Y147))*COS(RADIANS(PARADEROS_VALIDOS!$E$2:$E$68))*COS(RADIANS(PARADEROS_VALIDOS!$F$2:$F$68)-RADIANS(Z147))+SIN(RADIANS(Y147))*SIN(RADIANS(PARADEROS_VALIDOS!$E$2:$E$68)))),2)</f>
        <v>2.17</v>
      </c>
      <c r="AF147" s="2" t="str">
        <f t="shared" si="11"/>
        <v>🟡 Cerca (1-3 km)</v>
      </c>
      <c r="AG147" s="2"/>
      <c r="AH147" s="2"/>
      <c r="AI147" s="51">
        <v>-11.997563</v>
      </c>
      <c r="AJ147" s="51">
        <v>-76.900062000000005</v>
      </c>
      <c r="AK147" s="2" t="str">
        <f>IFERROR(VLOOKUP(H147,tdcargo[],2,FALSE),"DESCONOCIDO")</f>
        <v>OPERARIO</v>
      </c>
    </row>
    <row r="148" spans="1:37" x14ac:dyDescent="0.35">
      <c r="A148" s="2" t="s">
        <v>3878</v>
      </c>
      <c r="B148" s="2" t="s">
        <v>3879</v>
      </c>
      <c r="C148" s="2" t="s">
        <v>3880</v>
      </c>
      <c r="D148" s="2" t="s">
        <v>3881</v>
      </c>
      <c r="E148" s="2">
        <v>23</v>
      </c>
      <c r="F148" s="2" t="s">
        <v>3255</v>
      </c>
      <c r="G148" s="2">
        <v>20508106</v>
      </c>
      <c r="H148" s="2" t="s">
        <v>1971</v>
      </c>
      <c r="I148" s="3">
        <v>45736</v>
      </c>
      <c r="J148" s="2" t="s">
        <v>31</v>
      </c>
      <c r="K148" s="3" t="s">
        <v>1968</v>
      </c>
      <c r="L148" s="2" t="s">
        <v>3271</v>
      </c>
      <c r="M148" s="2" t="s">
        <v>3272</v>
      </c>
      <c r="N148" s="2" t="s">
        <v>82</v>
      </c>
      <c r="O148" s="2" t="s">
        <v>3882</v>
      </c>
      <c r="P148" s="2" t="s">
        <v>36</v>
      </c>
      <c r="Q148" s="2" t="s">
        <v>2183</v>
      </c>
      <c r="R148" s="2" t="s">
        <v>3291</v>
      </c>
      <c r="S148" s="2" t="s">
        <v>37</v>
      </c>
      <c r="T148" s="2" t="s">
        <v>37</v>
      </c>
      <c r="U148" s="2" t="s">
        <v>57</v>
      </c>
      <c r="V148" s="3">
        <v>45736</v>
      </c>
      <c r="W148" s="2" t="s">
        <v>77</v>
      </c>
      <c r="X148" s="2" t="str">
        <f t="shared" si="8"/>
        <v>Calle Andres Avenido Cacedes Praderas Pariachi, Ate, Lima, Lima, Perú</v>
      </c>
      <c r="Y148" s="22">
        <v>-12.0239019</v>
      </c>
      <c r="Z148" s="22">
        <v>-76.919200200000006</v>
      </c>
      <c r="AA148" s="33">
        <f t="shared" si="9"/>
        <v>3.59</v>
      </c>
      <c r="AB148" s="2" t="str">
        <f t="shared" si="10"/>
        <v>🟢 Muy Cerca (0-5 km)</v>
      </c>
      <c r="AC148" s="2" t="str" cm="1">
        <f t="array" ref="AC148">INDEX(PARADEROS_VALIDOS!$C$2:$C$68,MATCH(MIN(6371*ACOS(COS(RADIANS(Y148))*COS(RADIANS(PARADEROS_VALIDOS!$E$2:$E$68))*COS(RADIANS(PARADEROS_VALIDOS!$F$2:$F$68)-RADIANS(Z148))+SIN(RADIANS(Y148))*SIN(RADIANS(PARADEROS_VALIDOS!$E$2:$E$68)))),6371*ACOS(COS(RADIANS(Y148))*COS(RADIANS(PARADEROS_VALIDOS!$E$2:$E$68))*COS(RADIANS(PARADEROS_VALIDOS!$F$2:$F$68)-RADIANS(Z148))+SIN(RADIANS(Y148))*SIN(RADIANS(PARADEROS_VALIDOS!$E$2:$E$68))),0))</f>
        <v>Panadería Marcela (cruce de la carretera central, con Av. Jose Carlos Mariátegui)</v>
      </c>
      <c r="AD148" s="2" t="str">
        <f>IFERROR(INDEX(PARADEROS_VALIDOS!$A$2:$A$68,MATCH(AC148,PARADEROS_VALIDOS!$C$2:$C$68,0)),"")</f>
        <v>RUTA 4B</v>
      </c>
      <c r="AE148" s="33" cm="1">
        <f t="array" ref="AE148">ROUND(MIN(6371*ACOS(COS(RADIANS(Y148))*COS(RADIANS(PARADEROS_VALIDOS!$E$2:$E$68))*COS(RADIANS(PARADEROS_VALIDOS!$F$2:$F$68)-RADIANS(Z148))+SIN(RADIANS(Y148))*SIN(RADIANS(PARADEROS_VALIDOS!$E$2:$E$68)))),2)</f>
        <v>0.34</v>
      </c>
      <c r="AF148" s="2" t="str">
        <f t="shared" si="11"/>
        <v>🟢 Muy Cerca (0-1 km)</v>
      </c>
      <c r="AG148" s="2"/>
      <c r="AH148" s="2"/>
      <c r="AI148" s="51">
        <v>-11.997563</v>
      </c>
      <c r="AJ148" s="51">
        <v>-76.900062000000005</v>
      </c>
      <c r="AK148" s="2" t="str">
        <f>IFERROR(VLOOKUP(H148,tdcargo[],2,FALSE),"DESCONOCIDO")</f>
        <v>OPERARIO</v>
      </c>
    </row>
    <row r="149" spans="1:37" x14ac:dyDescent="0.35">
      <c r="A149" s="2" t="s">
        <v>3883</v>
      </c>
      <c r="B149" s="2" t="s">
        <v>3884</v>
      </c>
      <c r="C149" s="2" t="s">
        <v>405</v>
      </c>
      <c r="D149" s="2" t="s">
        <v>1532</v>
      </c>
      <c r="E149" s="2">
        <v>21</v>
      </c>
      <c r="F149" s="2" t="s">
        <v>3255</v>
      </c>
      <c r="G149" s="2">
        <v>20508069</v>
      </c>
      <c r="H149" s="2" t="s">
        <v>1971</v>
      </c>
      <c r="I149" s="3">
        <v>46037</v>
      </c>
      <c r="J149" s="2" t="s">
        <v>31</v>
      </c>
      <c r="K149" s="3" t="s">
        <v>1968</v>
      </c>
      <c r="L149" s="2" t="s">
        <v>3299</v>
      </c>
      <c r="M149" s="2" t="s">
        <v>3300</v>
      </c>
      <c r="N149" s="2" t="s">
        <v>82</v>
      </c>
      <c r="O149" s="2" t="s">
        <v>196</v>
      </c>
      <c r="P149" s="2" t="s">
        <v>186</v>
      </c>
      <c r="Q149" s="2" t="s">
        <v>3885</v>
      </c>
      <c r="R149" s="2" t="s">
        <v>3274</v>
      </c>
      <c r="S149" s="2" t="s">
        <v>37</v>
      </c>
      <c r="T149" s="2" t="s">
        <v>37</v>
      </c>
      <c r="U149" s="2" t="s">
        <v>76</v>
      </c>
      <c r="V149" s="3">
        <v>46037</v>
      </c>
      <c r="W149" s="2" t="s">
        <v>135</v>
      </c>
      <c r="X149" s="2" t="str">
        <f t="shared" si="8"/>
        <v>Calle San Antonio, Urb. Urbanización SAN ANTONIO CARAPONG, Lurigancho, Lima, Lima, Perú</v>
      </c>
      <c r="Y149" s="22">
        <v>-12.00717</v>
      </c>
      <c r="Z149" s="22">
        <v>-76.885959099999994</v>
      </c>
      <c r="AA149" s="33">
        <f t="shared" si="9"/>
        <v>1.87</v>
      </c>
      <c r="AB149" s="2" t="str">
        <f t="shared" si="10"/>
        <v>🟢 Muy Cerca (0-5 km)</v>
      </c>
      <c r="AC149" s="2" t="str" cm="1">
        <f t="array" ref="AC149">INDEX(PARADEROS_VALIDOS!$C$2:$C$68,MATCH(MIN(6371*ACOS(COS(RADIANS(Y149))*COS(RADIANS(PARADEROS_VALIDOS!$E$2:$E$68))*COS(RADIANS(PARADEROS_VALIDOS!$F$2:$F$68)-RADIANS(Z149))+SIN(RADIANS(Y149))*SIN(RADIANS(PARADEROS_VALIDOS!$E$2:$E$68)))),6371*ACOS(COS(RADIANS(Y149))*COS(RADIANS(PARADEROS_VALIDOS!$E$2:$E$68))*COS(RADIANS(PARADEROS_VALIDOS!$F$2:$F$68)-RADIANS(Z149))+SIN(RADIANS(Y149))*SIN(RADIANS(PARADEROS_VALIDOS!$E$2:$E$68))),0))</f>
        <v>Paradero la Cruz</v>
      </c>
      <c r="AD149" s="2" t="str">
        <f>IFERROR(INDEX(PARADEROS_VALIDOS!$A$2:$A$68,MATCH(AC149,PARADEROS_VALIDOS!$C$2:$C$68,0)),"")</f>
        <v>RUTA 4B</v>
      </c>
      <c r="AE149" s="33" cm="1">
        <f t="array" ref="AE149">ROUND(MIN(6371*ACOS(COS(RADIANS(Y149))*COS(RADIANS(PARADEROS_VALIDOS!$E$2:$E$68))*COS(RADIANS(PARADEROS_VALIDOS!$F$2:$F$68)-RADIANS(Z149))+SIN(RADIANS(Y149))*SIN(RADIANS(PARADEROS_VALIDOS!$E$2:$E$68)))),2)</f>
        <v>0.85</v>
      </c>
      <c r="AF149" s="2" t="str">
        <f t="shared" si="11"/>
        <v>🟢 Muy Cerca (0-1 km)</v>
      </c>
      <c r="AG149" s="2"/>
      <c r="AH149" s="2"/>
      <c r="AI149" s="51">
        <v>-11.997563</v>
      </c>
      <c r="AJ149" s="51">
        <v>-76.900062000000005</v>
      </c>
      <c r="AK149" s="2" t="str">
        <f>IFERROR(VLOOKUP(H149,tdcargo[],2,FALSE),"DESCONOCIDO")</f>
        <v>OPERARIO</v>
      </c>
    </row>
    <row r="150" spans="1:37" x14ac:dyDescent="0.35">
      <c r="A150" s="2" t="s">
        <v>3886</v>
      </c>
      <c r="B150" s="2" t="s">
        <v>3887</v>
      </c>
      <c r="C150" s="2" t="s">
        <v>3888</v>
      </c>
      <c r="D150" s="2" t="s">
        <v>3889</v>
      </c>
      <c r="E150" s="2">
        <v>21</v>
      </c>
      <c r="F150" s="2" t="s">
        <v>3255</v>
      </c>
      <c r="G150" s="2">
        <v>20510980</v>
      </c>
      <c r="H150" s="2" t="s">
        <v>1971</v>
      </c>
      <c r="I150" s="3">
        <v>46034</v>
      </c>
      <c r="J150" s="2" t="s">
        <v>31</v>
      </c>
      <c r="K150" s="3" t="s">
        <v>1968</v>
      </c>
      <c r="L150" s="2" t="s">
        <v>3263</v>
      </c>
      <c r="M150" s="2" t="s">
        <v>3264</v>
      </c>
      <c r="N150" s="2" t="s">
        <v>36</v>
      </c>
      <c r="O150" s="2" t="s">
        <v>3890</v>
      </c>
      <c r="P150" s="2" t="s">
        <v>36</v>
      </c>
      <c r="Q150" s="2" t="s">
        <v>1968</v>
      </c>
      <c r="R150" s="2" t="s">
        <v>3274</v>
      </c>
      <c r="S150" s="2" t="s">
        <v>37</v>
      </c>
      <c r="T150" s="2" t="s">
        <v>37</v>
      </c>
      <c r="U150" s="2" t="s">
        <v>76</v>
      </c>
      <c r="V150" s="3">
        <v>46034</v>
      </c>
      <c r="W150" s="2" t="s">
        <v>135</v>
      </c>
      <c r="X150" s="2" t="str">
        <f t="shared" si="8"/>
        <v>Asociacion Sol De Jicamarca, Lurigancho, Lima, Lima, Perú</v>
      </c>
      <c r="Y150" s="22">
        <v>-11.9783613</v>
      </c>
      <c r="Z150" s="22">
        <v>-76.925780799999998</v>
      </c>
      <c r="AA150" s="33">
        <f t="shared" si="9"/>
        <v>3.52</v>
      </c>
      <c r="AB150" s="2" t="str">
        <f t="shared" si="10"/>
        <v>🟢 Muy Cerca (0-5 km)</v>
      </c>
      <c r="AC150" s="2" t="str" cm="1">
        <f t="array" ref="AC150">INDEX(PARADEROS_VALIDOS!$C$2:$C$68,MATCH(MIN(6371*ACOS(COS(RADIANS(Y150))*COS(RADIANS(PARADEROS_VALIDOS!$E$2:$E$68))*COS(RADIANS(PARADEROS_VALIDOS!$F$2:$F$68)-RADIANS(Z150))+SIN(RADIANS(Y150))*SIN(RADIANS(PARADEROS_VALIDOS!$E$2:$E$68)))),6371*ACOS(COS(RADIANS(Y150))*COS(RADIANS(PARADEROS_VALIDOS!$E$2:$E$68))*COS(RADIANS(PARADEROS_VALIDOS!$F$2:$F$68)-RADIANS(Z150))+SIN(RADIANS(Y150))*SIN(RADIANS(PARADEROS_VALIDOS!$E$2:$E$68))),0))</f>
        <v>Paradero Arco San Antonio</v>
      </c>
      <c r="AD150" s="2" t="str">
        <f>IFERROR(INDEX(PARADEROS_VALIDOS!$A$2:$A$68,MATCH(AC150,PARADEROS_VALIDOS!$C$2:$C$68,0)),"")</f>
        <v>RUTA 2</v>
      </c>
      <c r="AE150" s="33" cm="1">
        <f t="array" ref="AE150">ROUND(MIN(6371*ACOS(COS(RADIANS(Y150))*COS(RADIANS(PARADEROS_VALIDOS!$E$2:$E$68))*COS(RADIANS(PARADEROS_VALIDOS!$F$2:$F$68)-RADIANS(Z150))+SIN(RADIANS(Y150))*SIN(RADIANS(PARADEROS_VALIDOS!$E$2:$E$68)))),2)</f>
        <v>2.98</v>
      </c>
      <c r="AF150" s="2" t="str">
        <f t="shared" si="11"/>
        <v>🟡 Cerca (1-3 km)</v>
      </c>
      <c r="AG150" s="2"/>
      <c r="AH150" s="2"/>
      <c r="AI150" s="51">
        <v>-11.997563</v>
      </c>
      <c r="AJ150" s="51">
        <v>-76.900062000000005</v>
      </c>
      <c r="AK150" s="2" t="str">
        <f>IFERROR(VLOOKUP(H150,tdcargo[],2,FALSE),"DESCONOCIDO")</f>
        <v>OPERARIO</v>
      </c>
    </row>
    <row r="151" spans="1:37" x14ac:dyDescent="0.35">
      <c r="A151" s="2" t="s">
        <v>3891</v>
      </c>
      <c r="B151" s="2" t="s">
        <v>3892</v>
      </c>
      <c r="C151" s="2" t="s">
        <v>489</v>
      </c>
      <c r="D151" s="2" t="s">
        <v>3893</v>
      </c>
      <c r="E151" s="2">
        <v>24</v>
      </c>
      <c r="F151" s="2" t="s">
        <v>3255</v>
      </c>
      <c r="G151" s="2">
        <v>20508092</v>
      </c>
      <c r="H151" s="2" t="s">
        <v>1971</v>
      </c>
      <c r="I151" s="3">
        <v>46034</v>
      </c>
      <c r="J151" s="2" t="s">
        <v>31</v>
      </c>
      <c r="K151" s="3" t="s">
        <v>1968</v>
      </c>
      <c r="L151" s="2" t="s">
        <v>3263</v>
      </c>
      <c r="M151" s="2" t="s">
        <v>3264</v>
      </c>
      <c r="N151" s="2" t="s">
        <v>82</v>
      </c>
      <c r="O151" s="2" t="s">
        <v>3894</v>
      </c>
      <c r="P151" s="2" t="s">
        <v>36</v>
      </c>
      <c r="Q151" s="2" t="s">
        <v>1968</v>
      </c>
      <c r="R151" s="2" t="s">
        <v>3274</v>
      </c>
      <c r="S151" s="2" t="s">
        <v>37</v>
      </c>
      <c r="T151" s="2" t="s">
        <v>37</v>
      </c>
      <c r="U151" s="2" t="s">
        <v>76</v>
      </c>
      <c r="V151" s="3">
        <v>46034</v>
      </c>
      <c r="W151" s="2" t="s">
        <v>135</v>
      </c>
      <c r="X151" s="2" t="str">
        <f t="shared" si="8"/>
        <v>Calle Contreras Riveros, Lurigancho, Lima, Lima, Perú</v>
      </c>
      <c r="Y151" s="22">
        <v>-12.0315409</v>
      </c>
      <c r="Z151" s="22">
        <v>-76.998538100000005</v>
      </c>
      <c r="AA151" s="33">
        <f t="shared" si="9"/>
        <v>11.36</v>
      </c>
      <c r="AB151" s="2" t="str">
        <f t="shared" si="10"/>
        <v>🟠 Moderada (10-20 km)</v>
      </c>
      <c r="AC151" s="2" t="str" cm="1">
        <f t="array" ref="AC151">INDEX(PARADEROS_VALIDOS!$C$2:$C$68,MATCH(MIN(6371*ACOS(COS(RADIANS(Y151))*COS(RADIANS(PARADEROS_VALIDOS!$E$2:$E$68))*COS(RADIANS(PARADEROS_VALIDOS!$F$2:$F$68)-RADIANS(Z151))+SIN(RADIANS(Y151))*SIN(RADIANS(PARADEROS_VALIDOS!$E$2:$E$68)))),6371*ACOS(COS(RADIANS(Y151))*COS(RADIANS(PARADEROS_VALIDOS!$E$2:$E$68))*COS(RADIANS(PARADEROS_VALIDOS!$F$2:$F$68)-RADIANS(Z151))+SIN(RADIANS(Y151))*SIN(RADIANS(PARADEROS_VALIDOS!$E$2:$E$68))),0))</f>
        <v>Puente Nuevo (Av. Chinchaysuyo &amp; Av. Malecón Checa)</v>
      </c>
      <c r="AD151" s="2" t="str">
        <f>IFERROR(INDEX(PARADEROS_VALIDOS!$A$2:$A$68,MATCH(AC151,PARADEROS_VALIDOS!$C$2:$C$68,0)),"")</f>
        <v>RUTA 6C</v>
      </c>
      <c r="AE151" s="33" cm="1">
        <f t="array" ref="AE151">ROUND(MIN(6371*ACOS(COS(RADIANS(Y151))*COS(RADIANS(PARADEROS_VALIDOS!$E$2:$E$68))*COS(RADIANS(PARADEROS_VALIDOS!$F$2:$F$68)-RADIANS(Z151))+SIN(RADIANS(Y151))*SIN(RADIANS(PARADEROS_VALIDOS!$E$2:$E$68)))),2)</f>
        <v>0.62</v>
      </c>
      <c r="AF151" s="2" t="str">
        <f t="shared" si="11"/>
        <v>🟢 Muy Cerca (0-1 km)</v>
      </c>
      <c r="AG151" s="2"/>
      <c r="AH151" s="2"/>
      <c r="AI151" s="51">
        <v>-11.997563</v>
      </c>
      <c r="AJ151" s="51">
        <v>-76.900062000000005</v>
      </c>
      <c r="AK151" s="2" t="str">
        <f>IFERROR(VLOOKUP(H151,tdcargo[],2,FALSE),"DESCONOCIDO")</f>
        <v>OPERARIO</v>
      </c>
    </row>
    <row r="152" spans="1:37" x14ac:dyDescent="0.35">
      <c r="A152" s="2" t="s">
        <v>3895</v>
      </c>
      <c r="B152" s="2" t="s">
        <v>3896</v>
      </c>
      <c r="C152" s="2" t="s">
        <v>489</v>
      </c>
      <c r="D152" s="2" t="s">
        <v>1316</v>
      </c>
      <c r="E152" s="2">
        <v>21</v>
      </c>
      <c r="F152" s="2" t="s">
        <v>3255</v>
      </c>
      <c r="G152" s="2">
        <v>20508139</v>
      </c>
      <c r="H152" s="2" t="s">
        <v>1971</v>
      </c>
      <c r="I152" s="3">
        <v>46097</v>
      </c>
      <c r="J152" s="2" t="s">
        <v>31</v>
      </c>
      <c r="K152" s="3" t="s">
        <v>1968</v>
      </c>
      <c r="L152" s="2" t="s">
        <v>3732</v>
      </c>
      <c r="M152" s="2" t="s">
        <v>3292</v>
      </c>
      <c r="N152" s="2" t="s">
        <v>34</v>
      </c>
      <c r="O152" s="2" t="s">
        <v>412</v>
      </c>
      <c r="P152" s="2" t="s">
        <v>36</v>
      </c>
      <c r="Q152" s="2" t="s">
        <v>3897</v>
      </c>
      <c r="R152" s="2" t="s">
        <v>3274</v>
      </c>
      <c r="S152" s="2" t="s">
        <v>37</v>
      </c>
      <c r="T152" s="2" t="s">
        <v>37</v>
      </c>
      <c r="U152" s="2" t="s">
        <v>76</v>
      </c>
      <c r="V152" s="3">
        <v>46097</v>
      </c>
      <c r="W152" s="2" t="s">
        <v>135</v>
      </c>
      <c r="X152" s="2" t="str">
        <f t="shared" si="8"/>
        <v>Avenida Circunvalacion LA CAPITANA LURIGANC, Lurigancho, Lima, Lima, Perú</v>
      </c>
      <c r="Y152" s="22">
        <v>-12.002741200000001</v>
      </c>
      <c r="Z152" s="22">
        <v>-76.910712700000005</v>
      </c>
      <c r="AA152" s="33">
        <f t="shared" si="9"/>
        <v>1.29</v>
      </c>
      <c r="AB152" s="2" t="str">
        <f t="shared" si="10"/>
        <v>🟢 Muy Cerca (0-5 km)</v>
      </c>
      <c r="AC152" s="2" t="str" cm="1">
        <f t="array" ref="AC152">INDEX(PARADEROS_VALIDOS!$C$2:$C$68,MATCH(MIN(6371*ACOS(COS(RADIANS(Y152))*COS(RADIANS(PARADEROS_VALIDOS!$E$2:$E$68))*COS(RADIANS(PARADEROS_VALIDOS!$F$2:$F$68)-RADIANS(Z152))+SIN(RADIANS(Y152))*SIN(RADIANS(PARADEROS_VALIDOS!$E$2:$E$68)))),6371*ACOS(COS(RADIANS(Y152))*COS(RADIANS(PARADEROS_VALIDOS!$E$2:$E$68))*COS(RADIANS(PARADEROS_VALIDOS!$F$2:$F$68)-RADIANS(Z152))+SIN(RADIANS(Y152))*SIN(RADIANS(PARADEROS_VALIDOS!$E$2:$E$68))),0))</f>
        <v>Tottus Huachipa</v>
      </c>
      <c r="AD152" s="2" t="str">
        <f>IFERROR(INDEX(PARADEROS_VALIDOS!$A$2:$A$68,MATCH(AC152,PARADEROS_VALIDOS!$C$2:$C$68,0)),"")</f>
        <v>RUTA 1</v>
      </c>
      <c r="AE152" s="33" cm="1">
        <f t="array" ref="AE152">ROUND(MIN(6371*ACOS(COS(RADIANS(Y152))*COS(RADIANS(PARADEROS_VALIDOS!$E$2:$E$68))*COS(RADIANS(PARADEROS_VALIDOS!$F$2:$F$68)-RADIANS(Z152))+SIN(RADIANS(Y152))*SIN(RADIANS(PARADEROS_VALIDOS!$E$2:$E$68)))),2)</f>
        <v>1.1499999999999999</v>
      </c>
      <c r="AF152" s="2" t="str">
        <f t="shared" si="11"/>
        <v>🟡 Cerca (1-3 km)</v>
      </c>
      <c r="AG152" s="2"/>
      <c r="AH152" s="2"/>
      <c r="AI152" s="51">
        <v>-11.997563</v>
      </c>
      <c r="AJ152" s="51">
        <v>-76.900062000000005</v>
      </c>
      <c r="AK152" s="2" t="str">
        <f>IFERROR(VLOOKUP(H152,tdcargo[],2,FALSE),"DESCONOCIDO")</f>
        <v>OPERARIO</v>
      </c>
    </row>
    <row r="153" spans="1:37" x14ac:dyDescent="0.35">
      <c r="A153" s="2" t="s">
        <v>3898</v>
      </c>
      <c r="B153" s="2" t="s">
        <v>779</v>
      </c>
      <c r="C153" s="2" t="s">
        <v>363</v>
      </c>
      <c r="D153" s="2" t="s">
        <v>1732</v>
      </c>
      <c r="E153" s="2">
        <v>46</v>
      </c>
      <c r="F153" s="2" t="s">
        <v>3255</v>
      </c>
      <c r="G153" s="2">
        <v>20508143</v>
      </c>
      <c r="H153" s="2" t="s">
        <v>1971</v>
      </c>
      <c r="I153" s="3">
        <v>45071</v>
      </c>
      <c r="J153" s="2" t="s">
        <v>31</v>
      </c>
      <c r="K153" s="3" t="s">
        <v>1968</v>
      </c>
      <c r="L153" s="2" t="s">
        <v>3732</v>
      </c>
      <c r="M153" s="2" t="s">
        <v>3292</v>
      </c>
      <c r="N153" s="2" t="s">
        <v>34</v>
      </c>
      <c r="O153" s="2" t="s">
        <v>2487</v>
      </c>
      <c r="P153" s="2" t="s">
        <v>186</v>
      </c>
      <c r="Q153" s="2" t="s">
        <v>3074</v>
      </c>
      <c r="R153" s="2" t="s">
        <v>3291</v>
      </c>
      <c r="S153" s="2" t="s">
        <v>37</v>
      </c>
      <c r="T153" s="2" t="s">
        <v>37</v>
      </c>
      <c r="U153" s="2" t="s">
        <v>57</v>
      </c>
      <c r="V153" s="3">
        <v>45071</v>
      </c>
      <c r="W153" s="2" t="s">
        <v>48</v>
      </c>
      <c r="X153" s="2" t="str">
        <f t="shared" si="8"/>
        <v>Avenida Progreso, Urb. Urbanización San Gregorio, Ate, Lima, Lima, Perú</v>
      </c>
      <c r="Y153" s="22">
        <v>-12.026429500000001</v>
      </c>
      <c r="Z153" s="22">
        <v>-76.904022900000001</v>
      </c>
      <c r="AA153" s="33">
        <f t="shared" si="9"/>
        <v>3.24</v>
      </c>
      <c r="AB153" s="2" t="str">
        <f t="shared" si="10"/>
        <v>🟢 Muy Cerca (0-5 km)</v>
      </c>
      <c r="AC153" s="2" t="str" cm="1">
        <f t="array" ref="AC153">INDEX(PARADEROS_VALIDOS!$C$2:$C$68,MATCH(MIN(6371*ACOS(COS(RADIANS(Y153))*COS(RADIANS(PARADEROS_VALIDOS!$E$2:$E$68))*COS(RADIANS(PARADEROS_VALIDOS!$F$2:$F$68)-RADIANS(Z153))+SIN(RADIANS(Y153))*SIN(RADIANS(PARADEROS_VALIDOS!$E$2:$E$68)))),6371*ACOS(COS(RADIANS(Y153))*COS(RADIANS(PARADEROS_VALIDOS!$E$2:$E$68))*COS(RADIANS(PARADEROS_VALIDOS!$F$2:$F$68)-RADIANS(Z153))+SIN(RADIANS(Y153))*SIN(RADIANS(PARADEROS_VALIDOS!$E$2:$E$68))),0))</f>
        <v>Paradero Esperanza</v>
      </c>
      <c r="AD153" s="2" t="str">
        <f>IFERROR(INDEX(PARADEROS_VALIDOS!$A$2:$A$68,MATCH(AC153,PARADEROS_VALIDOS!$C$2:$C$68,0)),"")</f>
        <v>RUTA 4B</v>
      </c>
      <c r="AE153" s="33" cm="1">
        <f t="array" ref="AE153">ROUND(MIN(6371*ACOS(COS(RADIANS(Y153))*COS(RADIANS(PARADEROS_VALIDOS!$E$2:$E$68))*COS(RADIANS(PARADEROS_VALIDOS!$F$2:$F$68)-RADIANS(Z153))+SIN(RADIANS(Y153))*SIN(RADIANS(PARADEROS_VALIDOS!$E$2:$E$68)))),2)</f>
        <v>0.6</v>
      </c>
      <c r="AF153" s="2" t="str">
        <f t="shared" si="11"/>
        <v>🟢 Muy Cerca (0-1 km)</v>
      </c>
      <c r="AG153" s="2"/>
      <c r="AH153" s="2"/>
      <c r="AI153" s="51">
        <v>-11.997563</v>
      </c>
      <c r="AJ153" s="51">
        <v>-76.900062000000005</v>
      </c>
      <c r="AK153" s="2" t="str">
        <f>IFERROR(VLOOKUP(H153,tdcargo[],2,FALSE),"DESCONOCIDO")</f>
        <v>OPERARIO</v>
      </c>
    </row>
    <row r="154" spans="1:37" x14ac:dyDescent="0.35">
      <c r="A154" s="2" t="s">
        <v>3899</v>
      </c>
      <c r="B154" s="2" t="s">
        <v>3900</v>
      </c>
      <c r="C154" s="2" t="s">
        <v>435</v>
      </c>
      <c r="D154" s="2" t="s">
        <v>199</v>
      </c>
      <c r="E154" s="2">
        <v>19</v>
      </c>
      <c r="F154" s="2" t="s">
        <v>3255</v>
      </c>
      <c r="G154" s="2">
        <v>20510971</v>
      </c>
      <c r="H154" s="2" t="s">
        <v>1971</v>
      </c>
      <c r="I154" s="3">
        <v>45989</v>
      </c>
      <c r="J154" s="2" t="s">
        <v>31</v>
      </c>
      <c r="K154" s="3" t="s">
        <v>1968</v>
      </c>
      <c r="L154" s="2" t="s">
        <v>3256</v>
      </c>
      <c r="M154" s="2" t="s">
        <v>3257</v>
      </c>
      <c r="N154" s="2" t="s">
        <v>36</v>
      </c>
      <c r="O154" s="2" t="s">
        <v>2558</v>
      </c>
      <c r="P154" s="2" t="s">
        <v>55</v>
      </c>
      <c r="Q154" s="2" t="s">
        <v>3901</v>
      </c>
      <c r="R154" s="2" t="s">
        <v>3282</v>
      </c>
      <c r="S154" s="2" t="s">
        <v>37</v>
      </c>
      <c r="T154" s="2" t="s">
        <v>37</v>
      </c>
      <c r="U154" s="2" t="s">
        <v>118</v>
      </c>
      <c r="V154" s="3">
        <v>45989</v>
      </c>
      <c r="W154" s="2" t="s">
        <v>135</v>
      </c>
      <c r="X154" s="2" t="str">
        <f t="shared" si="8"/>
        <v>Alfonso Cobian, Coo. Cooperativa ALFONSO COBIAN, Chaclacayo, Lima, Lima, Perú</v>
      </c>
      <c r="Y154" s="22">
        <v>-11.986582</v>
      </c>
      <c r="Z154" s="22">
        <v>-76.809022200000001</v>
      </c>
      <c r="AA154" s="33">
        <f t="shared" si="9"/>
        <v>9.98</v>
      </c>
      <c r="AB154" s="2" t="str">
        <f t="shared" si="10"/>
        <v>🟡 Cerca (5-10 km)</v>
      </c>
      <c r="AC154" s="2" t="str" cm="1">
        <f t="array" ref="AC154">INDEX(PARADEROS_VALIDOS!$C$2:$C$68,MATCH(MIN(6371*ACOS(COS(RADIANS(Y154))*COS(RADIANS(PARADEROS_VALIDOS!$E$2:$E$68))*COS(RADIANS(PARADEROS_VALIDOS!$F$2:$F$68)-RADIANS(Z154))+SIN(RADIANS(Y154))*SIN(RADIANS(PARADEROS_VALIDOS!$E$2:$E$68)))),6371*ACOS(COS(RADIANS(Y154))*COS(RADIANS(PARADEROS_VALIDOS!$E$2:$E$68))*COS(RADIANS(PARADEROS_VALIDOS!$F$2:$F$68)-RADIANS(Z154))+SIN(RADIANS(Y154))*SIN(RADIANS(PARADEROS_VALIDOS!$E$2:$E$68))),0))</f>
        <v>Entrada Ñaña</v>
      </c>
      <c r="AD154" s="2" t="str">
        <f>IFERROR(INDEX(PARADEROS_VALIDOS!$A$2:$A$68,MATCH(AC154,PARADEROS_VALIDOS!$C$2:$C$68,0)),"")</f>
        <v>RUTA 5A</v>
      </c>
      <c r="AE154" s="33" cm="1">
        <f t="array" ref="AE154">ROUND(MIN(6371*ACOS(COS(RADIANS(Y154))*COS(RADIANS(PARADEROS_VALIDOS!$E$2:$E$68))*COS(RADIANS(PARADEROS_VALIDOS!$F$2:$F$68)-RADIANS(Z154))+SIN(RADIANS(Y154))*SIN(RADIANS(PARADEROS_VALIDOS!$E$2:$E$68)))),2)</f>
        <v>1.06</v>
      </c>
      <c r="AF154" s="2" t="str">
        <f t="shared" si="11"/>
        <v>🟡 Cerca (1-3 km)</v>
      </c>
      <c r="AG154" s="2"/>
      <c r="AH154" s="2"/>
      <c r="AI154" s="51">
        <v>-11.997563</v>
      </c>
      <c r="AJ154" s="51">
        <v>-76.900062000000005</v>
      </c>
      <c r="AK154" s="2" t="str">
        <f>IFERROR(VLOOKUP(H154,tdcargo[],2,FALSE),"DESCONOCIDO")</f>
        <v>OPERARIO</v>
      </c>
    </row>
    <row r="155" spans="1:37" x14ac:dyDescent="0.35">
      <c r="A155" s="2" t="s">
        <v>3345</v>
      </c>
      <c r="B155" s="2" t="s">
        <v>3902</v>
      </c>
      <c r="C155" s="2" t="s">
        <v>715</v>
      </c>
      <c r="D155" s="2" t="s">
        <v>3605</v>
      </c>
      <c r="E155" s="2">
        <v>40</v>
      </c>
      <c r="F155" s="2" t="s">
        <v>3255</v>
      </c>
      <c r="G155" s="2">
        <v>20508109</v>
      </c>
      <c r="H155" s="2" t="s">
        <v>2130</v>
      </c>
      <c r="I155" s="3">
        <v>45435</v>
      </c>
      <c r="J155" s="2" t="s">
        <v>31</v>
      </c>
      <c r="K155" s="3" t="s">
        <v>1968</v>
      </c>
      <c r="L155" s="2" t="s">
        <v>3419</v>
      </c>
      <c r="M155" s="2" t="s">
        <v>3420</v>
      </c>
      <c r="N155" s="2" t="s">
        <v>34</v>
      </c>
      <c r="O155" s="2" t="s">
        <v>3903</v>
      </c>
      <c r="P155" s="2" t="s">
        <v>36</v>
      </c>
      <c r="Q155" s="2" t="s">
        <v>3903</v>
      </c>
      <c r="R155" s="2" t="s">
        <v>3260</v>
      </c>
      <c r="S155" s="2" t="s">
        <v>37</v>
      </c>
      <c r="T155" s="2" t="s">
        <v>37</v>
      </c>
      <c r="U155" s="2" t="s">
        <v>38</v>
      </c>
      <c r="V155" s="3">
        <v>45435</v>
      </c>
      <c r="W155" s="2" t="s">
        <v>48</v>
      </c>
      <c r="X155" s="2" t="str">
        <f t="shared" si="8"/>
        <v>Avenida Jorge Basadre Jorge Basadre, San Juan De Lurigancho, Lima, Lima, Perú</v>
      </c>
      <c r="Y155" s="22">
        <v>-11.989888199999999</v>
      </c>
      <c r="Z155" s="22">
        <v>-77.008421100000007</v>
      </c>
      <c r="AA155" s="33">
        <f t="shared" si="9"/>
        <v>11.82</v>
      </c>
      <c r="AB155" s="2" t="str">
        <f t="shared" si="10"/>
        <v>🟠 Moderada (10-20 km)</v>
      </c>
      <c r="AC155" s="2" t="str" cm="1">
        <f t="array" ref="AC155">INDEX(PARADEROS_VALIDOS!$C$2:$C$68,MATCH(MIN(6371*ACOS(COS(RADIANS(Y155))*COS(RADIANS(PARADEROS_VALIDOS!$E$2:$E$68))*COS(RADIANS(PARADEROS_VALIDOS!$F$2:$F$68)-RADIANS(Z155))+SIN(RADIANS(Y155))*SIN(RADIANS(PARADEROS_VALIDOS!$E$2:$E$68)))),6371*ACOS(COS(RADIANS(Y155))*COS(RADIANS(PARADEROS_VALIDOS!$E$2:$E$68))*COS(RADIANS(PARADEROS_VALIDOS!$F$2:$F$68)-RADIANS(Z155))+SIN(RADIANS(Y155))*SIN(RADIANS(PARADEROS_VALIDOS!$E$2:$E$68))),0))</f>
        <v>Paradero San Carlos</v>
      </c>
      <c r="AD155" s="2" t="str">
        <f>IFERROR(INDEX(PARADEROS_VALIDOS!$A$2:$A$68,MATCH(AC155,PARADEROS_VALIDOS!$C$2:$C$68,0)),"")</f>
        <v>RUTA 6B</v>
      </c>
      <c r="AE155" s="33" cm="1">
        <f t="array" ref="AE155">ROUND(MIN(6371*ACOS(COS(RADIANS(Y155))*COS(RADIANS(PARADEROS_VALIDOS!$E$2:$E$68))*COS(RADIANS(PARADEROS_VALIDOS!$F$2:$F$68)-RADIANS(Z155))+SIN(RADIANS(Y155))*SIN(RADIANS(PARADEROS_VALIDOS!$E$2:$E$68)))),2)</f>
        <v>0.26</v>
      </c>
      <c r="AF155" s="2" t="str">
        <f t="shared" si="11"/>
        <v>🟢 Muy Cerca (0-1 km)</v>
      </c>
      <c r="AG155" s="2"/>
      <c r="AH155" s="2"/>
      <c r="AI155" s="51">
        <v>-11.997563</v>
      </c>
      <c r="AJ155" s="51">
        <v>-76.900062000000005</v>
      </c>
      <c r="AK155" s="2" t="str">
        <f>IFERROR(VLOOKUP(H155,tdcargo[],2,FALSE),"DESCONOCIDO")</f>
        <v>STAFF</v>
      </c>
    </row>
    <row r="156" spans="1:37" x14ac:dyDescent="0.35">
      <c r="A156" s="2" t="s">
        <v>3904</v>
      </c>
      <c r="B156" s="2" t="s">
        <v>3905</v>
      </c>
      <c r="C156" s="2" t="s">
        <v>3906</v>
      </c>
      <c r="D156" s="2" t="s">
        <v>451</v>
      </c>
      <c r="E156" s="2">
        <v>23</v>
      </c>
      <c r="F156" s="2" t="s">
        <v>3255</v>
      </c>
      <c r="G156" s="2">
        <v>20510511</v>
      </c>
      <c r="H156" s="2" t="s">
        <v>1971</v>
      </c>
      <c r="I156" s="3">
        <v>46055</v>
      </c>
      <c r="J156" s="2" t="s">
        <v>31</v>
      </c>
      <c r="K156" s="3" t="s">
        <v>1968</v>
      </c>
      <c r="L156" s="2" t="s">
        <v>3299</v>
      </c>
      <c r="M156" s="2" t="s">
        <v>3300</v>
      </c>
      <c r="N156" s="2" t="s">
        <v>36</v>
      </c>
      <c r="O156" s="2" t="s">
        <v>3907</v>
      </c>
      <c r="P156" s="2" t="s">
        <v>186</v>
      </c>
      <c r="Q156" s="2" t="s">
        <v>3908</v>
      </c>
      <c r="R156" s="2" t="s">
        <v>3260</v>
      </c>
      <c r="S156" s="2" t="s">
        <v>37</v>
      </c>
      <c r="T156" s="2" t="s">
        <v>37</v>
      </c>
      <c r="U156" s="2" t="s">
        <v>38</v>
      </c>
      <c r="V156" s="3">
        <v>46055</v>
      </c>
      <c r="W156" s="2" t="s">
        <v>135</v>
      </c>
      <c r="X156" s="2" t="str">
        <f t="shared" si="8"/>
        <v>Jr Alfa Mz L11 Lt 32, Urb. Urbanización JIRON ALFA, San Juan De Lurigancho, Lima, Lima, Perú</v>
      </c>
      <c r="Y156" s="22">
        <v>-11.941295</v>
      </c>
      <c r="Z156" s="22">
        <v>-76.994254299999994</v>
      </c>
      <c r="AA156" s="33">
        <f t="shared" si="9"/>
        <v>12.01</v>
      </c>
      <c r="AB156" s="2" t="str">
        <f t="shared" si="10"/>
        <v>🟠 Moderada (10-20 km)</v>
      </c>
      <c r="AC156" s="2" t="str" cm="1">
        <f t="array" ref="AC156">INDEX(PARADEROS_VALIDOS!$C$2:$C$68,MATCH(MIN(6371*ACOS(COS(RADIANS(Y156))*COS(RADIANS(PARADEROS_VALIDOS!$E$2:$E$68))*COS(RADIANS(PARADEROS_VALIDOS!$F$2:$F$68)-RADIANS(Z156))+SIN(RADIANS(Y156))*SIN(RADIANS(PARADEROS_VALIDOS!$E$2:$E$68)))),6371*ACOS(COS(RADIANS(Y156))*COS(RADIANS(PARADEROS_VALIDOS!$E$2:$E$68))*COS(RADIANS(PARADEROS_VALIDOS!$F$2:$F$68)-RADIANS(Z156))+SIN(RADIANS(Y156))*SIN(RADIANS(PARADEROS_VALIDOS!$E$2:$E$68))),0))</f>
        <v>Paradero Acho</v>
      </c>
      <c r="AD156" s="2" t="str">
        <f>IFERROR(INDEX(PARADEROS_VALIDOS!$A$2:$A$68,MATCH(AC156,PARADEROS_VALIDOS!$C$2:$C$68,0)),"")</f>
        <v>RUTA 8</v>
      </c>
      <c r="AE156" s="33" cm="1">
        <f t="array" ref="AE156">ROUND(MIN(6371*ACOS(COS(RADIANS(Y156))*COS(RADIANS(PARADEROS_VALIDOS!$E$2:$E$68))*COS(RADIANS(PARADEROS_VALIDOS!$F$2:$F$68)-RADIANS(Z156))+SIN(RADIANS(Y156))*SIN(RADIANS(PARADEROS_VALIDOS!$E$2:$E$68)))),2)</f>
        <v>3.61</v>
      </c>
      <c r="AF156" s="2" t="str">
        <f t="shared" si="11"/>
        <v>🟠 Moderada (3-5 km)</v>
      </c>
      <c r="AG156" s="2"/>
      <c r="AH156" s="2"/>
      <c r="AI156" s="51">
        <v>-11.997563</v>
      </c>
      <c r="AJ156" s="51">
        <v>-76.900062000000005</v>
      </c>
      <c r="AK156" s="2" t="str">
        <f>IFERROR(VLOOKUP(H156,tdcargo[],2,FALSE),"DESCONOCIDO")</f>
        <v>OPERARIO</v>
      </c>
    </row>
    <row r="157" spans="1:37" x14ac:dyDescent="0.35">
      <c r="A157" s="2" t="s">
        <v>3909</v>
      </c>
      <c r="B157" s="2" t="s">
        <v>3910</v>
      </c>
      <c r="C157" s="2" t="s">
        <v>3911</v>
      </c>
      <c r="D157" s="2" t="s">
        <v>1316</v>
      </c>
      <c r="E157" s="2">
        <v>28</v>
      </c>
      <c r="F157" s="2" t="s">
        <v>3255</v>
      </c>
      <c r="G157" s="2">
        <v>20508094</v>
      </c>
      <c r="H157" s="2" t="s">
        <v>1971</v>
      </c>
      <c r="I157" s="3">
        <v>46055</v>
      </c>
      <c r="J157" s="2" t="s">
        <v>31</v>
      </c>
      <c r="K157" s="3" t="s">
        <v>1968</v>
      </c>
      <c r="L157" s="2" t="s">
        <v>3263</v>
      </c>
      <c r="M157" s="2" t="s">
        <v>3264</v>
      </c>
      <c r="N157" s="2" t="s">
        <v>82</v>
      </c>
      <c r="O157" s="2" t="s">
        <v>3912</v>
      </c>
      <c r="P157" s="2" t="s">
        <v>186</v>
      </c>
      <c r="Q157" s="2" t="s">
        <v>2019</v>
      </c>
      <c r="R157" s="2" t="s">
        <v>3291</v>
      </c>
      <c r="S157" s="2" t="s">
        <v>37</v>
      </c>
      <c r="T157" s="2" t="s">
        <v>37</v>
      </c>
      <c r="U157" s="2" t="s">
        <v>57</v>
      </c>
      <c r="V157" s="3">
        <v>46055</v>
      </c>
      <c r="W157" s="2" t="s">
        <v>135</v>
      </c>
      <c r="X157" s="2" t="str">
        <f t="shared" si="8"/>
        <v>Calle Ate - Huaycan, Urb. Urbanización E, Ate, Lima, Lima, Perú</v>
      </c>
      <c r="Y157" s="22">
        <v>-12.0201464</v>
      </c>
      <c r="Z157" s="22">
        <v>-76.8175454</v>
      </c>
      <c r="AA157" s="33">
        <f t="shared" si="9"/>
        <v>9.32</v>
      </c>
      <c r="AB157" s="2" t="str">
        <f t="shared" si="10"/>
        <v>🟡 Cerca (5-10 km)</v>
      </c>
      <c r="AC157" s="2" t="str" cm="1">
        <f t="array" ref="AC157">INDEX(PARADEROS_VALIDOS!$C$2:$C$68,MATCH(MIN(6371*ACOS(COS(RADIANS(Y157))*COS(RADIANS(PARADEROS_VALIDOS!$E$2:$E$68))*COS(RADIANS(PARADEROS_VALIDOS!$F$2:$F$68)-RADIANS(Z157))+SIN(RADIANS(Y157))*SIN(RADIANS(PARADEROS_VALIDOS!$E$2:$E$68)))),6371*ACOS(COS(RADIANS(Y157))*COS(RADIANS(PARADEROS_VALIDOS!$E$2:$E$68))*COS(RADIANS(PARADEROS_VALIDOS!$F$2:$F$68)-RADIANS(Z157))+SIN(RADIANS(Y157))*SIN(RADIANS(PARADEROS_VALIDOS!$E$2:$E$68))),0))</f>
        <v>Paradero Aurora</v>
      </c>
      <c r="AD157" s="2" t="str">
        <f>IFERROR(INDEX(PARADEROS_VALIDOS!$A$2:$A$68,MATCH(AC157,PARADEROS_VALIDOS!$C$2:$C$68,0)),"")</f>
        <v>RUTA 3</v>
      </c>
      <c r="AE157" s="33" cm="1">
        <f t="array" ref="AE157">ROUND(MIN(6371*ACOS(COS(RADIANS(Y157))*COS(RADIANS(PARADEROS_VALIDOS!$E$2:$E$68))*COS(RADIANS(PARADEROS_VALIDOS!$F$2:$F$68)-RADIANS(Z157))+SIN(RADIANS(Y157))*SIN(RADIANS(PARADEROS_VALIDOS!$E$2:$E$68)))),2)</f>
        <v>0.84</v>
      </c>
      <c r="AF157" s="2" t="str">
        <f t="shared" si="11"/>
        <v>🟢 Muy Cerca (0-1 km)</v>
      </c>
      <c r="AG157" s="2"/>
      <c r="AH157" s="2"/>
      <c r="AI157" s="51">
        <v>-11.997563</v>
      </c>
      <c r="AJ157" s="51">
        <v>-76.900062000000005</v>
      </c>
      <c r="AK157" s="2" t="str">
        <f>IFERROR(VLOOKUP(H157,tdcargo[],2,FALSE),"DESCONOCIDO")</f>
        <v>OPERARIO</v>
      </c>
    </row>
    <row r="158" spans="1:37" x14ac:dyDescent="0.35">
      <c r="A158" s="2" t="s">
        <v>3913</v>
      </c>
      <c r="B158" s="2" t="s">
        <v>3914</v>
      </c>
      <c r="C158" s="2" t="s">
        <v>714</v>
      </c>
      <c r="D158" s="2" t="s">
        <v>1143</v>
      </c>
      <c r="E158" s="2">
        <v>22</v>
      </c>
      <c r="F158" s="2" t="s">
        <v>3255</v>
      </c>
      <c r="G158" s="2">
        <v>20515807</v>
      </c>
      <c r="H158" s="2" t="s">
        <v>1971</v>
      </c>
      <c r="I158" s="3">
        <v>46062</v>
      </c>
      <c r="J158" s="2" t="s">
        <v>31</v>
      </c>
      <c r="K158" s="3" t="s">
        <v>1968</v>
      </c>
      <c r="L158" s="2" t="s">
        <v>3256</v>
      </c>
      <c r="M158" s="2" t="s">
        <v>3257</v>
      </c>
      <c r="N158" s="2" t="s">
        <v>36</v>
      </c>
      <c r="O158" s="2" t="s">
        <v>3915</v>
      </c>
      <c r="P158" s="2" t="s">
        <v>36</v>
      </c>
      <c r="Q158" s="2" t="s">
        <v>3916</v>
      </c>
      <c r="R158" s="2" t="s">
        <v>3291</v>
      </c>
      <c r="S158" s="2" t="s">
        <v>37</v>
      </c>
      <c r="T158" s="2" t="s">
        <v>37</v>
      </c>
      <c r="U158" s="2" t="s">
        <v>57</v>
      </c>
      <c r="V158" s="3">
        <v>46062</v>
      </c>
      <c r="W158" s="2" t="s">
        <v>135</v>
      </c>
      <c r="X158" s="2" t="str">
        <f t="shared" si="8"/>
        <v>San Francisco Paria SAN FRANCISCO DE PAR, Ate, Lima, Lima, Perú</v>
      </c>
      <c r="Y158" s="22">
        <v>-12.0651888</v>
      </c>
      <c r="Z158" s="22">
        <v>-76.970786899999993</v>
      </c>
      <c r="AA158" s="33">
        <f t="shared" si="9"/>
        <v>10.76</v>
      </c>
      <c r="AB158" s="2" t="str">
        <f t="shared" si="10"/>
        <v>🟠 Moderada (10-20 km)</v>
      </c>
      <c r="AC158" s="2" t="str" cm="1">
        <f t="array" ref="AC158">INDEX(PARADEROS_VALIDOS!$C$2:$C$68,MATCH(MIN(6371*ACOS(COS(RADIANS(Y158))*COS(RADIANS(PARADEROS_VALIDOS!$E$2:$E$68))*COS(RADIANS(PARADEROS_VALIDOS!$F$2:$F$68)-RADIANS(Z158))+SIN(RADIANS(Y158))*SIN(RADIANS(PARADEROS_VALIDOS!$E$2:$E$68)))),6371*ACOS(COS(RADIANS(Y158))*COS(RADIANS(PARADEROS_VALIDOS!$E$2:$E$68))*COS(RADIANS(PARADEROS_VALIDOS!$F$2:$F$68)-RADIANS(Z158))+SIN(RADIANS(Y158))*SIN(RADIANS(PARADEROS_VALIDOS!$E$2:$E$68))),0))</f>
        <v>Puente Santa Anita</v>
      </c>
      <c r="AD158" s="2" t="str">
        <f>IFERROR(INDEX(PARADEROS_VALIDOS!$A$2:$A$68,MATCH(AC158,PARADEROS_VALIDOS!$C$2:$C$68,0)),"")</f>
        <v>RUTA 7</v>
      </c>
      <c r="AE158" s="33" cm="1">
        <f t="array" ref="AE158">ROUND(MIN(6371*ACOS(COS(RADIANS(Y158))*COS(RADIANS(PARADEROS_VALIDOS!$E$2:$E$68))*COS(RADIANS(PARADEROS_VALIDOS!$F$2:$F$68)-RADIANS(Z158))+SIN(RADIANS(Y158))*SIN(RADIANS(PARADEROS_VALIDOS!$E$2:$E$68)))),2)</f>
        <v>0.89</v>
      </c>
      <c r="AF158" s="2" t="str">
        <f t="shared" si="11"/>
        <v>🟢 Muy Cerca (0-1 km)</v>
      </c>
      <c r="AG158" s="2"/>
      <c r="AH158" s="2"/>
      <c r="AI158" s="51">
        <v>-11.997563</v>
      </c>
      <c r="AJ158" s="51">
        <v>-76.900062000000005</v>
      </c>
      <c r="AK158" s="2" t="str">
        <f>IFERROR(VLOOKUP(H158,tdcargo[],2,FALSE),"DESCONOCIDO")</f>
        <v>OPERARIO</v>
      </c>
    </row>
    <row r="159" spans="1:37" x14ac:dyDescent="0.35">
      <c r="A159" s="2" t="s">
        <v>3917</v>
      </c>
      <c r="B159" s="2" t="s">
        <v>3918</v>
      </c>
      <c r="C159" s="2" t="s">
        <v>43</v>
      </c>
      <c r="D159" s="2" t="s">
        <v>3919</v>
      </c>
      <c r="E159" s="2">
        <v>35</v>
      </c>
      <c r="F159" s="2" t="s">
        <v>3255</v>
      </c>
      <c r="G159" s="2">
        <v>20510970</v>
      </c>
      <c r="H159" s="2" t="s">
        <v>1971</v>
      </c>
      <c r="I159" s="3">
        <v>46055</v>
      </c>
      <c r="J159" s="2" t="s">
        <v>31</v>
      </c>
      <c r="K159" s="3" t="s">
        <v>1968</v>
      </c>
      <c r="L159" s="2" t="s">
        <v>3256</v>
      </c>
      <c r="M159" s="2" t="s">
        <v>3257</v>
      </c>
      <c r="N159" s="2" t="s">
        <v>36</v>
      </c>
      <c r="O159" s="2" t="s">
        <v>3919</v>
      </c>
      <c r="P159" s="2" t="s">
        <v>36</v>
      </c>
      <c r="Q159" s="2" t="s">
        <v>3330</v>
      </c>
      <c r="R159" s="2" t="s">
        <v>3291</v>
      </c>
      <c r="S159" s="2" t="s">
        <v>37</v>
      </c>
      <c r="T159" s="2" t="s">
        <v>37</v>
      </c>
      <c r="U159" s="2" t="s">
        <v>57</v>
      </c>
      <c r="V159" s="3">
        <v>46055</v>
      </c>
      <c r="W159" s="2" t="s">
        <v>135</v>
      </c>
      <c r="X159" s="2" t="str">
        <f t="shared" si="8"/>
        <v>Pucuhuayla HIJOS DE APURIMAC, Ate, Lima, Lima, Perú</v>
      </c>
      <c r="Y159" s="22">
        <v>-12.024699999999999</v>
      </c>
      <c r="Z159" s="22">
        <v>-76.869200000000006</v>
      </c>
      <c r="AA159" s="33">
        <f t="shared" si="9"/>
        <v>4.51</v>
      </c>
      <c r="AB159" s="2" t="str">
        <f t="shared" si="10"/>
        <v>🟢 Muy Cerca (0-5 km)</v>
      </c>
      <c r="AC159" s="2" t="str" cm="1">
        <f t="array" ref="AC159">INDEX(PARADEROS_VALIDOS!$C$2:$C$68,MATCH(MIN(6371*ACOS(COS(RADIANS(Y159))*COS(RADIANS(PARADEROS_VALIDOS!$E$2:$E$68))*COS(RADIANS(PARADEROS_VALIDOS!$F$2:$F$68)-RADIANS(Z159))+SIN(RADIANS(Y159))*SIN(RADIANS(PARADEROS_VALIDOS!$E$2:$E$68)))),6371*ACOS(COS(RADIANS(Y159))*COS(RADIANS(PARADEROS_VALIDOS!$E$2:$E$68))*COS(RADIANS(PARADEROS_VALIDOS!$F$2:$F$68)-RADIANS(Z159))+SIN(RADIANS(Y159))*SIN(RADIANS(PARADEROS_VALIDOS!$E$2:$E$68))),0))</f>
        <v>Paradero la Cruz</v>
      </c>
      <c r="AD159" s="2" t="str">
        <f>IFERROR(INDEX(PARADEROS_VALIDOS!$A$2:$A$68,MATCH(AC159,PARADEROS_VALIDOS!$C$2:$C$68,0)),"")</f>
        <v>RUTA 4B</v>
      </c>
      <c r="AE159" s="33" cm="1">
        <f t="array" ref="AE159">ROUND(MIN(6371*ACOS(COS(RADIANS(Y159))*COS(RADIANS(PARADEROS_VALIDOS!$E$2:$E$68))*COS(RADIANS(PARADEROS_VALIDOS!$F$2:$F$68)-RADIANS(Z159))+SIN(RADIANS(Y159))*SIN(RADIANS(PARADEROS_VALIDOS!$E$2:$E$68)))),2)</f>
        <v>2.0499999999999998</v>
      </c>
      <c r="AF159" s="2" t="str">
        <f t="shared" si="11"/>
        <v>🟡 Cerca (1-3 km)</v>
      </c>
      <c r="AG159" s="2"/>
      <c r="AH159" s="2"/>
      <c r="AI159" s="51">
        <v>-11.997563</v>
      </c>
      <c r="AJ159" s="51">
        <v>-76.900062000000005</v>
      </c>
      <c r="AK159" s="2" t="str">
        <f>IFERROR(VLOOKUP(H159,tdcargo[],2,FALSE),"DESCONOCIDO")</f>
        <v>OPERARIO</v>
      </c>
    </row>
    <row r="160" spans="1:37" x14ac:dyDescent="0.35">
      <c r="A160" s="2" t="s">
        <v>3920</v>
      </c>
      <c r="B160" s="2" t="s">
        <v>3921</v>
      </c>
      <c r="C160" s="2" t="s">
        <v>3922</v>
      </c>
      <c r="D160" s="2" t="s">
        <v>3923</v>
      </c>
      <c r="E160" s="2">
        <v>19</v>
      </c>
      <c r="F160" s="2" t="s">
        <v>3255</v>
      </c>
      <c r="G160" s="2">
        <v>20507982</v>
      </c>
      <c r="H160" s="2" t="s">
        <v>1971</v>
      </c>
      <c r="I160" s="3">
        <v>46055</v>
      </c>
      <c r="J160" s="2" t="s">
        <v>31</v>
      </c>
      <c r="K160" s="3" t="s">
        <v>1968</v>
      </c>
      <c r="L160" s="2" t="s">
        <v>3256</v>
      </c>
      <c r="M160" s="2" t="s">
        <v>3257</v>
      </c>
      <c r="N160" s="2" t="s">
        <v>82</v>
      </c>
      <c r="O160" s="2" t="s">
        <v>837</v>
      </c>
      <c r="P160" s="2" t="s">
        <v>36</v>
      </c>
      <c r="Q160" s="2" t="s">
        <v>3924</v>
      </c>
      <c r="R160" s="2" t="s">
        <v>3925</v>
      </c>
      <c r="S160" s="2" t="s">
        <v>37</v>
      </c>
      <c r="T160" s="2" t="s">
        <v>195</v>
      </c>
      <c r="U160" s="2" t="s">
        <v>1623</v>
      </c>
      <c r="V160" s="3">
        <v>46055</v>
      </c>
      <c r="W160" s="2" t="s">
        <v>135</v>
      </c>
      <c r="X160" s="2" t="s">
        <v>4611</v>
      </c>
      <c r="Y160" s="22">
        <v>-11.997563</v>
      </c>
      <c r="Z160" s="22">
        <v>-76.900062000000005</v>
      </c>
      <c r="AA160" s="33">
        <f t="shared" si="9"/>
        <v>0</v>
      </c>
      <c r="AB160" s="2" t="str">
        <f t="shared" si="10"/>
        <v>🟢 Muy Cerca (0-5 km)</v>
      </c>
      <c r="AC160" s="2" t="str" cm="1">
        <f t="array" ref="AC160">INDEX(PARADEROS_VALIDOS!$C$2:$C$68,MATCH(MIN(6371*ACOS(COS(RADIANS(Y160))*COS(RADIANS(PARADEROS_VALIDOS!$E$2:$E$68))*COS(RADIANS(PARADEROS_VALIDOS!$F$2:$F$68)-RADIANS(Z160))+SIN(RADIANS(Y160))*SIN(RADIANS(PARADEROS_VALIDOS!$E$2:$E$68)))),6371*ACOS(COS(RADIANS(Y160))*COS(RADIANS(PARADEROS_VALIDOS!$E$2:$E$68))*COS(RADIANS(PARADEROS_VALIDOS!$F$2:$F$68)-RADIANS(Z160))+SIN(RADIANS(Y160))*SIN(RADIANS(PARADEROS_VALIDOS!$E$2:$E$68))),0))</f>
        <v>Tottus Huachipa</v>
      </c>
      <c r="AD160" s="2" t="str">
        <f>IFERROR(INDEX(PARADEROS_VALIDOS!$A$2:$A$68,MATCH(AC160,PARADEROS_VALIDOS!$C$2:$C$68,0)),"")</f>
        <v>RUTA 1</v>
      </c>
      <c r="AE160" s="33" cm="1">
        <f t="array" ref="AE160">ROUND(MIN(6371*ACOS(COS(RADIANS(Y160))*COS(RADIANS(PARADEROS_VALIDOS!$E$2:$E$68))*COS(RADIANS(PARADEROS_VALIDOS!$F$2:$F$68)-RADIANS(Z160))+SIN(RADIANS(Y160))*SIN(RADIANS(PARADEROS_VALIDOS!$E$2:$E$68)))),2)</f>
        <v>0.3</v>
      </c>
      <c r="AF160" s="2" t="str">
        <f t="shared" si="11"/>
        <v>🟢 Muy Cerca (0-1 km)</v>
      </c>
      <c r="AG160" s="2"/>
      <c r="AH160" s="2"/>
      <c r="AI160" s="51">
        <v>-11.997563</v>
      </c>
      <c r="AJ160" s="51">
        <v>-76.900062000000005</v>
      </c>
      <c r="AK160" s="2" t="str">
        <f>IFERROR(VLOOKUP(H160,tdcargo[],2,FALSE),"DESCONOCIDO")</f>
        <v>OPERARIO</v>
      </c>
    </row>
    <row r="161" spans="1:37" x14ac:dyDescent="0.35">
      <c r="A161" s="2" t="s">
        <v>3926</v>
      </c>
      <c r="B161" s="2" t="s">
        <v>3927</v>
      </c>
      <c r="C161" s="2" t="s">
        <v>451</v>
      </c>
      <c r="D161" s="2" t="s">
        <v>3928</v>
      </c>
      <c r="E161" s="2">
        <v>31</v>
      </c>
      <c r="F161" s="2" t="s">
        <v>3255</v>
      </c>
      <c r="G161" s="2">
        <v>20508022</v>
      </c>
      <c r="H161" s="2" t="s">
        <v>1971</v>
      </c>
      <c r="I161" s="3">
        <v>46055</v>
      </c>
      <c r="J161" s="2" t="s">
        <v>31</v>
      </c>
      <c r="K161" s="3" t="s">
        <v>1968</v>
      </c>
      <c r="L161" s="2" t="s">
        <v>3344</v>
      </c>
      <c r="M161" s="2" t="s">
        <v>3345</v>
      </c>
      <c r="N161" s="2" t="s">
        <v>82</v>
      </c>
      <c r="O161" s="2" t="s">
        <v>3929</v>
      </c>
      <c r="P161" s="2" t="s">
        <v>186</v>
      </c>
      <c r="Q161" s="2" t="s">
        <v>706</v>
      </c>
      <c r="R161" s="2" t="s">
        <v>3291</v>
      </c>
      <c r="S161" s="2" t="s">
        <v>37</v>
      </c>
      <c r="T161" s="2" t="s">
        <v>37</v>
      </c>
      <c r="U161" s="2" t="s">
        <v>57</v>
      </c>
      <c r="V161" s="3">
        <v>46055</v>
      </c>
      <c r="W161" s="2" t="s">
        <v>135</v>
      </c>
      <c r="X161" s="2" t="str">
        <f t="shared" si="8"/>
        <v>Calle Jose Carlos Mariate, Urb. Urbanización ZONA Z, Ate, Lima, Lima, Perú</v>
      </c>
      <c r="Y161" s="22">
        <v>-12.023711</v>
      </c>
      <c r="Z161" s="22">
        <v>-76.894016899999997</v>
      </c>
      <c r="AA161" s="33">
        <f t="shared" si="9"/>
        <v>2.98</v>
      </c>
      <c r="AB161" s="2" t="str">
        <f t="shared" si="10"/>
        <v>🟢 Muy Cerca (0-5 km)</v>
      </c>
      <c r="AC161" s="2" t="str" cm="1">
        <f t="array" ref="AC161">INDEX(PARADEROS_VALIDOS!$C$2:$C$68,MATCH(MIN(6371*ACOS(COS(RADIANS(Y161))*COS(RADIANS(PARADEROS_VALIDOS!$E$2:$E$68))*COS(RADIANS(PARADEROS_VALIDOS!$F$2:$F$68)-RADIANS(Z161))+SIN(RADIANS(Y161))*SIN(RADIANS(PARADEROS_VALIDOS!$E$2:$E$68)))),6371*ACOS(COS(RADIANS(Y161))*COS(RADIANS(PARADEROS_VALIDOS!$E$2:$E$68))*COS(RADIANS(PARADEROS_VALIDOS!$F$2:$F$68)-RADIANS(Z161))+SIN(RADIANS(Y161))*SIN(RADIANS(PARADEROS_VALIDOS!$E$2:$E$68))),0))</f>
        <v>Paradero Sta. Clara</v>
      </c>
      <c r="AD161" s="2" t="str">
        <f>IFERROR(INDEX(PARADEROS_VALIDOS!$A$2:$A$68,MATCH(AC161,PARADEROS_VALIDOS!$C$2:$C$68,0)),"")</f>
        <v>RUTA 5C</v>
      </c>
      <c r="AE161" s="33" cm="1">
        <f t="array" ref="AE161">ROUND(MIN(6371*ACOS(COS(RADIANS(Y161))*COS(RADIANS(PARADEROS_VALIDOS!$E$2:$E$68))*COS(RADIANS(PARADEROS_VALIDOS!$F$2:$F$68)-RADIANS(Z161))+SIN(RADIANS(Y161))*SIN(RADIANS(PARADEROS_VALIDOS!$E$2:$E$68)))),2)</f>
        <v>1.37</v>
      </c>
      <c r="AF161" s="2" t="str">
        <f t="shared" si="11"/>
        <v>🟡 Cerca (1-3 km)</v>
      </c>
      <c r="AG161" s="2"/>
      <c r="AH161" s="2"/>
      <c r="AI161" s="51">
        <v>-11.997563</v>
      </c>
      <c r="AJ161" s="51">
        <v>-76.900062000000005</v>
      </c>
      <c r="AK161" s="2" t="str">
        <f>IFERROR(VLOOKUP(H161,tdcargo[],2,FALSE),"DESCONOCIDO")</f>
        <v>OPERARIO</v>
      </c>
    </row>
    <row r="162" spans="1:37" x14ac:dyDescent="0.35">
      <c r="A162" s="2" t="s">
        <v>3930</v>
      </c>
      <c r="B162" s="2" t="s">
        <v>3931</v>
      </c>
      <c r="C162" s="2" t="s">
        <v>3932</v>
      </c>
      <c r="D162" s="2" t="s">
        <v>3933</v>
      </c>
      <c r="E162" s="2">
        <v>50</v>
      </c>
      <c r="F162" s="2" t="s">
        <v>3255</v>
      </c>
      <c r="G162" s="2">
        <v>20508053</v>
      </c>
      <c r="H162" s="2" t="s">
        <v>1971</v>
      </c>
      <c r="I162" s="3">
        <v>45078</v>
      </c>
      <c r="J162" s="2" t="s">
        <v>31</v>
      </c>
      <c r="K162" s="3" t="s">
        <v>1968</v>
      </c>
      <c r="L162" s="2" t="s">
        <v>3299</v>
      </c>
      <c r="M162" s="2" t="s">
        <v>3300</v>
      </c>
      <c r="N162" s="2" t="s">
        <v>53</v>
      </c>
      <c r="O162" s="2" t="s">
        <v>1737</v>
      </c>
      <c r="P162" s="2" t="s">
        <v>88</v>
      </c>
      <c r="Q162" s="2" t="s">
        <v>46</v>
      </c>
      <c r="R162" s="2" t="s">
        <v>3274</v>
      </c>
      <c r="S162" s="2" t="s">
        <v>37</v>
      </c>
      <c r="T162" s="2" t="s">
        <v>37</v>
      </c>
      <c r="U162" s="2" t="s">
        <v>76</v>
      </c>
      <c r="V162" s="3">
        <v>45078</v>
      </c>
      <c r="W162" s="2" t="s">
        <v>48</v>
      </c>
      <c r="X162" s="2" t="str">
        <f t="shared" si="8"/>
        <v>Jirón Brasil, A.H. Asentamiento Humano, Lurigancho, Lima, Lima, Perú</v>
      </c>
      <c r="Y162" s="22">
        <v>-11.9381582</v>
      </c>
      <c r="Z162" s="22">
        <v>-76.693289800000002</v>
      </c>
      <c r="AA162" s="33">
        <f t="shared" si="9"/>
        <v>23.44</v>
      </c>
      <c r="AB162" s="2" t="str">
        <f t="shared" si="10"/>
        <v>🔴 Lejos (&gt;20 km)</v>
      </c>
      <c r="AC162" s="2" t="str" cm="1">
        <f t="array" ref="AC162">INDEX(PARADEROS_VALIDOS!$C$2:$C$68,MATCH(MIN(6371*ACOS(COS(RADIANS(Y162))*COS(RADIANS(PARADEROS_VALIDOS!$E$2:$E$68))*COS(RADIANS(PARADEROS_VALIDOS!$F$2:$F$68)-RADIANS(Z162))+SIN(RADIANS(Y162))*SIN(RADIANS(PARADEROS_VALIDOS!$E$2:$E$68)))),6371*ACOS(COS(RADIANS(Y162))*COS(RADIANS(PARADEROS_VALIDOS!$E$2:$E$68))*COS(RADIANS(PARADEROS_VALIDOS!$F$2:$F$68)-RADIANS(Z162))+SIN(RADIANS(Y162))*SIN(RADIANS(PARADEROS_VALIDOS!$E$2:$E$68))),0))</f>
        <v>Paradero Girasoles - Chaclacayo</v>
      </c>
      <c r="AD162" s="2" t="str">
        <f>IFERROR(INDEX(PARADEROS_VALIDOS!$A$2:$A$68,MATCH(AC162,PARADEROS_VALIDOS!$C$2:$C$68,0)),"")</f>
        <v>RUTA 5A</v>
      </c>
      <c r="AE162" s="33" cm="1">
        <f t="array" ref="AE162">ROUND(MIN(6371*ACOS(COS(RADIANS(Y162))*COS(RADIANS(PARADEROS_VALIDOS!$E$2:$E$68))*COS(RADIANS(PARADEROS_VALIDOS!$F$2:$F$68)-RADIANS(Z162))+SIN(RADIANS(Y162))*SIN(RADIANS(PARADEROS_VALIDOS!$E$2:$E$68)))),2)</f>
        <v>9.61</v>
      </c>
      <c r="AF162" s="2" t="str">
        <f t="shared" si="11"/>
        <v>🔴 Lejos (&gt;5 km)</v>
      </c>
      <c r="AG162" s="2"/>
      <c r="AH162" s="2"/>
      <c r="AI162" s="51">
        <v>-11.997563</v>
      </c>
      <c r="AJ162" s="51">
        <v>-76.900062000000005</v>
      </c>
      <c r="AK162" s="2" t="str">
        <f>IFERROR(VLOOKUP(H162,tdcargo[],2,FALSE),"DESCONOCIDO")</f>
        <v>OPERARIO</v>
      </c>
    </row>
    <row r="163" spans="1:37" x14ac:dyDescent="0.35">
      <c r="A163" s="2" t="s">
        <v>3934</v>
      </c>
      <c r="B163" s="2" t="s">
        <v>3935</v>
      </c>
      <c r="C163" s="2" t="s">
        <v>3936</v>
      </c>
      <c r="D163" s="2" t="s">
        <v>319</v>
      </c>
      <c r="E163" s="2">
        <v>30</v>
      </c>
      <c r="F163" s="2" t="s">
        <v>3255</v>
      </c>
      <c r="G163" s="2">
        <v>20508080</v>
      </c>
      <c r="H163" s="2" t="s">
        <v>1971</v>
      </c>
      <c r="I163" s="3">
        <v>44550</v>
      </c>
      <c r="J163" s="2" t="s">
        <v>31</v>
      </c>
      <c r="K163" s="3" t="s">
        <v>1968</v>
      </c>
      <c r="L163" s="2" t="s">
        <v>3299</v>
      </c>
      <c r="M163" s="2" t="s">
        <v>3300</v>
      </c>
      <c r="N163" s="2" t="s">
        <v>82</v>
      </c>
      <c r="O163" s="2" t="s">
        <v>2385</v>
      </c>
      <c r="P163" s="2" t="s">
        <v>36</v>
      </c>
      <c r="Q163" s="2" t="s">
        <v>3937</v>
      </c>
      <c r="R163" s="2" t="s">
        <v>3274</v>
      </c>
      <c r="S163" s="2" t="s">
        <v>37</v>
      </c>
      <c r="T163" s="2" t="s">
        <v>37</v>
      </c>
      <c r="U163" s="2" t="s">
        <v>76</v>
      </c>
      <c r="V163" s="3">
        <v>44550</v>
      </c>
      <c r="W163" s="2" t="s">
        <v>48</v>
      </c>
      <c r="X163" s="2" t="str">
        <f t="shared" si="8"/>
        <v>Calle Miraflores Asoc De Vivienda Las Planicies, Lurigancho, Lima, Lima, Perú</v>
      </c>
      <c r="Y163" s="22">
        <v>-12.013756799999999</v>
      </c>
      <c r="Z163" s="22">
        <v>-76.871231100000003</v>
      </c>
      <c r="AA163" s="33">
        <f t="shared" si="9"/>
        <v>3.62</v>
      </c>
      <c r="AB163" s="2" t="str">
        <f t="shared" si="10"/>
        <v>🟢 Muy Cerca (0-5 km)</v>
      </c>
      <c r="AC163" s="2" t="str" cm="1">
        <f t="array" ref="AC163">INDEX(PARADEROS_VALIDOS!$C$2:$C$68,MATCH(MIN(6371*ACOS(COS(RADIANS(Y163))*COS(RADIANS(PARADEROS_VALIDOS!$E$2:$E$68))*COS(RADIANS(PARADEROS_VALIDOS!$F$2:$F$68)-RADIANS(Z163))+SIN(RADIANS(Y163))*SIN(RADIANS(PARADEROS_VALIDOS!$E$2:$E$68)))),6371*ACOS(COS(RADIANS(Y163))*COS(RADIANS(PARADEROS_VALIDOS!$E$2:$E$68))*COS(RADIANS(PARADEROS_VALIDOS!$F$2:$F$68)-RADIANS(Z163))+SIN(RADIANS(Y163))*SIN(RADIANS(PARADEROS_VALIDOS!$E$2:$E$68))),0))</f>
        <v>Paradero la Cruz</v>
      </c>
      <c r="AD163" s="2" t="str">
        <f>IFERROR(INDEX(PARADEROS_VALIDOS!$A$2:$A$68,MATCH(AC163,PARADEROS_VALIDOS!$C$2:$C$68,0)),"")</f>
        <v>RUTA 4B</v>
      </c>
      <c r="AE163" s="33" cm="1">
        <f t="array" ref="AE163">ROUND(MIN(6371*ACOS(COS(RADIANS(Y163))*COS(RADIANS(PARADEROS_VALIDOS!$E$2:$E$68))*COS(RADIANS(PARADEROS_VALIDOS!$F$2:$F$68)-RADIANS(Z163))+SIN(RADIANS(Y163))*SIN(RADIANS(PARADEROS_VALIDOS!$E$2:$E$68)))),2)</f>
        <v>1.51</v>
      </c>
      <c r="AF163" s="2" t="str">
        <f t="shared" si="11"/>
        <v>🟡 Cerca (1-3 km)</v>
      </c>
      <c r="AG163" s="2"/>
      <c r="AH163" s="2"/>
      <c r="AI163" s="51">
        <v>-11.997563</v>
      </c>
      <c r="AJ163" s="51">
        <v>-76.900062000000005</v>
      </c>
      <c r="AK163" s="2" t="str">
        <f>IFERROR(VLOOKUP(H163,tdcargo[],2,FALSE),"DESCONOCIDO")</f>
        <v>OPERARIO</v>
      </c>
    </row>
    <row r="164" spans="1:37" x14ac:dyDescent="0.35">
      <c r="A164" s="2" t="s">
        <v>3938</v>
      </c>
      <c r="B164" s="2" t="s">
        <v>3939</v>
      </c>
      <c r="C164" s="2" t="s">
        <v>3940</v>
      </c>
      <c r="D164" s="2" t="s">
        <v>3941</v>
      </c>
      <c r="E164" s="2">
        <v>35</v>
      </c>
      <c r="F164" s="2" t="s">
        <v>3255</v>
      </c>
      <c r="G164" s="2">
        <v>20507978</v>
      </c>
      <c r="H164" s="2" t="s">
        <v>1971</v>
      </c>
      <c r="I164" s="3">
        <v>44945</v>
      </c>
      <c r="J164" s="2" t="s">
        <v>31</v>
      </c>
      <c r="K164" s="3" t="s">
        <v>1968</v>
      </c>
      <c r="L164" s="2" t="s">
        <v>3278</v>
      </c>
      <c r="M164" s="2" t="s">
        <v>3279</v>
      </c>
      <c r="N164" s="2" t="s">
        <v>34</v>
      </c>
      <c r="O164" s="2" t="s">
        <v>3942</v>
      </c>
      <c r="P164" s="2" t="s">
        <v>643</v>
      </c>
      <c r="Q164" s="2" t="s">
        <v>3943</v>
      </c>
      <c r="R164" s="2" t="s">
        <v>3274</v>
      </c>
      <c r="S164" s="2" t="s">
        <v>37</v>
      </c>
      <c r="T164" s="2" t="s">
        <v>37</v>
      </c>
      <c r="U164" s="2" t="s">
        <v>76</v>
      </c>
      <c r="V164" s="3">
        <v>44945</v>
      </c>
      <c r="W164" s="2" t="s">
        <v>48</v>
      </c>
      <c r="X164" s="2" t="str">
        <f t="shared" si="8"/>
        <v>Avenida Viergen Del Carmen, Res. Residencial La Era Ã‘Aã‘A, Lurigancho, Lima, Lima, Perú</v>
      </c>
      <c r="Y164" s="22">
        <v>-12.009696699999999</v>
      </c>
      <c r="Z164" s="22">
        <v>-76.905361299999996</v>
      </c>
      <c r="AA164" s="33">
        <f t="shared" si="9"/>
        <v>1.47</v>
      </c>
      <c r="AB164" s="2" t="str">
        <f t="shared" si="10"/>
        <v>🟢 Muy Cerca (0-5 km)</v>
      </c>
      <c r="AC164" s="2" t="str" cm="1">
        <f t="array" ref="AC164">INDEX(PARADEROS_VALIDOS!$C$2:$C$68,MATCH(MIN(6371*ACOS(COS(RADIANS(Y164))*COS(RADIANS(PARADEROS_VALIDOS!$E$2:$E$68))*COS(RADIANS(PARADEROS_VALIDOS!$F$2:$F$68)-RADIANS(Z164))+SIN(RADIANS(Y164))*SIN(RADIANS(PARADEROS_VALIDOS!$E$2:$E$68)))),6371*ACOS(COS(RADIANS(Y164))*COS(RADIANS(PARADEROS_VALIDOS!$E$2:$E$68))*COS(RADIANS(PARADEROS_VALIDOS!$F$2:$F$68)-RADIANS(Z164))+SIN(RADIANS(Y164))*SIN(RADIANS(PARADEROS_VALIDOS!$E$2:$E$68))),0))</f>
        <v>Tottus Huachipa</v>
      </c>
      <c r="AD164" s="2" t="str">
        <f>IFERROR(INDEX(PARADEROS_VALIDOS!$A$2:$A$68,MATCH(AC164,PARADEROS_VALIDOS!$C$2:$C$68,0)),"")</f>
        <v>RUTA 1</v>
      </c>
      <c r="AE164" s="33" cm="1">
        <f t="array" ref="AE164">ROUND(MIN(6371*ACOS(COS(RADIANS(Y164))*COS(RADIANS(PARADEROS_VALIDOS!$E$2:$E$68))*COS(RADIANS(PARADEROS_VALIDOS!$F$2:$F$68)-RADIANS(Z164))+SIN(RADIANS(Y164))*SIN(RADIANS(PARADEROS_VALIDOS!$E$2:$E$68)))),2)</f>
        <v>1.18</v>
      </c>
      <c r="AF164" s="2" t="str">
        <f t="shared" si="11"/>
        <v>🟡 Cerca (1-3 km)</v>
      </c>
      <c r="AG164" s="2"/>
      <c r="AH164" s="2"/>
      <c r="AI164" s="51">
        <v>-11.997563</v>
      </c>
      <c r="AJ164" s="51">
        <v>-76.900062000000005</v>
      </c>
      <c r="AK164" s="2" t="str">
        <f>IFERROR(VLOOKUP(H164,tdcargo[],2,FALSE),"DESCONOCIDO")</f>
        <v>OPERARIO</v>
      </c>
    </row>
    <row r="165" spans="1:37" x14ac:dyDescent="0.35">
      <c r="A165" s="2" t="s">
        <v>3944</v>
      </c>
      <c r="B165" s="2" t="s">
        <v>3945</v>
      </c>
      <c r="C165" s="2" t="s">
        <v>3946</v>
      </c>
      <c r="D165" s="2" t="s">
        <v>3947</v>
      </c>
      <c r="E165" s="2">
        <v>23</v>
      </c>
      <c r="F165" s="2" t="s">
        <v>3255</v>
      </c>
      <c r="G165" s="2">
        <v>20508001</v>
      </c>
      <c r="H165" s="2" t="s">
        <v>1971</v>
      </c>
      <c r="I165" s="3">
        <v>45229</v>
      </c>
      <c r="J165" s="2" t="s">
        <v>31</v>
      </c>
      <c r="K165" s="3" t="s">
        <v>1968</v>
      </c>
      <c r="L165" s="2" t="s">
        <v>3373</v>
      </c>
      <c r="M165" s="2" t="s">
        <v>3374</v>
      </c>
      <c r="N165" s="2" t="s">
        <v>36</v>
      </c>
      <c r="O165" s="2" t="s">
        <v>2189</v>
      </c>
      <c r="P165" s="2" t="s">
        <v>36</v>
      </c>
      <c r="Q165" s="2" t="s">
        <v>931</v>
      </c>
      <c r="R165" s="2" t="s">
        <v>3274</v>
      </c>
      <c r="S165" s="2" t="s">
        <v>37</v>
      </c>
      <c r="T165" s="2" t="s">
        <v>37</v>
      </c>
      <c r="U165" s="2" t="s">
        <v>76</v>
      </c>
      <c r="V165" s="3">
        <v>45229</v>
      </c>
      <c r="W165" s="2" t="s">
        <v>48</v>
      </c>
      <c r="X165" s="2" t="str">
        <f t="shared" si="8"/>
        <v>Lurigancho-Chosica Arco, Lurigancho, Lima, Lima, Perú</v>
      </c>
      <c r="Y165" s="22">
        <v>-12.009696699999999</v>
      </c>
      <c r="Z165" s="22">
        <v>-76.905361299999996</v>
      </c>
      <c r="AA165" s="33">
        <f t="shared" si="9"/>
        <v>1.47</v>
      </c>
      <c r="AB165" s="2" t="str">
        <f t="shared" si="10"/>
        <v>🟢 Muy Cerca (0-5 km)</v>
      </c>
      <c r="AC165" s="2" t="str" cm="1">
        <f t="array" ref="AC165">INDEX(PARADEROS_VALIDOS!$C$2:$C$68,MATCH(MIN(6371*ACOS(COS(RADIANS(Y165))*COS(RADIANS(PARADEROS_VALIDOS!$E$2:$E$68))*COS(RADIANS(PARADEROS_VALIDOS!$F$2:$F$68)-RADIANS(Z165))+SIN(RADIANS(Y165))*SIN(RADIANS(PARADEROS_VALIDOS!$E$2:$E$68)))),6371*ACOS(COS(RADIANS(Y165))*COS(RADIANS(PARADEROS_VALIDOS!$E$2:$E$68))*COS(RADIANS(PARADEROS_VALIDOS!$F$2:$F$68)-RADIANS(Z165))+SIN(RADIANS(Y165))*SIN(RADIANS(PARADEROS_VALIDOS!$E$2:$E$68))),0))</f>
        <v>Tottus Huachipa</v>
      </c>
      <c r="AD165" s="2" t="str">
        <f>IFERROR(INDEX(PARADEROS_VALIDOS!$A$2:$A$68,MATCH(AC165,PARADEROS_VALIDOS!$C$2:$C$68,0)),"")</f>
        <v>RUTA 1</v>
      </c>
      <c r="AE165" s="33" cm="1">
        <f t="array" ref="AE165">ROUND(MIN(6371*ACOS(COS(RADIANS(Y165))*COS(RADIANS(PARADEROS_VALIDOS!$E$2:$E$68))*COS(RADIANS(PARADEROS_VALIDOS!$F$2:$F$68)-RADIANS(Z165))+SIN(RADIANS(Y165))*SIN(RADIANS(PARADEROS_VALIDOS!$E$2:$E$68)))),2)</f>
        <v>1.18</v>
      </c>
      <c r="AF165" s="2" t="str">
        <f t="shared" si="11"/>
        <v>🟡 Cerca (1-3 km)</v>
      </c>
      <c r="AG165" s="2"/>
      <c r="AH165" s="2"/>
      <c r="AI165" s="51">
        <v>-11.997563</v>
      </c>
      <c r="AJ165" s="51">
        <v>-76.900062000000005</v>
      </c>
      <c r="AK165" s="2" t="str">
        <f>IFERROR(VLOOKUP(H165,tdcargo[],2,FALSE),"DESCONOCIDO")</f>
        <v>OPERARIO</v>
      </c>
    </row>
    <row r="166" spans="1:37" x14ac:dyDescent="0.35">
      <c r="A166" s="2" t="s">
        <v>3948</v>
      </c>
      <c r="B166" s="2" t="s">
        <v>3949</v>
      </c>
      <c r="C166" s="2" t="s">
        <v>3950</v>
      </c>
      <c r="D166" s="2" t="s">
        <v>1021</v>
      </c>
      <c r="E166" s="2">
        <v>20</v>
      </c>
      <c r="F166" s="2" t="s">
        <v>3255</v>
      </c>
      <c r="G166" s="2">
        <v>20508041</v>
      </c>
      <c r="H166" s="2" t="s">
        <v>1971</v>
      </c>
      <c r="I166" s="3">
        <v>45663</v>
      </c>
      <c r="J166" s="2" t="s">
        <v>31</v>
      </c>
      <c r="K166" s="3" t="s">
        <v>1968</v>
      </c>
      <c r="L166" s="2" t="s">
        <v>3278</v>
      </c>
      <c r="M166" s="2" t="s">
        <v>3279</v>
      </c>
      <c r="N166" s="2" t="s">
        <v>34</v>
      </c>
      <c r="O166" s="2" t="s">
        <v>38</v>
      </c>
      <c r="P166" s="2" t="s">
        <v>36</v>
      </c>
      <c r="Q166" s="2" t="s">
        <v>3951</v>
      </c>
      <c r="R166" s="2" t="s">
        <v>3260</v>
      </c>
      <c r="S166" s="2" t="s">
        <v>37</v>
      </c>
      <c r="T166" s="2" t="s">
        <v>37</v>
      </c>
      <c r="U166" s="2" t="s">
        <v>38</v>
      </c>
      <c r="V166" s="3">
        <v>45663</v>
      </c>
      <c r="W166" s="2" t="s">
        <v>77</v>
      </c>
      <c r="X166" s="2" t="str">
        <f t="shared" si="8"/>
        <v>Avenida San Juan De Lurigancho Proceres Cruz De Chalpon, San Juan De Lurigancho, Lima, Lima, Perú</v>
      </c>
      <c r="Y166" s="22">
        <v>-11.9275164</v>
      </c>
      <c r="Z166" s="22">
        <v>-76.960865100000007</v>
      </c>
      <c r="AA166" s="33">
        <f t="shared" si="9"/>
        <v>10.220000000000001</v>
      </c>
      <c r="AB166" s="2" t="str">
        <f t="shared" si="10"/>
        <v>🟠 Moderada (10-20 km)</v>
      </c>
      <c r="AC166" s="2" t="str" cm="1">
        <f t="array" ref="AC166">INDEX(PARADEROS_VALIDOS!$C$2:$C$68,MATCH(MIN(6371*ACOS(COS(RADIANS(Y166))*COS(RADIANS(PARADEROS_VALIDOS!$E$2:$E$68))*COS(RADIANS(PARADEROS_VALIDOS!$F$2:$F$68)-RADIANS(Z166))+SIN(RADIANS(Y166))*SIN(RADIANS(PARADEROS_VALIDOS!$E$2:$E$68)))),6371*ACOS(COS(RADIANS(Y166))*COS(RADIANS(PARADEROS_VALIDOS!$E$2:$E$68))*COS(RADIANS(PARADEROS_VALIDOS!$F$2:$F$68)-RADIANS(Z166))+SIN(RADIANS(Y166))*SIN(RADIANS(PARADEROS_VALIDOS!$E$2:$E$68))),0))</f>
        <v>Paradero San Martin</v>
      </c>
      <c r="AD166" s="2" t="str">
        <f>IFERROR(INDEX(PARADEROS_VALIDOS!$A$2:$A$68,MATCH(AC166,PARADEROS_VALIDOS!$C$2:$C$68,0)),"")</f>
        <v>RUTA 6A</v>
      </c>
      <c r="AE166" s="33" cm="1">
        <f t="array" ref="AE166">ROUND(MIN(6371*ACOS(COS(RADIANS(Y166))*COS(RADIANS(PARADEROS_VALIDOS!$E$2:$E$68))*COS(RADIANS(PARADEROS_VALIDOS!$F$2:$F$68)-RADIANS(Z166))+SIN(RADIANS(Y166))*SIN(RADIANS(PARADEROS_VALIDOS!$E$2:$E$68)))),2)</f>
        <v>6.79</v>
      </c>
      <c r="AF166" s="2" t="str">
        <f t="shared" si="11"/>
        <v>🔴 Lejos (&gt;5 km)</v>
      </c>
      <c r="AG166" s="2"/>
      <c r="AH166" s="2"/>
      <c r="AI166" s="51">
        <v>-11.997563</v>
      </c>
      <c r="AJ166" s="51">
        <v>-76.900062000000005</v>
      </c>
      <c r="AK166" s="2" t="str">
        <f>IFERROR(VLOOKUP(H166,tdcargo[],2,FALSE),"DESCONOCIDO")</f>
        <v>OPERARIO</v>
      </c>
    </row>
    <row r="167" spans="1:37" x14ac:dyDescent="0.35">
      <c r="A167" s="2" t="s">
        <v>3952</v>
      </c>
      <c r="B167" s="2" t="s">
        <v>3953</v>
      </c>
      <c r="C167" s="2" t="s">
        <v>3954</v>
      </c>
      <c r="D167" s="2" t="s">
        <v>1777</v>
      </c>
      <c r="E167" s="2">
        <v>30</v>
      </c>
      <c r="F167" s="2" t="s">
        <v>3255</v>
      </c>
      <c r="G167" s="2">
        <v>20511981</v>
      </c>
      <c r="H167" s="2" t="s">
        <v>1971</v>
      </c>
      <c r="I167" s="3">
        <v>44630</v>
      </c>
      <c r="J167" s="2" t="s">
        <v>31</v>
      </c>
      <c r="K167" s="3" t="s">
        <v>1968</v>
      </c>
      <c r="L167" s="2" t="s">
        <v>3344</v>
      </c>
      <c r="M167" s="2" t="s">
        <v>3345</v>
      </c>
      <c r="N167" s="2" t="s">
        <v>34</v>
      </c>
      <c r="O167" s="2" t="s">
        <v>3955</v>
      </c>
      <c r="P167" s="2" t="s">
        <v>66</v>
      </c>
      <c r="Q167" s="2" t="s">
        <v>3956</v>
      </c>
      <c r="R167" s="2" t="s">
        <v>3291</v>
      </c>
      <c r="S167" s="2" t="s">
        <v>37</v>
      </c>
      <c r="T167" s="2" t="s">
        <v>37</v>
      </c>
      <c r="U167" s="2" t="s">
        <v>57</v>
      </c>
      <c r="V167" s="3">
        <v>44630</v>
      </c>
      <c r="W167" s="2" t="s">
        <v>48</v>
      </c>
      <c r="X167" s="2" t="str">
        <f t="shared" si="8"/>
        <v>Avenida La Esperanza Asoc. San Carlos, U.V. Unidad Vecinal La Esperanza, Ate, Lima, Lima, Perú</v>
      </c>
      <c r="Y167" s="22">
        <v>-12.031469899999999</v>
      </c>
      <c r="Z167" s="22">
        <v>-76.904888200000002</v>
      </c>
      <c r="AA167" s="33">
        <f t="shared" si="9"/>
        <v>3.81</v>
      </c>
      <c r="AB167" s="2" t="str">
        <f t="shared" si="10"/>
        <v>🟢 Muy Cerca (0-5 km)</v>
      </c>
      <c r="AC167" s="2" t="str" cm="1">
        <f t="array" ref="AC167">INDEX(PARADEROS_VALIDOS!$C$2:$C$68,MATCH(MIN(6371*ACOS(COS(RADIANS(Y167))*COS(RADIANS(PARADEROS_VALIDOS!$E$2:$E$68))*COS(RADIANS(PARADEROS_VALIDOS!$F$2:$F$68)-RADIANS(Z167))+SIN(RADIANS(Y167))*SIN(RADIANS(PARADEROS_VALIDOS!$E$2:$E$68)))),6371*ACOS(COS(RADIANS(Y167))*COS(RADIANS(PARADEROS_VALIDOS!$E$2:$E$68))*COS(RADIANS(PARADEROS_VALIDOS!$F$2:$F$68)-RADIANS(Z167))+SIN(RADIANS(Y167))*SIN(RADIANS(PARADEROS_VALIDOS!$E$2:$E$68))),0))</f>
        <v>Paradero Esperanza</v>
      </c>
      <c r="AD167" s="2" t="str">
        <f>IFERROR(INDEX(PARADEROS_VALIDOS!$A$2:$A$68,MATCH(AC167,PARADEROS_VALIDOS!$C$2:$C$68,0)),"")</f>
        <v>RUTA 4B</v>
      </c>
      <c r="AE167" s="33" cm="1">
        <f t="array" ref="AE167">ROUND(MIN(6371*ACOS(COS(RADIANS(Y167))*COS(RADIANS(PARADEROS_VALIDOS!$E$2:$E$68))*COS(RADIANS(PARADEROS_VALIDOS!$F$2:$F$68)-RADIANS(Z167))+SIN(RADIANS(Y167))*SIN(RADIANS(PARADEROS_VALIDOS!$E$2:$E$68)))),2)</f>
        <v>1.1000000000000001</v>
      </c>
      <c r="AF167" s="2" t="str">
        <f t="shared" si="11"/>
        <v>🟡 Cerca (1-3 km)</v>
      </c>
      <c r="AG167" s="2"/>
      <c r="AH167" s="2"/>
      <c r="AI167" s="51">
        <v>-11.997563</v>
      </c>
      <c r="AJ167" s="51">
        <v>-76.900062000000005</v>
      </c>
      <c r="AK167" s="2" t="str">
        <f>IFERROR(VLOOKUP(H167,tdcargo[],2,FALSE),"DESCONOCIDO")</f>
        <v>OPERARIO</v>
      </c>
    </row>
    <row r="168" spans="1:37" x14ac:dyDescent="0.35">
      <c r="A168" s="2" t="s">
        <v>3957</v>
      </c>
      <c r="B168" s="2" t="s">
        <v>3958</v>
      </c>
      <c r="C168" s="2" t="s">
        <v>3959</v>
      </c>
      <c r="D168" s="2" t="s">
        <v>3960</v>
      </c>
      <c r="E168" s="2">
        <v>19</v>
      </c>
      <c r="F168" s="2" t="s">
        <v>3255</v>
      </c>
      <c r="G168" s="2">
        <v>20511210</v>
      </c>
      <c r="H168" s="2" t="s">
        <v>1971</v>
      </c>
      <c r="I168" s="3">
        <v>45989</v>
      </c>
      <c r="J168" s="2" t="s">
        <v>31</v>
      </c>
      <c r="K168" s="3" t="s">
        <v>1968</v>
      </c>
      <c r="L168" s="2" t="s">
        <v>3256</v>
      </c>
      <c r="M168" s="2" t="s">
        <v>3257</v>
      </c>
      <c r="N168" s="2" t="s">
        <v>36</v>
      </c>
      <c r="O168" s="2" t="s">
        <v>705</v>
      </c>
      <c r="P168" s="2" t="s">
        <v>36</v>
      </c>
      <c r="Q168" s="2" t="s">
        <v>202</v>
      </c>
      <c r="R168" s="2" t="s">
        <v>3291</v>
      </c>
      <c r="S168" s="2" t="s">
        <v>37</v>
      </c>
      <c r="T168" s="2" t="s">
        <v>37</v>
      </c>
      <c r="U168" s="2" t="s">
        <v>57</v>
      </c>
      <c r="V168" s="3">
        <v>45989</v>
      </c>
      <c r="W168" s="2" t="s">
        <v>135</v>
      </c>
      <c r="X168" s="2" t="str">
        <f t="shared" si="8"/>
        <v>Huaycan L, Ate, Lima, Lima, Perú</v>
      </c>
      <c r="Y168" s="22">
        <v>-12.048648399999999</v>
      </c>
      <c r="Z168" s="22">
        <v>-76.946301700000006</v>
      </c>
      <c r="AA168" s="33">
        <f t="shared" si="9"/>
        <v>7.59</v>
      </c>
      <c r="AB168" s="2" t="str">
        <f t="shared" si="10"/>
        <v>🟡 Cerca (5-10 km)</v>
      </c>
      <c r="AC168" s="2" t="str" cm="1">
        <f t="array" ref="AC168">INDEX(PARADEROS_VALIDOS!$C$2:$C$68,MATCH(MIN(6371*ACOS(COS(RADIANS(Y168))*COS(RADIANS(PARADEROS_VALIDOS!$E$2:$E$68))*COS(RADIANS(PARADEROS_VALIDOS!$F$2:$F$68)-RADIANS(Z168))+SIN(RADIANS(Y168))*SIN(RADIANS(PARADEROS_VALIDOS!$E$2:$E$68)))),6371*ACOS(COS(RADIANS(Y168))*COS(RADIANS(PARADEROS_VALIDOS!$E$2:$E$68))*COS(RADIANS(PARADEROS_VALIDOS!$F$2:$F$68)-RADIANS(Z168))+SIN(RADIANS(Y168))*SIN(RADIANS(PARADEROS_VALIDOS!$E$2:$E$68))),0))</f>
        <v>Pte. Prialé (solo aplica para la salida)</v>
      </c>
      <c r="AD168" s="2" t="str">
        <f>IFERROR(INDEX(PARADEROS_VALIDOS!$A$2:$A$68,MATCH(AC168,PARADEROS_VALIDOS!$C$2:$C$68,0)),"")</f>
        <v>RUTA 7</v>
      </c>
      <c r="AE168" s="33" cm="1">
        <f t="array" ref="AE168">ROUND(MIN(6371*ACOS(COS(RADIANS(Y168))*COS(RADIANS(PARADEROS_VALIDOS!$E$2:$E$68))*COS(RADIANS(PARADEROS_VALIDOS!$F$2:$F$68)-RADIANS(Z168))+SIN(RADIANS(Y168))*SIN(RADIANS(PARADEROS_VALIDOS!$E$2:$E$68)))),2)</f>
        <v>1.32</v>
      </c>
      <c r="AF168" s="2" t="str">
        <f t="shared" si="11"/>
        <v>🟡 Cerca (1-3 km)</v>
      </c>
      <c r="AG168" s="2"/>
      <c r="AH168" s="2"/>
      <c r="AI168" s="51">
        <v>-11.997563</v>
      </c>
      <c r="AJ168" s="51">
        <v>-76.900062000000005</v>
      </c>
      <c r="AK168" s="2" t="str">
        <f>IFERROR(VLOOKUP(H168,tdcargo[],2,FALSE),"DESCONOCIDO")</f>
        <v>OPERARIO</v>
      </c>
    </row>
    <row r="169" spans="1:37" x14ac:dyDescent="0.35">
      <c r="A169" s="2" t="s">
        <v>3961</v>
      </c>
      <c r="B169" s="2" t="s">
        <v>3962</v>
      </c>
      <c r="C169" s="2" t="s">
        <v>3963</v>
      </c>
      <c r="D169" s="2" t="s">
        <v>3964</v>
      </c>
      <c r="E169" s="2">
        <v>33</v>
      </c>
      <c r="F169" s="2" t="s">
        <v>3255</v>
      </c>
      <c r="G169" s="2">
        <v>20508050</v>
      </c>
      <c r="H169" s="2" t="s">
        <v>2130</v>
      </c>
      <c r="I169" s="3">
        <v>45931</v>
      </c>
      <c r="J169" s="2" t="s">
        <v>31</v>
      </c>
      <c r="K169" s="3" t="s">
        <v>1968</v>
      </c>
      <c r="L169" s="2" t="s">
        <v>3419</v>
      </c>
      <c r="M169" s="2" t="s">
        <v>3420</v>
      </c>
      <c r="N169" s="2" t="s">
        <v>82</v>
      </c>
      <c r="O169" s="2" t="s">
        <v>3965</v>
      </c>
      <c r="P169" s="2" t="s">
        <v>36</v>
      </c>
      <c r="Q169" s="2" t="s">
        <v>3966</v>
      </c>
      <c r="R169" s="2" t="s">
        <v>3291</v>
      </c>
      <c r="S169" s="2" t="s">
        <v>37</v>
      </c>
      <c r="T169" s="2" t="s">
        <v>37</v>
      </c>
      <c r="U169" s="2" t="s">
        <v>57</v>
      </c>
      <c r="V169" s="3">
        <v>45931</v>
      </c>
      <c r="W169" s="2" t="s">
        <v>39</v>
      </c>
      <c r="X169" s="2" t="str">
        <f t="shared" si="8"/>
        <v>Calle Esmeralda 26 De Mayo 2Da Etapa, Ate, Lima, Lima, Perú</v>
      </c>
      <c r="Y169" s="22">
        <v>-12.0247314</v>
      </c>
      <c r="Z169" s="22">
        <v>-76.9221</v>
      </c>
      <c r="AA169" s="33">
        <f t="shared" si="9"/>
        <v>3.86</v>
      </c>
      <c r="AB169" s="2" t="str">
        <f t="shared" si="10"/>
        <v>🟢 Muy Cerca (0-5 km)</v>
      </c>
      <c r="AC169" s="2" t="str" cm="1">
        <f t="array" ref="AC169">INDEX(PARADEROS_VALIDOS!$C$2:$C$68,MATCH(MIN(6371*ACOS(COS(RADIANS(Y169))*COS(RADIANS(PARADEROS_VALIDOS!$E$2:$E$68))*COS(RADIANS(PARADEROS_VALIDOS!$F$2:$F$68)-RADIANS(Z169))+SIN(RADIANS(Y169))*SIN(RADIANS(PARADEROS_VALIDOS!$E$2:$E$68)))),6371*ACOS(COS(RADIANS(Y169))*COS(RADIANS(PARADEROS_VALIDOS!$E$2:$E$68))*COS(RADIANS(PARADEROS_VALIDOS!$F$2:$F$68)-RADIANS(Z169))+SIN(RADIANS(Y169))*SIN(RADIANS(PARADEROS_VALIDOS!$E$2:$E$68))),0))</f>
        <v>Panadería Marcela (cruce de la carretera central, con Av. Jose Carlos Mariátegui)</v>
      </c>
      <c r="AD169" s="2" t="str">
        <f>IFERROR(INDEX(PARADEROS_VALIDOS!$A$2:$A$68,MATCH(AC169,PARADEROS_VALIDOS!$C$2:$C$68,0)),"")</f>
        <v>RUTA 4B</v>
      </c>
      <c r="AE169" s="33" cm="1">
        <f t="array" ref="AE169">ROUND(MIN(6371*ACOS(COS(RADIANS(Y169))*COS(RADIANS(PARADEROS_VALIDOS!$E$2:$E$68))*COS(RADIANS(PARADEROS_VALIDOS!$F$2:$F$68)-RADIANS(Z169))+SIN(RADIANS(Y169))*SIN(RADIANS(PARADEROS_VALIDOS!$E$2:$E$68)))),2)</f>
        <v>0.26</v>
      </c>
      <c r="AF169" s="2" t="str">
        <f t="shared" si="11"/>
        <v>🟢 Muy Cerca (0-1 km)</v>
      </c>
      <c r="AG169" s="2"/>
      <c r="AH169" s="2"/>
      <c r="AI169" s="51">
        <v>-11.997563</v>
      </c>
      <c r="AJ169" s="51">
        <v>-76.900062000000005</v>
      </c>
      <c r="AK169" s="2" t="str">
        <f>IFERROR(VLOOKUP(H169,tdcargo[],2,FALSE),"DESCONOCIDO")</f>
        <v>STAFF</v>
      </c>
    </row>
    <row r="170" spans="1:37" x14ac:dyDescent="0.35">
      <c r="A170" s="2" t="s">
        <v>3967</v>
      </c>
      <c r="B170" s="2" t="s">
        <v>3968</v>
      </c>
      <c r="C170" s="2" t="s">
        <v>3458</v>
      </c>
      <c r="D170" s="2" t="s">
        <v>3969</v>
      </c>
      <c r="E170" s="2">
        <v>25</v>
      </c>
      <c r="F170" s="2" t="s">
        <v>3255</v>
      </c>
      <c r="G170" s="2">
        <v>20515603</v>
      </c>
      <c r="H170" s="2" t="s">
        <v>1235</v>
      </c>
      <c r="I170" s="3">
        <v>46006</v>
      </c>
      <c r="J170" s="2" t="s">
        <v>31</v>
      </c>
      <c r="K170" s="3" t="s">
        <v>1968</v>
      </c>
      <c r="L170" s="2" t="s">
        <v>1236</v>
      </c>
      <c r="M170" s="2" t="s">
        <v>1968</v>
      </c>
      <c r="N170" s="2" t="s">
        <v>53</v>
      </c>
      <c r="O170" s="2" t="s">
        <v>4612</v>
      </c>
      <c r="P170" s="2" t="s">
        <v>36</v>
      </c>
      <c r="Q170" s="2"/>
      <c r="R170" s="2" t="s">
        <v>3970</v>
      </c>
      <c r="S170" s="2" t="s">
        <v>37</v>
      </c>
      <c r="T170" s="2" t="s">
        <v>37</v>
      </c>
      <c r="U170" s="2" t="s">
        <v>116</v>
      </c>
      <c r="V170" s="3">
        <v>46006</v>
      </c>
      <c r="W170" s="2" t="s">
        <v>135</v>
      </c>
      <c r="X170" s="2" t="str">
        <f t="shared" si="8"/>
        <v>Jirón Carlos A. Salaverry N° 3841, Los Olivos, Lima, Lima, Perú</v>
      </c>
      <c r="Y170" s="22">
        <v>-11.989782999999999</v>
      </c>
      <c r="Z170" s="22">
        <v>-77.065297000000001</v>
      </c>
      <c r="AA170" s="33">
        <f t="shared" si="9"/>
        <v>17.989999999999998</v>
      </c>
      <c r="AB170" s="2" t="str">
        <f t="shared" si="10"/>
        <v>🟠 Moderada (10-20 km)</v>
      </c>
      <c r="AC170" s="2" t="str" cm="1">
        <f t="array" ref="AC170">INDEX(PARADEROS_VALIDOS!$C$2:$C$68,MATCH(MIN(6371*ACOS(COS(RADIANS(Y170))*COS(RADIANS(PARADEROS_VALIDOS!$E$2:$E$68))*COS(RADIANS(PARADEROS_VALIDOS!$F$2:$F$68)-RADIANS(Z170))+SIN(RADIANS(Y170))*SIN(RADIANS(PARADEROS_VALIDOS!$E$2:$E$68)))),6371*ACOS(COS(RADIANS(Y170))*COS(RADIANS(PARADEROS_VALIDOS!$E$2:$E$68))*COS(RADIANS(PARADEROS_VALIDOS!$F$2:$F$68)-RADIANS(Z170))+SIN(RADIANS(Y170))*SIN(RADIANS(PARADEROS_VALIDOS!$E$2:$E$68))),0))</f>
        <v>Paradero Metro Eyzaguirre</v>
      </c>
      <c r="AD170" s="2" t="str">
        <f>IFERROR(INDEX(PARADEROS_VALIDOS!$A$2:$A$68,MATCH(AC170,PARADEROS_VALIDOS!$C$2:$C$68,0)),"")</f>
        <v>RUTA 8</v>
      </c>
      <c r="AE170" s="33" cm="1">
        <f t="array" ref="AE170">ROUND(MIN(6371*ACOS(COS(RADIANS(Y170))*COS(RADIANS(PARADEROS_VALIDOS!$E$2:$E$68))*COS(RADIANS(PARADEROS_VALIDOS!$F$2:$F$68)-RADIANS(Z170))+SIN(RADIANS(Y170))*SIN(RADIANS(PARADEROS_VALIDOS!$E$2:$E$68)))),2)</f>
        <v>0.28000000000000003</v>
      </c>
      <c r="AF170" s="2" t="str">
        <f t="shared" si="11"/>
        <v>🟢 Muy Cerca (0-1 km)</v>
      </c>
      <c r="AG170" s="2"/>
      <c r="AH170" s="2"/>
      <c r="AI170" s="51">
        <v>-11.997563</v>
      </c>
      <c r="AJ170" s="51">
        <v>-76.900062000000005</v>
      </c>
      <c r="AK170" s="2" t="str">
        <f>IFERROR(VLOOKUP(H170,tdcargo[],2,FALSE),"DESCONOCIDO")</f>
        <v>STAFF</v>
      </c>
    </row>
    <row r="171" spans="1:37" x14ac:dyDescent="0.35">
      <c r="A171" s="2" t="s">
        <v>3971</v>
      </c>
      <c r="B171" s="2" t="s">
        <v>3972</v>
      </c>
      <c r="C171" s="2" t="s">
        <v>1479</v>
      </c>
      <c r="D171" s="2" t="s">
        <v>771</v>
      </c>
      <c r="E171" s="2">
        <v>20</v>
      </c>
      <c r="F171" s="2" t="s">
        <v>3255</v>
      </c>
      <c r="G171" s="2">
        <v>20514709</v>
      </c>
      <c r="H171" s="2" t="s">
        <v>1971</v>
      </c>
      <c r="I171" s="3">
        <v>46083</v>
      </c>
      <c r="J171" s="2" t="s">
        <v>31</v>
      </c>
      <c r="K171" s="3" t="s">
        <v>1968</v>
      </c>
      <c r="L171" s="2" t="s">
        <v>3299</v>
      </c>
      <c r="M171" s="2" t="s">
        <v>3300</v>
      </c>
      <c r="N171" s="2" t="s">
        <v>36</v>
      </c>
      <c r="O171" s="2" t="s">
        <v>3973</v>
      </c>
      <c r="P171" s="2" t="s">
        <v>36</v>
      </c>
      <c r="Q171" s="2" t="s">
        <v>3974</v>
      </c>
      <c r="R171" s="2" t="s">
        <v>3442</v>
      </c>
      <c r="S171" s="2" t="s">
        <v>37</v>
      </c>
      <c r="T171" s="2" t="s">
        <v>37</v>
      </c>
      <c r="U171" s="2" t="s">
        <v>47</v>
      </c>
      <c r="V171" s="3">
        <v>46083</v>
      </c>
      <c r="W171" s="2" t="s">
        <v>135</v>
      </c>
      <c r="X171" s="2" t="str">
        <f t="shared" si="8"/>
        <v>Virgen De Chapi VIRGEN DE CHAPI, Puente Piedra, Lima, Lima, Perú</v>
      </c>
      <c r="Y171" s="22">
        <v>-11.885047</v>
      </c>
      <c r="Z171" s="22">
        <v>-77.061543</v>
      </c>
      <c r="AA171" s="33">
        <f t="shared" si="9"/>
        <v>21.57</v>
      </c>
      <c r="AB171" s="2" t="str">
        <f t="shared" si="10"/>
        <v>🔴 Lejos (&gt;20 km)</v>
      </c>
      <c r="AC171" s="2" t="str" cm="1">
        <f t="array" ref="AC171">INDEX(PARADEROS_VALIDOS!$C$2:$C$68,MATCH(MIN(6371*ACOS(COS(RADIANS(Y171))*COS(RADIANS(PARADEROS_VALIDOS!$E$2:$E$68))*COS(RADIANS(PARADEROS_VALIDOS!$F$2:$F$68)-RADIANS(Z171))+SIN(RADIANS(Y171))*SIN(RADIANS(PARADEROS_VALIDOS!$E$2:$E$68)))),6371*ACOS(COS(RADIANS(Y171))*COS(RADIANS(PARADEROS_VALIDOS!$E$2:$E$68))*COS(RADIANS(PARADEROS_VALIDOS!$F$2:$F$68)-RADIANS(Z171))+SIN(RADIANS(Y171))*SIN(RADIANS(PARADEROS_VALIDOS!$E$2:$E$68))),0))</f>
        <v>Av. Metropolitana con Cultura</v>
      </c>
      <c r="AD171" s="2" t="str">
        <f>IFERROR(INDEX(PARADEROS_VALIDOS!$A$2:$A$68,MATCH(AC171,PARADEROS_VALIDOS!$C$2:$C$68,0)),"")</f>
        <v>RUTA 4A</v>
      </c>
      <c r="AE171" s="33" cm="1">
        <f t="array" ref="AE171">ROUND(MIN(6371*ACOS(COS(RADIANS(Y171))*COS(RADIANS(PARADEROS_VALIDOS!$E$2:$E$68))*COS(RADIANS(PARADEROS_VALIDOS!$F$2:$F$68)-RADIANS(Z171))+SIN(RADIANS(Y171))*SIN(RADIANS(PARADEROS_VALIDOS!$E$2:$E$68)))),2)</f>
        <v>7.55</v>
      </c>
      <c r="AF171" s="2" t="str">
        <f t="shared" si="11"/>
        <v>🔴 Lejos (&gt;5 km)</v>
      </c>
      <c r="AG171" s="2"/>
      <c r="AH171" s="2"/>
      <c r="AI171" s="51">
        <v>-11.997563</v>
      </c>
      <c r="AJ171" s="51">
        <v>-76.900062000000005</v>
      </c>
      <c r="AK171" s="2" t="str">
        <f>IFERROR(VLOOKUP(H171,tdcargo[],2,FALSE),"DESCONOCIDO")</f>
        <v>OPERARIO</v>
      </c>
    </row>
    <row r="172" spans="1:37" x14ac:dyDescent="0.35">
      <c r="A172" s="2" t="s">
        <v>3975</v>
      </c>
      <c r="B172" s="2" t="s">
        <v>3976</v>
      </c>
      <c r="C172" s="2" t="s">
        <v>1229</v>
      </c>
      <c r="D172" s="2" t="s">
        <v>3977</v>
      </c>
      <c r="E172" s="2">
        <v>33</v>
      </c>
      <c r="F172" s="2" t="s">
        <v>3255</v>
      </c>
      <c r="G172" s="2">
        <v>20508140</v>
      </c>
      <c r="H172" s="2" t="s">
        <v>1971</v>
      </c>
      <c r="I172" s="3">
        <v>46083</v>
      </c>
      <c r="J172" s="2" t="s">
        <v>31</v>
      </c>
      <c r="K172" s="3" t="s">
        <v>1968</v>
      </c>
      <c r="L172" s="2" t="s">
        <v>3732</v>
      </c>
      <c r="M172" s="2" t="s">
        <v>3292</v>
      </c>
      <c r="N172" s="2" t="s">
        <v>34</v>
      </c>
      <c r="O172" s="2" t="s">
        <v>1778</v>
      </c>
      <c r="P172" s="2" t="s">
        <v>36</v>
      </c>
      <c r="Q172" s="2" t="s">
        <v>3978</v>
      </c>
      <c r="R172" s="2" t="s">
        <v>3274</v>
      </c>
      <c r="S172" s="2" t="s">
        <v>37</v>
      </c>
      <c r="T172" s="2" t="s">
        <v>37</v>
      </c>
      <c r="U172" s="2" t="s">
        <v>76</v>
      </c>
      <c r="V172" s="3">
        <v>46083</v>
      </c>
      <c r="W172" s="2" t="s">
        <v>135</v>
      </c>
      <c r="X172" s="2" t="str">
        <f t="shared" si="8"/>
        <v>Avenida Los Incas SAN ANTONIO, Lurigancho, Lima, Lima, Perú</v>
      </c>
      <c r="Y172" s="22">
        <v>-11.914440600000001</v>
      </c>
      <c r="Z172" s="22">
        <v>-77.049024599999996</v>
      </c>
      <c r="AA172" s="33">
        <f t="shared" si="9"/>
        <v>18.66</v>
      </c>
      <c r="AB172" s="2" t="str">
        <f t="shared" si="10"/>
        <v>🟠 Moderada (10-20 km)</v>
      </c>
      <c r="AC172" s="2" t="str" cm="1">
        <f t="array" ref="AC172">INDEX(PARADEROS_VALIDOS!$C$2:$C$68,MATCH(MIN(6371*ACOS(COS(RADIANS(Y172))*COS(RADIANS(PARADEROS_VALIDOS!$E$2:$E$68))*COS(RADIANS(PARADEROS_VALIDOS!$F$2:$F$68)-RADIANS(Z172))+SIN(RADIANS(Y172))*SIN(RADIANS(PARADEROS_VALIDOS!$E$2:$E$68)))),6371*ACOS(COS(RADIANS(Y172))*COS(RADIANS(PARADEROS_VALIDOS!$E$2:$E$68))*COS(RADIANS(PARADEROS_VALIDOS!$F$2:$F$68)-RADIANS(Z172))+SIN(RADIANS(Y172))*SIN(RADIANS(PARADEROS_VALIDOS!$E$2:$E$68))),0))</f>
        <v>Av. Metropolitana con Cultura</v>
      </c>
      <c r="AD172" s="2" t="str">
        <f>IFERROR(INDEX(PARADEROS_VALIDOS!$A$2:$A$68,MATCH(AC172,PARADEROS_VALIDOS!$C$2:$C$68,0)),"")</f>
        <v>RUTA 4A</v>
      </c>
      <c r="AE172" s="33" cm="1">
        <f t="array" ref="AE172">ROUND(MIN(6371*ACOS(COS(RADIANS(Y172))*COS(RADIANS(PARADEROS_VALIDOS!$E$2:$E$68))*COS(RADIANS(PARADEROS_VALIDOS!$F$2:$F$68)-RADIANS(Z172))+SIN(RADIANS(Y172))*SIN(RADIANS(PARADEROS_VALIDOS!$E$2:$E$68)))),2)</f>
        <v>4.5999999999999996</v>
      </c>
      <c r="AF172" s="2" t="str">
        <f t="shared" si="11"/>
        <v>🟠 Moderada (3-5 km)</v>
      </c>
      <c r="AG172" s="2"/>
      <c r="AH172" s="2"/>
      <c r="AI172" s="51">
        <v>-11.997563</v>
      </c>
      <c r="AJ172" s="51">
        <v>-76.900062000000005</v>
      </c>
      <c r="AK172" s="2" t="str">
        <f>IFERROR(VLOOKUP(H172,tdcargo[],2,FALSE),"DESCONOCIDO")</f>
        <v>OPERARIO</v>
      </c>
    </row>
    <row r="173" spans="1:37" x14ac:dyDescent="0.35">
      <c r="A173" s="2" t="s">
        <v>3979</v>
      </c>
      <c r="B173" s="2" t="s">
        <v>3980</v>
      </c>
      <c r="C173" s="2" t="s">
        <v>3981</v>
      </c>
      <c r="D173" s="2" t="s">
        <v>3525</v>
      </c>
      <c r="E173" s="2">
        <v>22</v>
      </c>
      <c r="F173" s="2" t="s">
        <v>3255</v>
      </c>
      <c r="G173" s="2">
        <v>20508064</v>
      </c>
      <c r="H173" s="2" t="s">
        <v>1971</v>
      </c>
      <c r="I173" s="3">
        <v>46034</v>
      </c>
      <c r="J173" s="2" t="s">
        <v>31</v>
      </c>
      <c r="K173" s="3" t="s">
        <v>1968</v>
      </c>
      <c r="L173" s="2" t="s">
        <v>3299</v>
      </c>
      <c r="M173" s="2" t="s">
        <v>3300</v>
      </c>
      <c r="N173" s="2" t="s">
        <v>34</v>
      </c>
      <c r="O173" s="2" t="s">
        <v>3982</v>
      </c>
      <c r="P173" s="2" t="s">
        <v>36</v>
      </c>
      <c r="Q173" s="2" t="s">
        <v>1968</v>
      </c>
      <c r="R173" s="2" t="s">
        <v>3260</v>
      </c>
      <c r="S173" s="2" t="s">
        <v>37</v>
      </c>
      <c r="T173" s="2" t="s">
        <v>37</v>
      </c>
      <c r="U173" s="2" t="s">
        <v>38</v>
      </c>
      <c r="V173" s="3">
        <v>46034</v>
      </c>
      <c r="W173" s="2" t="s">
        <v>135</v>
      </c>
      <c r="X173" s="2" t="str">
        <f t="shared" si="8"/>
        <v>Avenida Av Heroes Del Cenepa, San Juan De Lurigancho, Lima, Lima, Perú</v>
      </c>
      <c r="Y173" s="22">
        <v>-11.963388</v>
      </c>
      <c r="Z173" s="22">
        <v>-76.979743600000006</v>
      </c>
      <c r="AA173" s="33">
        <f t="shared" si="9"/>
        <v>9.4600000000000009</v>
      </c>
      <c r="AB173" s="2" t="str">
        <f t="shared" si="10"/>
        <v>🟡 Cerca (5-10 km)</v>
      </c>
      <c r="AC173" s="2" t="str" cm="1">
        <f t="array" ref="AC173">INDEX(PARADEROS_VALIDOS!$C$2:$C$68,MATCH(MIN(6371*ACOS(COS(RADIANS(Y173))*COS(RADIANS(PARADEROS_VALIDOS!$E$2:$E$68))*COS(RADIANS(PARADEROS_VALIDOS!$F$2:$F$68)-RADIANS(Z173))+SIN(RADIANS(Y173))*SIN(RADIANS(PARADEROS_VALIDOS!$E$2:$E$68)))),6371*ACOS(COS(RADIANS(Y173))*COS(RADIANS(PARADEROS_VALIDOS!$E$2:$E$68))*COS(RADIANS(PARADEROS_VALIDOS!$F$2:$F$68)-RADIANS(Z173))+SIN(RADIANS(Y173))*SIN(RADIANS(PARADEROS_VALIDOS!$E$2:$E$68))),0))</f>
        <v>Paradero San Martin</v>
      </c>
      <c r="AD173" s="2" t="str">
        <f>IFERROR(INDEX(PARADEROS_VALIDOS!$A$2:$A$68,MATCH(AC173,PARADEROS_VALIDOS!$C$2:$C$68,0)),"")</f>
        <v>RUTA 6A</v>
      </c>
      <c r="AE173" s="33" cm="1">
        <f t="array" ref="AE173">ROUND(MIN(6371*ACOS(COS(RADIANS(Y173))*COS(RADIANS(PARADEROS_VALIDOS!$E$2:$E$68))*COS(RADIANS(PARADEROS_VALIDOS!$F$2:$F$68)-RADIANS(Z173))+SIN(RADIANS(Y173))*SIN(RADIANS(PARADEROS_VALIDOS!$E$2:$E$68)))),2)</f>
        <v>2.57</v>
      </c>
      <c r="AF173" s="2" t="str">
        <f t="shared" si="11"/>
        <v>🟡 Cerca (1-3 km)</v>
      </c>
      <c r="AG173" s="2"/>
      <c r="AH173" s="2"/>
      <c r="AI173" s="51">
        <v>-11.997563</v>
      </c>
      <c r="AJ173" s="51">
        <v>-76.900062000000005</v>
      </c>
      <c r="AK173" s="2" t="str">
        <f>IFERROR(VLOOKUP(H173,tdcargo[],2,FALSE),"DESCONOCIDO")</f>
        <v>OPERARIO</v>
      </c>
    </row>
    <row r="174" spans="1:37" x14ac:dyDescent="0.35">
      <c r="A174" s="2" t="s">
        <v>3983</v>
      </c>
      <c r="B174" s="2" t="s">
        <v>3984</v>
      </c>
      <c r="C174" s="2" t="s">
        <v>1088</v>
      </c>
      <c r="D174" s="2" t="s">
        <v>467</v>
      </c>
      <c r="E174" s="2">
        <v>18</v>
      </c>
      <c r="F174" s="2" t="s">
        <v>3255</v>
      </c>
      <c r="G174" s="2">
        <v>20514482</v>
      </c>
      <c r="H174" s="2" t="s">
        <v>1971</v>
      </c>
      <c r="I174" s="3">
        <v>46090</v>
      </c>
      <c r="J174" s="2" t="s">
        <v>31</v>
      </c>
      <c r="K174" s="3" t="s">
        <v>1968</v>
      </c>
      <c r="L174" s="2" t="s">
        <v>3299</v>
      </c>
      <c r="M174" s="2" t="s">
        <v>3300</v>
      </c>
      <c r="N174" s="2" t="s">
        <v>34</v>
      </c>
      <c r="O174" s="2" t="s">
        <v>3985</v>
      </c>
      <c r="P174" s="2" t="s">
        <v>36</v>
      </c>
      <c r="Q174" s="2" t="s">
        <v>3986</v>
      </c>
      <c r="R174" s="2" t="s">
        <v>3267</v>
      </c>
      <c r="S174" s="2" t="s">
        <v>37</v>
      </c>
      <c r="T174" s="2" t="s">
        <v>37</v>
      </c>
      <c r="U174" s="2" t="s">
        <v>1505</v>
      </c>
      <c r="V174" s="3">
        <v>46090</v>
      </c>
      <c r="W174" s="2" t="s">
        <v>135</v>
      </c>
      <c r="X174" s="2" t="str">
        <f t="shared" si="8"/>
        <v>Avenida Av Sna Jose 11 AAHH, Villa Maria Del Triunfo, Lima, Lima, Perú</v>
      </c>
      <c r="Y174" s="22">
        <v>-12.1604502</v>
      </c>
      <c r="Z174" s="22">
        <v>-76.943917799999994</v>
      </c>
      <c r="AA174" s="33">
        <f t="shared" si="9"/>
        <v>18.73</v>
      </c>
      <c r="AB174" s="2" t="str">
        <f t="shared" si="10"/>
        <v>🟠 Moderada (10-20 km)</v>
      </c>
      <c r="AC174" s="2" t="str" cm="1">
        <f t="array" ref="AC174">INDEX(PARADEROS_VALIDOS!$C$2:$C$68,MATCH(MIN(6371*ACOS(COS(RADIANS(Y174))*COS(RADIANS(PARADEROS_VALIDOS!$E$2:$E$68))*COS(RADIANS(PARADEROS_VALIDOS!$F$2:$F$68)-RADIANS(Z174))+SIN(RADIANS(Y174))*SIN(RADIANS(PARADEROS_VALIDOS!$E$2:$E$68)))),6371*ACOS(COS(RADIANS(Y174))*COS(RADIANS(PARADEROS_VALIDOS!$E$2:$E$68))*COS(RADIANS(PARADEROS_VALIDOS!$F$2:$F$68)-RADIANS(Z174))+SIN(RADIANS(Y174))*SIN(RADIANS(PARADEROS_VALIDOS!$E$2:$E$68))),0))</f>
        <v>Paradero San Juan</v>
      </c>
      <c r="AD174" s="2" t="str">
        <f>IFERROR(INDEX(PARADEROS_VALIDOS!$A$2:$A$68,MATCH(AC174,PARADEROS_VALIDOS!$C$2:$C$68,0)),"")</f>
        <v>RUTA 5B</v>
      </c>
      <c r="AE174" s="33" cm="1">
        <f t="array" ref="AE174">ROUND(MIN(6371*ACOS(COS(RADIANS(Y174))*COS(RADIANS(PARADEROS_VALIDOS!$E$2:$E$68))*COS(RADIANS(PARADEROS_VALIDOS!$F$2:$F$68)-RADIANS(Z174))+SIN(RADIANS(Y174))*SIN(RADIANS(PARADEROS_VALIDOS!$E$2:$E$68)))),2)</f>
        <v>3.39</v>
      </c>
      <c r="AF174" s="2" t="str">
        <f t="shared" si="11"/>
        <v>🟠 Moderada (3-5 km)</v>
      </c>
      <c r="AG174" s="2"/>
      <c r="AH174" s="2"/>
      <c r="AI174" s="51">
        <v>-11.997563</v>
      </c>
      <c r="AJ174" s="51">
        <v>-76.900062000000005</v>
      </c>
      <c r="AK174" s="2" t="str">
        <f>IFERROR(VLOOKUP(H174,tdcargo[],2,FALSE),"DESCONOCIDO")</f>
        <v>OPERARIO</v>
      </c>
    </row>
    <row r="175" spans="1:37" x14ac:dyDescent="0.35">
      <c r="A175" s="2" t="s">
        <v>3987</v>
      </c>
      <c r="B175" s="2" t="s">
        <v>3988</v>
      </c>
      <c r="C175" s="2" t="s">
        <v>3989</v>
      </c>
      <c r="D175" s="2" t="s">
        <v>3990</v>
      </c>
      <c r="E175" s="2">
        <v>25</v>
      </c>
      <c r="F175" s="2" t="s">
        <v>3255</v>
      </c>
      <c r="G175" s="2">
        <v>20511208</v>
      </c>
      <c r="H175" s="2" t="s">
        <v>1971</v>
      </c>
      <c r="I175" s="3">
        <v>46034</v>
      </c>
      <c r="J175" s="2" t="s">
        <v>31</v>
      </c>
      <c r="K175" s="3" t="s">
        <v>1968</v>
      </c>
      <c r="L175" s="2" t="s">
        <v>3256</v>
      </c>
      <c r="M175" s="2" t="s">
        <v>3257</v>
      </c>
      <c r="N175" s="2" t="s">
        <v>82</v>
      </c>
      <c r="O175" s="2" t="s">
        <v>3991</v>
      </c>
      <c r="P175" s="2" t="s">
        <v>36</v>
      </c>
      <c r="Q175" s="2" t="s">
        <v>1968</v>
      </c>
      <c r="R175" s="2" t="s">
        <v>3291</v>
      </c>
      <c r="S175" s="2" t="s">
        <v>37</v>
      </c>
      <c r="T175" s="2" t="s">
        <v>37</v>
      </c>
      <c r="U175" s="2" t="s">
        <v>57</v>
      </c>
      <c r="V175" s="3">
        <v>46034</v>
      </c>
      <c r="W175" s="2" t="s">
        <v>135</v>
      </c>
      <c r="X175" s="2" t="str">
        <f t="shared" si="8"/>
        <v>Calle La Cruz De Huachipa, Ate, Lima, Lima, Perú</v>
      </c>
      <c r="Y175" s="22">
        <v>-12.0001087</v>
      </c>
      <c r="Z175" s="22">
        <v>-76.932256499999994</v>
      </c>
      <c r="AA175" s="33">
        <f t="shared" si="9"/>
        <v>3.51</v>
      </c>
      <c r="AB175" s="2" t="str">
        <f t="shared" si="10"/>
        <v>🟢 Muy Cerca (0-5 km)</v>
      </c>
      <c r="AC175" s="2" t="str" cm="1">
        <f t="array" ref="AC175">INDEX(PARADEROS_VALIDOS!$C$2:$C$68,MATCH(MIN(6371*ACOS(COS(RADIANS(Y175))*COS(RADIANS(PARADEROS_VALIDOS!$E$2:$E$68))*COS(RADIANS(PARADEROS_VALIDOS!$F$2:$F$68)-RADIANS(Z175))+SIN(RADIANS(Y175))*SIN(RADIANS(PARADEROS_VALIDOS!$E$2:$E$68)))),6371*ACOS(COS(RADIANS(Y175))*COS(RADIANS(PARADEROS_VALIDOS!$E$2:$E$68))*COS(RADIANS(PARADEROS_VALIDOS!$F$2:$F$68)-RADIANS(Z175))+SIN(RADIANS(Y175))*SIN(RADIANS(PARADEROS_VALIDOS!$E$2:$E$68))),0))</f>
        <v>Estadio Huachipa</v>
      </c>
      <c r="AD175" s="2" t="str">
        <f>IFERROR(INDEX(PARADEROS_VALIDOS!$A$2:$A$68,MATCH(AC175,PARADEROS_VALIDOS!$C$2:$C$68,0)),"")</f>
        <v>RUTA 5C</v>
      </c>
      <c r="AE175" s="33" cm="1">
        <f t="array" ref="AE175">ROUND(MIN(6371*ACOS(COS(RADIANS(Y175))*COS(RADIANS(PARADEROS_VALIDOS!$E$2:$E$68))*COS(RADIANS(PARADEROS_VALIDOS!$F$2:$F$68)-RADIANS(Z175))+SIN(RADIANS(Y175))*SIN(RADIANS(PARADEROS_VALIDOS!$E$2:$E$68)))),2)</f>
        <v>2.33</v>
      </c>
      <c r="AF175" s="2" t="str">
        <f t="shared" si="11"/>
        <v>🟡 Cerca (1-3 km)</v>
      </c>
      <c r="AG175" s="2"/>
      <c r="AH175" s="2"/>
      <c r="AI175" s="51">
        <v>-11.997563</v>
      </c>
      <c r="AJ175" s="51">
        <v>-76.900062000000005</v>
      </c>
      <c r="AK175" s="2" t="str">
        <f>IFERROR(VLOOKUP(H175,tdcargo[],2,FALSE),"DESCONOCIDO")</f>
        <v>OPERARIO</v>
      </c>
    </row>
    <row r="176" spans="1:37" x14ac:dyDescent="0.35">
      <c r="A176" s="2" t="s">
        <v>3992</v>
      </c>
      <c r="B176" s="2" t="s">
        <v>3993</v>
      </c>
      <c r="C176" s="2" t="s">
        <v>213</v>
      </c>
      <c r="D176" s="2" t="s">
        <v>653</v>
      </c>
      <c r="E176" s="2">
        <v>22</v>
      </c>
      <c r="F176" s="2" t="s">
        <v>3255</v>
      </c>
      <c r="G176" s="2">
        <v>20508045</v>
      </c>
      <c r="H176" s="2" t="s">
        <v>1971</v>
      </c>
      <c r="I176" s="3">
        <v>45978</v>
      </c>
      <c r="J176" s="2" t="s">
        <v>31</v>
      </c>
      <c r="K176" s="3" t="s">
        <v>1968</v>
      </c>
      <c r="L176" s="2" t="s">
        <v>3278</v>
      </c>
      <c r="M176" s="2" t="s">
        <v>3279</v>
      </c>
      <c r="N176" s="2" t="s">
        <v>34</v>
      </c>
      <c r="O176" s="2" t="s">
        <v>3994</v>
      </c>
      <c r="P176" s="2" t="s">
        <v>36</v>
      </c>
      <c r="Q176" s="2" t="s">
        <v>1402</v>
      </c>
      <c r="R176" s="2" t="s">
        <v>3291</v>
      </c>
      <c r="S176" s="2" t="s">
        <v>37</v>
      </c>
      <c r="T176" s="2" t="s">
        <v>37</v>
      </c>
      <c r="U176" s="2" t="s">
        <v>57</v>
      </c>
      <c r="V176" s="3">
        <v>45978</v>
      </c>
      <c r="W176" s="2" t="s">
        <v>135</v>
      </c>
      <c r="X176" s="2" t="str">
        <f t="shared" si="8"/>
        <v>Avenida Esperanza Con Nicaragua Mzh Lt 9 Las Americas, Ate, Lima, Lima, Perú</v>
      </c>
      <c r="Y176" s="22">
        <v>-12.034705000000001</v>
      </c>
      <c r="Z176" s="22">
        <v>-76.904652400000003</v>
      </c>
      <c r="AA176" s="33">
        <f t="shared" si="9"/>
        <v>4.16</v>
      </c>
      <c r="AB176" s="2" t="str">
        <f t="shared" si="10"/>
        <v>🟢 Muy Cerca (0-5 km)</v>
      </c>
      <c r="AC176" s="2" t="str" cm="1">
        <f t="array" ref="AC176">INDEX(PARADEROS_VALIDOS!$C$2:$C$68,MATCH(MIN(6371*ACOS(COS(RADIANS(Y176))*COS(RADIANS(PARADEROS_VALIDOS!$E$2:$E$68))*COS(RADIANS(PARADEROS_VALIDOS!$F$2:$F$68)-RADIANS(Z176))+SIN(RADIANS(Y176))*SIN(RADIANS(PARADEROS_VALIDOS!$E$2:$E$68)))),6371*ACOS(COS(RADIANS(Y176))*COS(RADIANS(PARADEROS_VALIDOS!$E$2:$E$68))*COS(RADIANS(PARADEROS_VALIDOS!$F$2:$F$68)-RADIANS(Z176))+SIN(RADIANS(Y176))*SIN(RADIANS(PARADEROS_VALIDOS!$E$2:$E$68))),0))</f>
        <v>Paradero Esperanza</v>
      </c>
      <c r="AD176" s="2" t="str">
        <f>IFERROR(INDEX(PARADEROS_VALIDOS!$A$2:$A$68,MATCH(AC176,PARADEROS_VALIDOS!$C$2:$C$68,0)),"")</f>
        <v>RUTA 4B</v>
      </c>
      <c r="AE176" s="33" cm="1">
        <f t="array" ref="AE176">ROUND(MIN(6371*ACOS(COS(RADIANS(Y176))*COS(RADIANS(PARADEROS_VALIDOS!$E$2:$E$68))*COS(RADIANS(PARADEROS_VALIDOS!$F$2:$F$68)-RADIANS(Z176))+SIN(RADIANS(Y176))*SIN(RADIANS(PARADEROS_VALIDOS!$E$2:$E$68)))),2)</f>
        <v>1.46</v>
      </c>
      <c r="AF176" s="2" t="str">
        <f t="shared" si="11"/>
        <v>🟡 Cerca (1-3 km)</v>
      </c>
      <c r="AG176" s="2"/>
      <c r="AH176" s="2"/>
      <c r="AI176" s="51">
        <v>-11.997563</v>
      </c>
      <c r="AJ176" s="51">
        <v>-76.900062000000005</v>
      </c>
      <c r="AK176" s="2" t="str">
        <f>IFERROR(VLOOKUP(H176,tdcargo[],2,FALSE),"DESCONOCIDO")</f>
        <v>OPERARIO</v>
      </c>
    </row>
    <row r="177" spans="1:37" x14ac:dyDescent="0.35">
      <c r="A177" s="2" t="s">
        <v>3995</v>
      </c>
      <c r="B177" s="2" t="s">
        <v>3996</v>
      </c>
      <c r="C177" s="2" t="s">
        <v>3997</v>
      </c>
      <c r="D177" s="2" t="s">
        <v>343</v>
      </c>
      <c r="E177" s="2">
        <v>20</v>
      </c>
      <c r="F177" s="2" t="s">
        <v>3255</v>
      </c>
      <c r="G177" s="2">
        <v>20515806</v>
      </c>
      <c r="H177" s="2" t="s">
        <v>1971</v>
      </c>
      <c r="I177" s="3">
        <v>46062</v>
      </c>
      <c r="J177" s="2" t="s">
        <v>31</v>
      </c>
      <c r="K177" s="3" t="s">
        <v>1968</v>
      </c>
      <c r="L177" s="2" t="s">
        <v>3256</v>
      </c>
      <c r="M177" s="2" t="s">
        <v>3257</v>
      </c>
      <c r="N177" s="2" t="s">
        <v>82</v>
      </c>
      <c r="O177" s="2" t="s">
        <v>3998</v>
      </c>
      <c r="P177" s="2" t="s">
        <v>36</v>
      </c>
      <c r="Q177" s="2" t="s">
        <v>3999</v>
      </c>
      <c r="R177" s="2" t="s">
        <v>3291</v>
      </c>
      <c r="S177" s="2" t="s">
        <v>37</v>
      </c>
      <c r="T177" s="2" t="s">
        <v>37</v>
      </c>
      <c r="U177" s="2" t="s">
        <v>57</v>
      </c>
      <c r="V177" s="3">
        <v>46062</v>
      </c>
      <c r="W177" s="2" t="s">
        <v>135</v>
      </c>
      <c r="X177" s="2" t="str">
        <f t="shared" si="8"/>
        <v>Calle Vulcano 27 DE ABRIL, Ate, Lima, Lima, Perú</v>
      </c>
      <c r="Y177" s="22">
        <v>-12.057301600000001</v>
      </c>
      <c r="Z177" s="22">
        <v>-76.956923000000003</v>
      </c>
      <c r="AA177" s="33">
        <f t="shared" si="9"/>
        <v>9.08</v>
      </c>
      <c r="AB177" s="2" t="str">
        <f t="shared" si="10"/>
        <v>🟡 Cerca (5-10 km)</v>
      </c>
      <c r="AC177" s="2" t="str" cm="1">
        <f t="array" ref="AC177">INDEX(PARADEROS_VALIDOS!$C$2:$C$68,MATCH(MIN(6371*ACOS(COS(RADIANS(Y177))*COS(RADIANS(PARADEROS_VALIDOS!$E$2:$E$68))*COS(RADIANS(PARADEROS_VALIDOS!$F$2:$F$68)-RADIANS(Z177))+SIN(RADIANS(Y177))*SIN(RADIANS(PARADEROS_VALIDOS!$E$2:$E$68)))),6371*ACOS(COS(RADIANS(Y177))*COS(RADIANS(PARADEROS_VALIDOS!$E$2:$E$68))*COS(RADIANS(PARADEROS_VALIDOS!$F$2:$F$68)-RADIANS(Z177))+SIN(RADIANS(Y177))*SIN(RADIANS(PARADEROS_VALIDOS!$E$2:$E$68))),0))</f>
        <v>Pte. Prialé (solo aplica para la salida)</v>
      </c>
      <c r="AD177" s="2" t="str">
        <f>IFERROR(INDEX(PARADEROS_VALIDOS!$A$2:$A$68,MATCH(AC177,PARADEROS_VALIDOS!$C$2:$C$68,0)),"")</f>
        <v>RUTA 7</v>
      </c>
      <c r="AE177" s="33" cm="1">
        <f t="array" ref="AE177">ROUND(MIN(6371*ACOS(COS(RADIANS(Y177))*COS(RADIANS(PARADEROS_VALIDOS!$E$2:$E$68))*COS(RADIANS(PARADEROS_VALIDOS!$F$2:$F$68)-RADIANS(Z177))+SIN(RADIANS(Y177))*SIN(RADIANS(PARADEROS_VALIDOS!$E$2:$E$68)))),2)</f>
        <v>0.44</v>
      </c>
      <c r="AF177" s="2" t="str">
        <f t="shared" si="11"/>
        <v>🟢 Muy Cerca (0-1 km)</v>
      </c>
      <c r="AG177" s="2"/>
      <c r="AH177" s="2"/>
      <c r="AI177" s="51">
        <v>-11.997563</v>
      </c>
      <c r="AJ177" s="51">
        <v>-76.900062000000005</v>
      </c>
      <c r="AK177" s="2" t="str">
        <f>IFERROR(VLOOKUP(H177,tdcargo[],2,FALSE),"DESCONOCIDO")</f>
        <v>OPERARIO</v>
      </c>
    </row>
    <row r="178" spans="1:37" x14ac:dyDescent="0.35">
      <c r="A178" s="2" t="s">
        <v>4000</v>
      </c>
      <c r="B178" s="2" t="s">
        <v>4001</v>
      </c>
      <c r="C178" s="2" t="s">
        <v>273</v>
      </c>
      <c r="D178" s="2" t="s">
        <v>1000</v>
      </c>
      <c r="E178" s="2">
        <v>20</v>
      </c>
      <c r="F178" s="2" t="s">
        <v>3255</v>
      </c>
      <c r="G178" s="2">
        <v>20508072</v>
      </c>
      <c r="H178" s="2" t="s">
        <v>1971</v>
      </c>
      <c r="I178" s="3">
        <v>45996</v>
      </c>
      <c r="J178" s="2" t="s">
        <v>31</v>
      </c>
      <c r="K178" s="3" t="s">
        <v>1968</v>
      </c>
      <c r="L178" s="2" t="s">
        <v>3299</v>
      </c>
      <c r="M178" s="2" t="s">
        <v>3300</v>
      </c>
      <c r="N178" s="2" t="s">
        <v>36</v>
      </c>
      <c r="O178" s="2" t="s">
        <v>995</v>
      </c>
      <c r="P178" s="2" t="s">
        <v>36</v>
      </c>
      <c r="Q178" s="2" t="s">
        <v>995</v>
      </c>
      <c r="R178" s="2" t="s">
        <v>3291</v>
      </c>
      <c r="S178" s="2" t="s">
        <v>37</v>
      </c>
      <c r="T178" s="2" t="s">
        <v>37</v>
      </c>
      <c r="U178" s="2" t="s">
        <v>57</v>
      </c>
      <c r="V178" s="3">
        <v>45996</v>
      </c>
      <c r="W178" s="2" t="s">
        <v>135</v>
      </c>
      <c r="X178" s="2" t="str">
        <f t="shared" si="8"/>
        <v>Horacio Zeballos Horacio Zeballos, Ate, Lima, Lima, Perú</v>
      </c>
      <c r="Y178" s="22">
        <v>-12.008354000000001</v>
      </c>
      <c r="Z178" s="22">
        <v>-76.8420196</v>
      </c>
      <c r="AA178" s="33">
        <f t="shared" si="9"/>
        <v>6.43</v>
      </c>
      <c r="AB178" s="2" t="str">
        <f t="shared" si="10"/>
        <v>🟡 Cerca (5-10 km)</v>
      </c>
      <c r="AC178" s="2" t="str" cm="1">
        <f t="array" ref="AC178">INDEX(PARADEROS_VALIDOS!$C$2:$C$68,MATCH(MIN(6371*ACOS(COS(RADIANS(Y178))*COS(RADIANS(PARADEROS_VALIDOS!$E$2:$E$68))*COS(RADIANS(PARADEROS_VALIDOS!$F$2:$F$68)-RADIANS(Z178))+SIN(RADIANS(Y178))*SIN(RADIANS(PARADEROS_VALIDOS!$E$2:$E$68)))),6371*ACOS(COS(RADIANS(Y178))*COS(RADIANS(PARADEROS_VALIDOS!$E$2:$E$68))*COS(RADIANS(PARADEROS_VALIDOS!$F$2:$F$68)-RADIANS(Z178))+SIN(RADIANS(Y178))*SIN(RADIANS(PARADEROS_VALIDOS!$E$2:$E$68))),0))</f>
        <v>Entrada Horacio</v>
      </c>
      <c r="AD178" s="2" t="str">
        <f>IFERROR(INDEX(PARADEROS_VALIDOS!$A$2:$A$68,MATCH(AC178,PARADEROS_VALIDOS!$C$2:$C$68,0)),"")</f>
        <v>RUTA 5B</v>
      </c>
      <c r="AE178" s="33" cm="1">
        <f t="array" ref="AE178">ROUND(MIN(6371*ACOS(COS(RADIANS(Y178))*COS(RADIANS(PARADEROS_VALIDOS!$E$2:$E$68))*COS(RADIANS(PARADEROS_VALIDOS!$F$2:$F$68)-RADIANS(Z178))+SIN(RADIANS(Y178))*SIN(RADIANS(PARADEROS_VALIDOS!$E$2:$E$68)))),2)</f>
        <v>0</v>
      </c>
      <c r="AF178" s="2" t="str">
        <f t="shared" si="11"/>
        <v>🟢 Muy Cerca (0-1 km)</v>
      </c>
      <c r="AG178" s="2"/>
      <c r="AH178" s="2"/>
      <c r="AI178" s="51">
        <v>-11.997563</v>
      </c>
      <c r="AJ178" s="51">
        <v>-76.900062000000005</v>
      </c>
      <c r="AK178" s="2" t="str">
        <f>IFERROR(VLOOKUP(H178,tdcargo[],2,FALSE),"DESCONOCIDO")</f>
        <v>OPERARIO</v>
      </c>
    </row>
    <row r="179" spans="1:37" x14ac:dyDescent="0.35">
      <c r="A179" s="2" t="s">
        <v>4002</v>
      </c>
      <c r="B179" s="2" t="s">
        <v>4003</v>
      </c>
      <c r="C179" s="2" t="s">
        <v>4004</v>
      </c>
      <c r="D179" s="2" t="s">
        <v>1649</v>
      </c>
      <c r="E179" s="2">
        <v>26</v>
      </c>
      <c r="F179" s="2" t="s">
        <v>3255</v>
      </c>
      <c r="G179" s="2">
        <v>20508019</v>
      </c>
      <c r="H179" s="2" t="s">
        <v>1971</v>
      </c>
      <c r="I179" s="3">
        <v>46069</v>
      </c>
      <c r="J179" s="2" t="s">
        <v>31</v>
      </c>
      <c r="K179" s="3" t="s">
        <v>1968</v>
      </c>
      <c r="L179" s="2" t="s">
        <v>3373</v>
      </c>
      <c r="M179" s="2" t="s">
        <v>3374</v>
      </c>
      <c r="N179" s="2" t="s">
        <v>82</v>
      </c>
      <c r="O179" s="2" t="s">
        <v>2264</v>
      </c>
      <c r="P179" s="2" t="s">
        <v>36</v>
      </c>
      <c r="Q179" s="2" t="s">
        <v>2185</v>
      </c>
      <c r="R179" s="2" t="s">
        <v>3291</v>
      </c>
      <c r="S179" s="2" t="s">
        <v>37</v>
      </c>
      <c r="T179" s="2" t="s">
        <v>37</v>
      </c>
      <c r="U179" s="2" t="s">
        <v>57</v>
      </c>
      <c r="V179" s="3">
        <v>46069</v>
      </c>
      <c r="W179" s="2" t="s">
        <v>135</v>
      </c>
      <c r="X179" s="2" t="str">
        <f t="shared" si="8"/>
        <v>Calle 8 PRADERAS DE PARIACHI, Ate, Lima, Lima, Perú</v>
      </c>
      <c r="Y179" s="22">
        <v>-12.0022638</v>
      </c>
      <c r="Z179" s="22">
        <v>-76.840711799999994</v>
      </c>
      <c r="AA179" s="33">
        <f t="shared" si="9"/>
        <v>6.48</v>
      </c>
      <c r="AB179" s="2" t="str">
        <f t="shared" si="10"/>
        <v>🟡 Cerca (5-10 km)</v>
      </c>
      <c r="AC179" s="2" t="str" cm="1">
        <f t="array" ref="AC179">INDEX(PARADEROS_VALIDOS!$C$2:$C$68,MATCH(MIN(6371*ACOS(COS(RADIANS(Y179))*COS(RADIANS(PARADEROS_VALIDOS!$E$2:$E$68))*COS(RADIANS(PARADEROS_VALIDOS!$F$2:$F$68)-RADIANS(Z179))+SIN(RADIANS(Y179))*SIN(RADIANS(PARADEROS_VALIDOS!$E$2:$E$68)))),6371*ACOS(COS(RADIANS(Y179))*COS(RADIANS(PARADEROS_VALIDOS!$E$2:$E$68))*COS(RADIANS(PARADEROS_VALIDOS!$F$2:$F$68)-RADIANS(Z179))+SIN(RADIANS(Y179))*SIN(RADIANS(PARADEROS_VALIDOS!$E$2:$E$68))),0))</f>
        <v>Entrada Huaycán</v>
      </c>
      <c r="AD179" s="2" t="str">
        <f>IFERROR(INDEX(PARADEROS_VALIDOS!$A$2:$A$68,MATCH(AC179,PARADEROS_VALIDOS!$C$2:$C$68,0)),"")</f>
        <v>RUTA 5B</v>
      </c>
      <c r="AE179" s="33" cm="1">
        <f t="array" ref="AE179">ROUND(MIN(6371*ACOS(COS(RADIANS(Y179))*COS(RADIANS(PARADEROS_VALIDOS!$E$2:$E$68))*COS(RADIANS(PARADEROS_VALIDOS!$F$2:$F$68)-RADIANS(Z179))+SIN(RADIANS(Y179))*SIN(RADIANS(PARADEROS_VALIDOS!$E$2:$E$68)))),2)</f>
        <v>0.32</v>
      </c>
      <c r="AF179" s="2" t="str">
        <f t="shared" si="11"/>
        <v>🟢 Muy Cerca (0-1 km)</v>
      </c>
      <c r="AG179" s="2"/>
      <c r="AH179" s="2"/>
      <c r="AI179" s="51">
        <v>-11.997563</v>
      </c>
      <c r="AJ179" s="51">
        <v>-76.900062000000005</v>
      </c>
      <c r="AK179" s="2" t="str">
        <f>IFERROR(VLOOKUP(H179,tdcargo[],2,FALSE),"DESCONOCIDO")</f>
        <v>OPERARIO</v>
      </c>
    </row>
    <row r="180" spans="1:37" x14ac:dyDescent="0.35">
      <c r="A180" s="2" t="s">
        <v>3264</v>
      </c>
      <c r="B180" s="2" t="s">
        <v>4005</v>
      </c>
      <c r="C180" s="2" t="s">
        <v>4006</v>
      </c>
      <c r="D180" s="2" t="s">
        <v>364</v>
      </c>
      <c r="E180" s="2">
        <v>43</v>
      </c>
      <c r="F180" s="2" t="s">
        <v>3255</v>
      </c>
      <c r="G180" s="2">
        <v>20508097</v>
      </c>
      <c r="H180" s="2" t="s">
        <v>2041</v>
      </c>
      <c r="I180" s="3">
        <v>42327</v>
      </c>
      <c r="J180" s="2" t="s">
        <v>31</v>
      </c>
      <c r="K180" s="3" t="s">
        <v>1968</v>
      </c>
      <c r="L180" s="2" t="s">
        <v>3563</v>
      </c>
      <c r="M180" s="2" t="s">
        <v>1968</v>
      </c>
      <c r="N180" s="2" t="s">
        <v>36</v>
      </c>
      <c r="O180" s="2" t="s">
        <v>4007</v>
      </c>
      <c r="P180" s="2" t="s">
        <v>36</v>
      </c>
      <c r="Q180" s="2" t="s">
        <v>4007</v>
      </c>
      <c r="R180" s="2" t="s">
        <v>4008</v>
      </c>
      <c r="S180" s="2" t="s">
        <v>37</v>
      </c>
      <c r="T180" s="2" t="s">
        <v>37</v>
      </c>
      <c r="U180" s="2" t="s">
        <v>858</v>
      </c>
      <c r="V180" s="3">
        <v>42327</v>
      </c>
      <c r="W180" s="2" t="s">
        <v>48</v>
      </c>
      <c r="X180" s="2" t="str">
        <f t="shared" si="8"/>
        <v>Sector Cinco De Mayo Sector Cinco De Mayo, San Juan De Miraflores, Lima, Lima, Perú</v>
      </c>
      <c r="Y180" s="22">
        <v>-12.1331845</v>
      </c>
      <c r="Z180" s="22">
        <v>-76.963198599999998</v>
      </c>
      <c r="AA180" s="33">
        <f t="shared" si="9"/>
        <v>16.57</v>
      </c>
      <c r="AB180" s="2" t="str">
        <f t="shared" si="10"/>
        <v>🟠 Moderada (10-20 km)</v>
      </c>
      <c r="AC180" s="2" t="str" cm="1">
        <f t="array" ref="AC180">INDEX(PARADEROS_VALIDOS!$C$2:$C$68,MATCH(MIN(6371*ACOS(COS(RADIANS(Y180))*COS(RADIANS(PARADEROS_VALIDOS!$E$2:$E$68))*COS(RADIANS(PARADEROS_VALIDOS!$F$2:$F$68)-RADIANS(Z180))+SIN(RADIANS(Y180))*SIN(RADIANS(PARADEROS_VALIDOS!$E$2:$E$68)))),6371*ACOS(COS(RADIANS(Y180))*COS(RADIANS(PARADEROS_VALIDOS!$E$2:$E$68))*COS(RADIANS(PARADEROS_VALIDOS!$F$2:$F$68)-RADIANS(Z180))+SIN(RADIANS(Y180))*SIN(RADIANS(PARADEROS_VALIDOS!$E$2:$E$68))),0))</f>
        <v>Paradero San Juan</v>
      </c>
      <c r="AD180" s="2" t="str">
        <f>IFERROR(INDEX(PARADEROS_VALIDOS!$A$2:$A$68,MATCH(AC180,PARADEROS_VALIDOS!$C$2:$C$68,0)),"")</f>
        <v>RUTA 5B</v>
      </c>
      <c r="AE180" s="33" cm="1">
        <f t="array" ref="AE180">ROUND(MIN(6371*ACOS(COS(RADIANS(Y180))*COS(RADIANS(PARADEROS_VALIDOS!$E$2:$E$68))*COS(RADIANS(PARADEROS_VALIDOS!$F$2:$F$68)-RADIANS(Z180))+SIN(RADIANS(Y180))*SIN(RADIANS(PARADEROS_VALIDOS!$E$2:$E$68)))),2)</f>
        <v>0.67</v>
      </c>
      <c r="AF180" s="2" t="str">
        <f t="shared" si="11"/>
        <v>🟢 Muy Cerca (0-1 km)</v>
      </c>
      <c r="AG180" s="2"/>
      <c r="AH180" s="2"/>
      <c r="AI180" s="51">
        <v>-11.997563</v>
      </c>
      <c r="AJ180" s="51">
        <v>-76.900062000000005</v>
      </c>
      <c r="AK180" s="2" t="str">
        <f>IFERROR(VLOOKUP(H180,tdcargo[],2,FALSE),"DESCONOCIDO")</f>
        <v>STAFF</v>
      </c>
    </row>
    <row r="181" spans="1:37" x14ac:dyDescent="0.35">
      <c r="A181" s="2" t="s">
        <v>4009</v>
      </c>
      <c r="B181" s="2" t="s">
        <v>4010</v>
      </c>
      <c r="C181" s="2" t="s">
        <v>1405</v>
      </c>
      <c r="D181" s="2" t="s">
        <v>1412</v>
      </c>
      <c r="E181" s="2">
        <v>23</v>
      </c>
      <c r="F181" s="2" t="s">
        <v>3255</v>
      </c>
      <c r="G181" s="2">
        <v>20508066</v>
      </c>
      <c r="H181" s="2" t="s">
        <v>1971</v>
      </c>
      <c r="I181" s="3">
        <v>45789</v>
      </c>
      <c r="J181" s="2" t="s">
        <v>31</v>
      </c>
      <c r="K181" s="3" t="s">
        <v>1968</v>
      </c>
      <c r="L181" s="2" t="s">
        <v>3299</v>
      </c>
      <c r="M181" s="2" t="s">
        <v>3300</v>
      </c>
      <c r="N181" s="2" t="s">
        <v>34</v>
      </c>
      <c r="O181" s="2" t="s">
        <v>4011</v>
      </c>
      <c r="P181" s="2" t="s">
        <v>36</v>
      </c>
      <c r="Q181" s="2" t="s">
        <v>4012</v>
      </c>
      <c r="R181" s="2" t="s">
        <v>3274</v>
      </c>
      <c r="S181" s="2" t="s">
        <v>37</v>
      </c>
      <c r="T181" s="2" t="s">
        <v>37</v>
      </c>
      <c r="U181" s="2" t="s">
        <v>76</v>
      </c>
      <c r="V181" s="3">
        <v>45789</v>
      </c>
      <c r="W181" s="2" t="s">
        <v>39</v>
      </c>
      <c r="X181" s="2" t="str">
        <f t="shared" si="8"/>
        <v>Avenida Obras Av.Circunbalacion, Lurigancho, Lima, Lima, Perú</v>
      </c>
      <c r="Y181" s="22">
        <v>-12.076609299999999</v>
      </c>
      <c r="Z181" s="22">
        <v>-76.990294000000006</v>
      </c>
      <c r="AA181" s="33">
        <f t="shared" si="9"/>
        <v>13.17</v>
      </c>
      <c r="AB181" s="2" t="str">
        <f t="shared" si="10"/>
        <v>🟠 Moderada (10-20 km)</v>
      </c>
      <c r="AC181" s="2" t="str" cm="1">
        <f t="array" ref="AC181">INDEX(PARADEROS_VALIDOS!$C$2:$C$68,MATCH(MIN(6371*ACOS(COS(RADIANS(Y181))*COS(RADIANS(PARADEROS_VALIDOS!$E$2:$E$68))*COS(RADIANS(PARADEROS_VALIDOS!$F$2:$F$68)-RADIANS(Z181))+SIN(RADIANS(Y181))*SIN(RADIANS(PARADEROS_VALIDOS!$E$2:$E$68)))),6371*ACOS(COS(RADIANS(Y181))*COS(RADIANS(PARADEROS_VALIDOS!$E$2:$E$68))*COS(RADIANS(PARADEROS_VALIDOS!$F$2:$F$68)-RADIANS(Z181))+SIN(RADIANS(Y181))*SIN(RADIANS(PARADEROS_VALIDOS!$E$2:$E$68))),0))</f>
        <v>Paradero Javier Prado</v>
      </c>
      <c r="AD181" s="2" t="str">
        <f>IFERROR(INDEX(PARADEROS_VALIDOS!$A$2:$A$68,MATCH(AC181,PARADEROS_VALIDOS!$C$2:$C$68,0)),"")</f>
        <v>RUTA 7</v>
      </c>
      <c r="AE181" s="33" cm="1">
        <f t="array" ref="AE181">ROUND(MIN(6371*ACOS(COS(RADIANS(Y181))*COS(RADIANS(PARADEROS_VALIDOS!$E$2:$E$68))*COS(RADIANS(PARADEROS_VALIDOS!$F$2:$F$68)-RADIANS(Z181))+SIN(RADIANS(Y181))*SIN(RADIANS(PARADEROS_VALIDOS!$E$2:$E$68)))),2)</f>
        <v>1.3</v>
      </c>
      <c r="AF181" s="2" t="str">
        <f t="shared" si="11"/>
        <v>🟡 Cerca (1-3 km)</v>
      </c>
      <c r="AG181" s="2"/>
      <c r="AH181" s="2"/>
      <c r="AI181" s="51">
        <v>-11.997563</v>
      </c>
      <c r="AJ181" s="51">
        <v>-76.900062000000005</v>
      </c>
      <c r="AK181" s="2" t="str">
        <f>IFERROR(VLOOKUP(H181,tdcargo[],2,FALSE),"DESCONOCIDO")</f>
        <v>OPERARIO</v>
      </c>
    </row>
    <row r="182" spans="1:37" x14ac:dyDescent="0.35">
      <c r="A182" s="2" t="s">
        <v>4013</v>
      </c>
      <c r="B182" s="2" t="s">
        <v>928</v>
      </c>
      <c r="C182" s="2" t="s">
        <v>385</v>
      </c>
      <c r="D182" s="2" t="s">
        <v>4014</v>
      </c>
      <c r="E182" s="2">
        <v>36</v>
      </c>
      <c r="F182" s="2" t="s">
        <v>3255</v>
      </c>
      <c r="G182" s="2">
        <v>20508150</v>
      </c>
      <c r="H182" s="2" t="s">
        <v>2236</v>
      </c>
      <c r="I182" s="3">
        <v>44504</v>
      </c>
      <c r="J182" s="2" t="s">
        <v>31</v>
      </c>
      <c r="K182" s="3" t="s">
        <v>1968</v>
      </c>
      <c r="L182" s="2" t="s">
        <v>3690</v>
      </c>
      <c r="M182" s="2" t="s">
        <v>1968</v>
      </c>
      <c r="N182" s="2" t="s">
        <v>36</v>
      </c>
      <c r="O182" s="2" t="s">
        <v>4015</v>
      </c>
      <c r="P182" s="2" t="s">
        <v>88</v>
      </c>
      <c r="Q182" s="2" t="s">
        <v>46</v>
      </c>
      <c r="R182" s="2" t="s">
        <v>3260</v>
      </c>
      <c r="S182" s="2" t="s">
        <v>37</v>
      </c>
      <c r="T182" s="2" t="s">
        <v>37</v>
      </c>
      <c r="U182" s="2" t="s">
        <v>38</v>
      </c>
      <c r="V182" s="3">
        <v>44504</v>
      </c>
      <c r="W182" s="2" t="s">
        <v>48</v>
      </c>
      <c r="X182" s="2" t="str">
        <f t="shared" si="8"/>
        <v>Heroes De La Breña, A.H. Asentamiento Humano, San Juan De Lurigancho, Lima, Lima, Perú</v>
      </c>
      <c r="Y182" s="22">
        <v>-12.0178806</v>
      </c>
      <c r="Z182" s="22">
        <v>-76.968266600000007</v>
      </c>
      <c r="AA182" s="33">
        <f t="shared" si="9"/>
        <v>7.75</v>
      </c>
      <c r="AB182" s="2" t="str">
        <f t="shared" si="10"/>
        <v>🟡 Cerca (5-10 km)</v>
      </c>
      <c r="AC182" s="2" t="str" cm="1">
        <f t="array" ref="AC182">INDEX(PARADEROS_VALIDOS!$C$2:$C$68,MATCH(MIN(6371*ACOS(COS(RADIANS(Y182))*COS(RADIANS(PARADEROS_VALIDOS!$E$2:$E$68))*COS(RADIANS(PARADEROS_VALIDOS!$F$2:$F$68)-RADIANS(Z182))+SIN(RADIANS(Y182))*SIN(RADIANS(PARADEROS_VALIDOS!$E$2:$E$68)))),6371*ACOS(COS(RADIANS(Y182))*COS(RADIANS(PARADEROS_VALIDOS!$E$2:$E$68))*COS(RADIANS(PARADEROS_VALIDOS!$F$2:$F$68)-RADIANS(Z182))+SIN(RADIANS(Y182))*SIN(RADIANS(PARADEROS_VALIDOS!$E$2:$E$68))),0))</f>
        <v>Paradero Tottus Campoy</v>
      </c>
      <c r="AD182" s="2" t="str">
        <f>IFERROR(INDEX(PARADEROS_VALIDOS!$A$2:$A$68,MATCH(AC182,PARADEROS_VALIDOS!$C$2:$C$68,0)),"")</f>
        <v>RUTA 6C</v>
      </c>
      <c r="AE182" s="33" cm="1">
        <f t="array" ref="AE182">ROUND(MIN(6371*ACOS(COS(RADIANS(Y182))*COS(RADIANS(PARADEROS_VALIDOS!$E$2:$E$68))*COS(RADIANS(PARADEROS_VALIDOS!$F$2:$F$68)-RADIANS(Z182))+SIN(RADIANS(Y182))*SIN(RADIANS(PARADEROS_VALIDOS!$E$2:$E$68)))),2)</f>
        <v>0.87</v>
      </c>
      <c r="AF182" s="2" t="str">
        <f t="shared" si="11"/>
        <v>🟢 Muy Cerca (0-1 km)</v>
      </c>
      <c r="AG182" s="2"/>
      <c r="AH182" s="2"/>
      <c r="AI182" s="51">
        <v>-11.997563</v>
      </c>
      <c r="AJ182" s="51">
        <v>-76.900062000000005</v>
      </c>
      <c r="AK182" s="2" t="str">
        <f>IFERROR(VLOOKUP(H182,tdcargo[],2,FALSE),"DESCONOCIDO")</f>
        <v>STAFF</v>
      </c>
    </row>
    <row r="183" spans="1:37" x14ac:dyDescent="0.35">
      <c r="A183" s="2" t="s">
        <v>4016</v>
      </c>
      <c r="B183" s="2" t="s">
        <v>4017</v>
      </c>
      <c r="C183" s="2" t="s">
        <v>4018</v>
      </c>
      <c r="D183" s="2" t="s">
        <v>3652</v>
      </c>
      <c r="E183" s="2">
        <v>22</v>
      </c>
      <c r="F183" s="2" t="s">
        <v>3255</v>
      </c>
      <c r="G183" s="2">
        <v>20507989</v>
      </c>
      <c r="H183" s="2" t="s">
        <v>1971</v>
      </c>
      <c r="I183" s="3">
        <v>45327</v>
      </c>
      <c r="J183" s="2" t="s">
        <v>31</v>
      </c>
      <c r="K183" s="3" t="s">
        <v>1968</v>
      </c>
      <c r="L183" s="2" t="s">
        <v>3373</v>
      </c>
      <c r="M183" s="2" t="s">
        <v>3374</v>
      </c>
      <c r="N183" s="2" t="s">
        <v>36</v>
      </c>
      <c r="O183" s="2" t="s">
        <v>4019</v>
      </c>
      <c r="P183" s="2" t="s">
        <v>36</v>
      </c>
      <c r="Q183" s="2" t="s">
        <v>1049</v>
      </c>
      <c r="R183" s="2" t="s">
        <v>3274</v>
      </c>
      <c r="S183" s="2" t="s">
        <v>37</v>
      </c>
      <c r="T183" s="2" t="s">
        <v>37</v>
      </c>
      <c r="U183" s="2" t="s">
        <v>76</v>
      </c>
      <c r="V183" s="3">
        <v>45327</v>
      </c>
      <c r="W183" s="2" t="s">
        <v>48</v>
      </c>
      <c r="X183" s="2" t="str">
        <f t="shared" si="8"/>
        <v>La Campiã‘A Lurigancho-Chosica La Campiã‘A Sector B, Lurigancho, Lima, Lima, Perú</v>
      </c>
      <c r="Y183" s="22">
        <v>-11.976007299999999</v>
      </c>
      <c r="Z183" s="22">
        <v>-76.9174893</v>
      </c>
      <c r="AA183" s="33">
        <f t="shared" si="9"/>
        <v>3.06</v>
      </c>
      <c r="AB183" s="2" t="str">
        <f t="shared" si="10"/>
        <v>🟢 Muy Cerca (0-5 km)</v>
      </c>
      <c r="AC183" s="2" t="str" cm="1">
        <f t="array" ref="AC183">INDEX(PARADEROS_VALIDOS!$C$2:$C$68,MATCH(MIN(6371*ACOS(COS(RADIANS(Y183))*COS(RADIANS(PARADEROS_VALIDOS!$E$2:$E$68))*COS(RADIANS(PARADEROS_VALIDOS!$F$2:$F$68)-RADIANS(Z183))+SIN(RADIANS(Y183))*SIN(RADIANS(PARADEROS_VALIDOS!$E$2:$E$68)))),6371*ACOS(COS(RADIANS(Y183))*COS(RADIANS(PARADEROS_VALIDOS!$E$2:$E$68))*COS(RADIANS(PARADEROS_VALIDOS!$F$2:$F$68)-RADIANS(Z183))+SIN(RADIANS(Y183))*SIN(RADIANS(PARADEROS_VALIDOS!$E$2:$E$68))),0))</f>
        <v>Paradero Arco San Antonio</v>
      </c>
      <c r="AD183" s="2" t="str">
        <f>IFERROR(INDEX(PARADEROS_VALIDOS!$A$2:$A$68,MATCH(AC183,PARADEROS_VALIDOS!$C$2:$C$68,0)),"")</f>
        <v>RUTA 2</v>
      </c>
      <c r="AE183" s="33" cm="1">
        <f t="array" ref="AE183">ROUND(MIN(6371*ACOS(COS(RADIANS(Y183))*COS(RADIANS(PARADEROS_VALIDOS!$E$2:$E$68))*COS(RADIANS(PARADEROS_VALIDOS!$F$2:$F$68)-RADIANS(Z183))+SIN(RADIANS(Y183))*SIN(RADIANS(PARADEROS_VALIDOS!$E$2:$E$68)))),2)</f>
        <v>2.5</v>
      </c>
      <c r="AF183" s="2" t="str">
        <f t="shared" si="11"/>
        <v>🟡 Cerca (1-3 km)</v>
      </c>
      <c r="AG183" s="2"/>
      <c r="AH183" s="2"/>
      <c r="AI183" s="51">
        <v>-11.997563</v>
      </c>
      <c r="AJ183" s="51">
        <v>-76.900062000000005</v>
      </c>
      <c r="AK183" s="2" t="str">
        <f>IFERROR(VLOOKUP(H183,tdcargo[],2,FALSE),"DESCONOCIDO")</f>
        <v>OPERARIO</v>
      </c>
    </row>
    <row r="184" spans="1:37" x14ac:dyDescent="0.35">
      <c r="A184" s="2" t="s">
        <v>4020</v>
      </c>
      <c r="B184" s="2" t="s">
        <v>4021</v>
      </c>
      <c r="C184" s="2" t="s">
        <v>4022</v>
      </c>
      <c r="D184" s="2" t="s">
        <v>4023</v>
      </c>
      <c r="E184" s="2">
        <v>36</v>
      </c>
      <c r="F184" s="2" t="s">
        <v>3255</v>
      </c>
      <c r="G184" s="2">
        <v>20508015</v>
      </c>
      <c r="H184" s="2" t="s">
        <v>1971</v>
      </c>
      <c r="I184" s="3">
        <v>45547</v>
      </c>
      <c r="J184" s="2" t="s">
        <v>31</v>
      </c>
      <c r="K184" s="3" t="s">
        <v>1968</v>
      </c>
      <c r="L184" s="2" t="s">
        <v>3344</v>
      </c>
      <c r="M184" s="2" t="s">
        <v>3345</v>
      </c>
      <c r="N184" s="2" t="s">
        <v>34</v>
      </c>
      <c r="O184" s="2" t="s">
        <v>4024</v>
      </c>
      <c r="P184" s="2" t="s">
        <v>36</v>
      </c>
      <c r="Q184" s="2" t="s">
        <v>1956</v>
      </c>
      <c r="R184" s="2" t="s">
        <v>3260</v>
      </c>
      <c r="S184" s="2" t="s">
        <v>37</v>
      </c>
      <c r="T184" s="2" t="s">
        <v>37</v>
      </c>
      <c r="U184" s="2" t="s">
        <v>38</v>
      </c>
      <c r="V184" s="3">
        <v>45547</v>
      </c>
      <c r="W184" s="2" t="s">
        <v>48</v>
      </c>
      <c r="X184" s="2" t="str">
        <f t="shared" si="8"/>
        <v>Avenida Av.Primavera Mznj Lte6, San Juan De Lurigancho, Lima, Lima, Perú</v>
      </c>
      <c r="Y184" s="22">
        <v>-12.0379679</v>
      </c>
      <c r="Z184" s="22">
        <v>-76.955950900000005</v>
      </c>
      <c r="AA184" s="33">
        <f t="shared" si="9"/>
        <v>7.56</v>
      </c>
      <c r="AB184" s="2" t="str">
        <f t="shared" si="10"/>
        <v>🟡 Cerca (5-10 km)</v>
      </c>
      <c r="AC184" s="2" t="str" cm="1">
        <f t="array" ref="AC184">INDEX(PARADEROS_VALIDOS!$C$2:$C$68,MATCH(MIN(6371*ACOS(COS(RADIANS(Y184))*COS(RADIANS(PARADEROS_VALIDOS!$E$2:$E$68))*COS(RADIANS(PARADEROS_VALIDOS!$F$2:$F$68)-RADIANS(Z184))+SIN(RADIANS(Y184))*SIN(RADIANS(PARADEROS_VALIDOS!$E$2:$E$68)))),6371*ACOS(COS(RADIANS(Y184))*COS(RADIANS(PARADEROS_VALIDOS!$E$2:$E$68))*COS(RADIANS(PARADEROS_VALIDOS!$F$2:$F$68)-RADIANS(Z184))+SIN(RADIANS(Y184))*SIN(RADIANS(PARADEROS_VALIDOS!$E$2:$E$68))),0))</f>
        <v>Av. Huarochirí con Metropolitana</v>
      </c>
      <c r="AD184" s="2" t="str">
        <f>IFERROR(INDEX(PARADEROS_VALIDOS!$A$2:$A$68,MATCH(AC184,PARADEROS_VALIDOS!$C$2:$C$68,0)),"")</f>
        <v>RUTA 4A</v>
      </c>
      <c r="AE184" s="33" cm="1">
        <f t="array" ref="AE184">ROUND(MIN(6371*ACOS(COS(RADIANS(Y184))*COS(RADIANS(PARADEROS_VALIDOS!$E$2:$E$68))*COS(RADIANS(PARADEROS_VALIDOS!$F$2:$F$68)-RADIANS(Z184))+SIN(RADIANS(Y184))*SIN(RADIANS(PARADEROS_VALIDOS!$E$2:$E$68)))),2)</f>
        <v>0.22</v>
      </c>
      <c r="AF184" s="2" t="str">
        <f t="shared" si="11"/>
        <v>🟢 Muy Cerca (0-1 km)</v>
      </c>
      <c r="AG184" s="2"/>
      <c r="AH184" s="2"/>
      <c r="AI184" s="51">
        <v>-11.997563</v>
      </c>
      <c r="AJ184" s="51">
        <v>-76.900062000000005</v>
      </c>
      <c r="AK184" s="2" t="str">
        <f>IFERROR(VLOOKUP(H184,tdcargo[],2,FALSE),"DESCONOCIDO")</f>
        <v>OPERARIO</v>
      </c>
    </row>
    <row r="185" spans="1:37" x14ac:dyDescent="0.35">
      <c r="A185" s="2" t="s">
        <v>4025</v>
      </c>
      <c r="B185" s="2" t="s">
        <v>4026</v>
      </c>
      <c r="C185" s="2" t="s">
        <v>4027</v>
      </c>
      <c r="D185" s="2" t="s">
        <v>3923</v>
      </c>
      <c r="E185" s="2">
        <v>23</v>
      </c>
      <c r="F185" s="2" t="s">
        <v>3255</v>
      </c>
      <c r="G185" s="2">
        <v>20508031</v>
      </c>
      <c r="H185" s="2" t="s">
        <v>1971</v>
      </c>
      <c r="I185" s="3">
        <v>45362</v>
      </c>
      <c r="J185" s="2" t="s">
        <v>31</v>
      </c>
      <c r="K185" s="3" t="s">
        <v>1968</v>
      </c>
      <c r="L185" s="2" t="s">
        <v>3278</v>
      </c>
      <c r="M185" s="2" t="s">
        <v>3279</v>
      </c>
      <c r="N185" s="2" t="s">
        <v>36</v>
      </c>
      <c r="O185" s="2" t="s">
        <v>1573</v>
      </c>
      <c r="P185" s="2" t="s">
        <v>36</v>
      </c>
      <c r="Q185" s="2" t="s">
        <v>2316</v>
      </c>
      <c r="R185" s="2" t="s">
        <v>3291</v>
      </c>
      <c r="S185" s="2" t="s">
        <v>37</v>
      </c>
      <c r="T185" s="2" t="s">
        <v>37</v>
      </c>
      <c r="U185" s="2" t="s">
        <v>57</v>
      </c>
      <c r="V185" s="3">
        <v>45362</v>
      </c>
      <c r="W185" s="2" t="s">
        <v>48</v>
      </c>
      <c r="X185" s="2" t="str">
        <f t="shared" si="8"/>
        <v>Villa Esperanza Los Platos, Ate, Lima, Lima, Perú</v>
      </c>
      <c r="Y185" s="22">
        <v>-12.1871843</v>
      </c>
      <c r="Z185" s="22">
        <v>-76.923613500000002</v>
      </c>
      <c r="AA185" s="33">
        <f t="shared" si="9"/>
        <v>21.24</v>
      </c>
      <c r="AB185" s="2" t="str">
        <f t="shared" si="10"/>
        <v>🔴 Lejos (&gt;20 km)</v>
      </c>
      <c r="AC185" s="2" t="str" cm="1">
        <f t="array" ref="AC185">INDEX(PARADEROS_VALIDOS!$C$2:$C$68,MATCH(MIN(6371*ACOS(COS(RADIANS(Y185))*COS(RADIANS(PARADEROS_VALIDOS!$E$2:$E$68))*COS(RADIANS(PARADEROS_VALIDOS!$F$2:$F$68)-RADIANS(Z185))+SIN(RADIANS(Y185))*SIN(RADIANS(PARADEROS_VALIDOS!$E$2:$E$68)))),6371*ACOS(COS(RADIANS(Y185))*COS(RADIANS(PARADEROS_VALIDOS!$E$2:$E$68))*COS(RADIANS(PARADEROS_VALIDOS!$F$2:$F$68)-RADIANS(Z185))+SIN(RADIANS(Y185))*SIN(RADIANS(PARADEROS_VALIDOS!$E$2:$E$68))),0))</f>
        <v>Av. Mariátegui con la Ruta C</v>
      </c>
      <c r="AD185" s="2" t="str">
        <f>IFERROR(INDEX(PARADEROS_VALIDOS!$A$2:$A$68,MATCH(AC185,PARADEROS_VALIDOS!$C$2:$C$68,0)),"")</f>
        <v>RUTA 7</v>
      </c>
      <c r="AE185" s="33" cm="1">
        <f t="array" ref="AE185">ROUND(MIN(6371*ACOS(COS(RADIANS(Y185))*COS(RADIANS(PARADEROS_VALIDOS!$E$2:$E$68))*COS(RADIANS(PARADEROS_VALIDOS!$F$2:$F$68)-RADIANS(Z185))+SIN(RADIANS(Y185))*SIN(RADIANS(PARADEROS_VALIDOS!$E$2:$E$68)))),2)</f>
        <v>3.12</v>
      </c>
      <c r="AF185" s="2" t="str">
        <f t="shared" si="11"/>
        <v>🟠 Moderada (3-5 km)</v>
      </c>
      <c r="AG185" s="2"/>
      <c r="AH185" s="2"/>
      <c r="AI185" s="51">
        <v>-11.997563</v>
      </c>
      <c r="AJ185" s="51">
        <v>-76.900062000000005</v>
      </c>
      <c r="AK185" s="2" t="str">
        <f>IFERROR(VLOOKUP(H185,tdcargo[],2,FALSE),"DESCONOCIDO")</f>
        <v>OPERARIO</v>
      </c>
    </row>
    <row r="186" spans="1:37" x14ac:dyDescent="0.35">
      <c r="A186" s="2" t="s">
        <v>4028</v>
      </c>
      <c r="B186" s="2" t="s">
        <v>1772</v>
      </c>
      <c r="C186" s="2" t="s">
        <v>989</v>
      </c>
      <c r="D186" s="2" t="s">
        <v>1676</v>
      </c>
      <c r="E186" s="2">
        <v>31</v>
      </c>
      <c r="F186" s="2" t="s">
        <v>3255</v>
      </c>
      <c r="G186" s="2">
        <v>20508154</v>
      </c>
      <c r="H186" s="2" t="s">
        <v>2070</v>
      </c>
      <c r="I186" s="3">
        <v>42446</v>
      </c>
      <c r="J186" s="2" t="s">
        <v>31</v>
      </c>
      <c r="K186" s="3" t="s">
        <v>1968</v>
      </c>
      <c r="L186" s="2" t="s">
        <v>3336</v>
      </c>
      <c r="M186" s="2" t="s">
        <v>3337</v>
      </c>
      <c r="N186" s="2" t="s">
        <v>82</v>
      </c>
      <c r="O186" s="2" t="s">
        <v>4029</v>
      </c>
      <c r="P186" s="2" t="s">
        <v>186</v>
      </c>
      <c r="Q186" s="2" t="s">
        <v>2397</v>
      </c>
      <c r="R186" s="2" t="s">
        <v>3291</v>
      </c>
      <c r="S186" s="2" t="s">
        <v>37</v>
      </c>
      <c r="T186" s="2" t="s">
        <v>37</v>
      </c>
      <c r="U186" s="2" t="s">
        <v>57</v>
      </c>
      <c r="V186" s="3">
        <v>42446</v>
      </c>
      <c r="W186" s="2" t="s">
        <v>48</v>
      </c>
      <c r="X186" s="2" t="str">
        <f t="shared" si="8"/>
        <v>Calle Andre Avelino Caceres, Urb. Urbanización El Lucumo, Ate, Lima, Lima, Perú</v>
      </c>
      <c r="Y186" s="22">
        <v>-12.0130667</v>
      </c>
      <c r="Z186" s="22">
        <v>-76.819881300000006</v>
      </c>
      <c r="AA186" s="33">
        <f t="shared" si="9"/>
        <v>8.89</v>
      </c>
      <c r="AB186" s="2" t="str">
        <f t="shared" si="10"/>
        <v>🟡 Cerca (5-10 km)</v>
      </c>
      <c r="AC186" s="2" t="str" cm="1">
        <f t="array" ref="AC186">INDEX(PARADEROS_VALIDOS!$C$2:$C$68,MATCH(MIN(6371*ACOS(COS(RADIANS(Y186))*COS(RADIANS(PARADEROS_VALIDOS!$E$2:$E$68))*COS(RADIANS(PARADEROS_VALIDOS!$F$2:$F$68)-RADIANS(Z186))+SIN(RADIANS(Y186))*SIN(RADIANS(PARADEROS_VALIDOS!$E$2:$E$68)))),6371*ACOS(COS(RADIANS(Y186))*COS(RADIANS(PARADEROS_VALIDOS!$E$2:$E$68))*COS(RADIANS(PARADEROS_VALIDOS!$F$2:$F$68)-RADIANS(Z186))+SIN(RADIANS(Y186))*SIN(RADIANS(PARADEROS_VALIDOS!$E$2:$E$68))),0))</f>
        <v>Paradero Aurora</v>
      </c>
      <c r="AD186" s="2" t="str">
        <f>IFERROR(INDEX(PARADEROS_VALIDOS!$A$2:$A$68,MATCH(AC186,PARADEROS_VALIDOS!$C$2:$C$68,0)),"")</f>
        <v>RUTA 3</v>
      </c>
      <c r="AE186" s="33" cm="1">
        <f t="array" ref="AE186">ROUND(MIN(6371*ACOS(COS(RADIANS(Y186))*COS(RADIANS(PARADEROS_VALIDOS!$E$2:$E$68))*COS(RADIANS(PARADEROS_VALIDOS!$F$2:$F$68)-RADIANS(Z186))+SIN(RADIANS(Y186))*SIN(RADIANS(PARADEROS_VALIDOS!$E$2:$E$68)))),2)</f>
        <v>1.45</v>
      </c>
      <c r="AF186" s="2" t="str">
        <f t="shared" si="11"/>
        <v>🟡 Cerca (1-3 km)</v>
      </c>
      <c r="AG186" s="2"/>
      <c r="AH186" s="2"/>
      <c r="AI186" s="51">
        <v>-11.997563</v>
      </c>
      <c r="AJ186" s="51">
        <v>-76.900062000000005</v>
      </c>
      <c r="AK186" s="2" t="str">
        <f>IFERROR(VLOOKUP(H186,tdcargo[],2,FALSE),"DESCONOCIDO")</f>
        <v>STAFF</v>
      </c>
    </row>
    <row r="187" spans="1:37" x14ac:dyDescent="0.35">
      <c r="A187" s="2" t="s">
        <v>4030</v>
      </c>
      <c r="B187" s="2" t="s">
        <v>4031</v>
      </c>
      <c r="C187" s="2" t="s">
        <v>4032</v>
      </c>
      <c r="D187" s="2" t="s">
        <v>4033</v>
      </c>
      <c r="E187" s="2">
        <v>36</v>
      </c>
      <c r="F187" s="2" t="s">
        <v>3255</v>
      </c>
      <c r="G187" s="2">
        <v>20510973</v>
      </c>
      <c r="H187" s="2" t="s">
        <v>1971</v>
      </c>
      <c r="I187" s="3">
        <v>45642</v>
      </c>
      <c r="J187" s="2" t="s">
        <v>31</v>
      </c>
      <c r="K187" s="3" t="s">
        <v>1968</v>
      </c>
      <c r="L187" s="2" t="s">
        <v>3373</v>
      </c>
      <c r="M187" s="2" t="s">
        <v>3374</v>
      </c>
      <c r="N187" s="2" t="s">
        <v>36</v>
      </c>
      <c r="O187" s="2" t="s">
        <v>4034</v>
      </c>
      <c r="P187" s="2" t="s">
        <v>36</v>
      </c>
      <c r="Q187" s="2" t="s">
        <v>4034</v>
      </c>
      <c r="R187" s="2" t="s">
        <v>3291</v>
      </c>
      <c r="S187" s="2" t="s">
        <v>37</v>
      </c>
      <c r="T187" s="2" t="s">
        <v>37</v>
      </c>
      <c r="U187" s="2" t="s">
        <v>57</v>
      </c>
      <c r="V187" s="3">
        <v>45642</v>
      </c>
      <c r="W187" s="2" t="s">
        <v>48</v>
      </c>
      <c r="X187" s="2" t="str">
        <f t="shared" si="8"/>
        <v>Asociacion El Olivar Asociacion El Olivar, Ate, Lima, Lima, Perú</v>
      </c>
      <c r="Y187" s="22">
        <v>-12.0266351</v>
      </c>
      <c r="Z187" s="22">
        <v>-76.912965999999997</v>
      </c>
      <c r="AA187" s="33">
        <f t="shared" si="9"/>
        <v>3.52</v>
      </c>
      <c r="AB187" s="2" t="str">
        <f t="shared" si="10"/>
        <v>🟢 Muy Cerca (0-5 km)</v>
      </c>
      <c r="AC187" s="2" t="str" cm="1">
        <f t="array" ref="AC187">INDEX(PARADEROS_VALIDOS!$C$2:$C$68,MATCH(MIN(6371*ACOS(COS(RADIANS(Y187))*COS(RADIANS(PARADEROS_VALIDOS!$E$2:$E$68))*COS(RADIANS(PARADEROS_VALIDOS!$F$2:$F$68)-RADIANS(Z187))+SIN(RADIANS(Y187))*SIN(RADIANS(PARADEROS_VALIDOS!$E$2:$E$68)))),6371*ACOS(COS(RADIANS(Y187))*COS(RADIANS(PARADEROS_VALIDOS!$E$2:$E$68))*COS(RADIANS(PARADEROS_VALIDOS!$F$2:$F$68)-RADIANS(Z187))+SIN(RADIANS(Y187))*SIN(RADIANS(PARADEROS_VALIDOS!$E$2:$E$68))),0))</f>
        <v>Panadería Marcela (cruce de la carretera central, con Av. Jose Carlos Mariátegui)</v>
      </c>
      <c r="AD187" s="2" t="str">
        <f>IFERROR(INDEX(PARADEROS_VALIDOS!$A$2:$A$68,MATCH(AC187,PARADEROS_VALIDOS!$C$2:$C$68,0)),"")</f>
        <v>RUTA 4B</v>
      </c>
      <c r="AE187" s="33" cm="1">
        <f t="array" ref="AE187">ROUND(MIN(6371*ACOS(COS(RADIANS(Y187))*COS(RADIANS(PARADEROS_VALIDOS!$E$2:$E$68))*COS(RADIANS(PARADEROS_VALIDOS!$F$2:$F$68)-RADIANS(Z187))+SIN(RADIANS(Y187))*SIN(RADIANS(PARADEROS_VALIDOS!$E$2:$E$68)))),2)</f>
        <v>0.83</v>
      </c>
      <c r="AF187" s="2" t="str">
        <f t="shared" si="11"/>
        <v>🟢 Muy Cerca (0-1 km)</v>
      </c>
      <c r="AG187" s="2"/>
      <c r="AH187" s="2"/>
      <c r="AI187" s="51">
        <v>-11.997563</v>
      </c>
      <c r="AJ187" s="51">
        <v>-76.900062000000005</v>
      </c>
      <c r="AK187" s="2" t="str">
        <f>IFERROR(VLOOKUP(H187,tdcargo[],2,FALSE),"DESCONOCIDO")</f>
        <v>OPERARIO</v>
      </c>
    </row>
    <row r="188" spans="1:37" x14ac:dyDescent="0.35">
      <c r="A188" s="2" t="s">
        <v>4035</v>
      </c>
      <c r="B188" s="2" t="s">
        <v>4036</v>
      </c>
      <c r="C188" s="2" t="s">
        <v>4037</v>
      </c>
      <c r="D188" s="2" t="s">
        <v>4038</v>
      </c>
      <c r="E188" s="2">
        <v>40</v>
      </c>
      <c r="F188" s="2" t="s">
        <v>3255</v>
      </c>
      <c r="G188" s="2">
        <v>20507976</v>
      </c>
      <c r="H188" s="2" t="s">
        <v>3716</v>
      </c>
      <c r="I188" s="3">
        <v>41890</v>
      </c>
      <c r="J188" s="2" t="s">
        <v>31</v>
      </c>
      <c r="K188" s="3" t="s">
        <v>1968</v>
      </c>
      <c r="L188" s="2" t="s">
        <v>3717</v>
      </c>
      <c r="M188" s="2" t="s">
        <v>1968</v>
      </c>
      <c r="N188" s="2" t="s">
        <v>82</v>
      </c>
      <c r="O188" s="2" t="s">
        <v>4039</v>
      </c>
      <c r="P188" s="2" t="s">
        <v>643</v>
      </c>
      <c r="Q188" s="2" t="s">
        <v>367</v>
      </c>
      <c r="R188" s="2" t="s">
        <v>3509</v>
      </c>
      <c r="S188" s="2" t="s">
        <v>37</v>
      </c>
      <c r="T188" s="2" t="s">
        <v>37</v>
      </c>
      <c r="U188" s="2" t="s">
        <v>367</v>
      </c>
      <c r="V188" s="3">
        <v>41890</v>
      </c>
      <c r="W188" s="2" t="s">
        <v>48</v>
      </c>
      <c r="X188" s="2" t="str">
        <f t="shared" si="8"/>
        <v>Calle Las Abubillas, Res. Residencial Santa Anita, Santa Anita, Lima, Lima, Perú</v>
      </c>
      <c r="Y188" s="22">
        <v>-12.0493039</v>
      </c>
      <c r="Z188" s="22">
        <v>-76.963191800000004</v>
      </c>
      <c r="AA188" s="33">
        <f t="shared" si="9"/>
        <v>8.9600000000000009</v>
      </c>
      <c r="AB188" s="2" t="str">
        <f t="shared" si="10"/>
        <v>🟡 Cerca (5-10 km)</v>
      </c>
      <c r="AC188" s="2" t="str" cm="1">
        <f t="array" ref="AC188">INDEX(PARADEROS_VALIDOS!$C$2:$C$68,MATCH(MIN(6371*ACOS(COS(RADIANS(Y188))*COS(RADIANS(PARADEROS_VALIDOS!$E$2:$E$68))*COS(RADIANS(PARADEROS_VALIDOS!$F$2:$F$68)-RADIANS(Z188))+SIN(RADIANS(Y188))*SIN(RADIANS(PARADEROS_VALIDOS!$E$2:$E$68)))),6371*ACOS(COS(RADIANS(Y188))*COS(RADIANS(PARADEROS_VALIDOS!$E$2:$E$68))*COS(RADIANS(PARADEROS_VALIDOS!$F$2:$F$68)-RADIANS(Z188))+SIN(RADIANS(Y188))*SIN(RADIANS(PARADEROS_VALIDOS!$E$2:$E$68))),0))</f>
        <v>Pte. Prialé (solo aplica para la salida)</v>
      </c>
      <c r="AD188" s="2" t="str">
        <f>IFERROR(INDEX(PARADEROS_VALIDOS!$A$2:$A$68,MATCH(AC188,PARADEROS_VALIDOS!$C$2:$C$68,0)),"")</f>
        <v>RUTA 7</v>
      </c>
      <c r="AE188" s="33" cm="1">
        <f t="array" ref="AE188">ROUND(MIN(6371*ACOS(COS(RADIANS(Y188))*COS(RADIANS(PARADEROS_VALIDOS!$E$2:$E$68))*COS(RADIANS(PARADEROS_VALIDOS!$F$2:$F$68)-RADIANS(Z188))+SIN(RADIANS(Y188))*SIN(RADIANS(PARADEROS_VALIDOS!$E$2:$E$68)))),2)</f>
        <v>0.78</v>
      </c>
      <c r="AF188" s="2" t="str">
        <f t="shared" si="11"/>
        <v>🟢 Muy Cerca (0-1 km)</v>
      </c>
      <c r="AG188" s="2"/>
      <c r="AH188" s="2"/>
      <c r="AI188" s="51">
        <v>-11.997563</v>
      </c>
      <c r="AJ188" s="51">
        <v>-76.900062000000005</v>
      </c>
      <c r="AK188" s="2" t="str">
        <f>IFERROR(VLOOKUP(H188,tdcargo[],2,FALSE),"DESCONOCIDO")</f>
        <v>STAFF</v>
      </c>
    </row>
    <row r="189" spans="1:37" x14ac:dyDescent="0.35">
      <c r="A189" s="2" t="s">
        <v>4040</v>
      </c>
      <c r="B189" s="2" t="s">
        <v>4041</v>
      </c>
      <c r="C189" s="2" t="s">
        <v>583</v>
      </c>
      <c r="D189" s="2" t="s">
        <v>1000</v>
      </c>
      <c r="E189" s="2">
        <v>24</v>
      </c>
      <c r="F189" s="2" t="s">
        <v>3255</v>
      </c>
      <c r="G189" s="2">
        <v>20511538</v>
      </c>
      <c r="H189" s="2" t="s">
        <v>1971</v>
      </c>
      <c r="I189" s="3">
        <v>46083</v>
      </c>
      <c r="J189" s="2" t="s">
        <v>31</v>
      </c>
      <c r="K189" s="3" t="s">
        <v>1968</v>
      </c>
      <c r="L189" s="2" t="s">
        <v>3278</v>
      </c>
      <c r="M189" s="2" t="s">
        <v>3279</v>
      </c>
      <c r="N189" s="2" t="s">
        <v>36</v>
      </c>
      <c r="O189" s="2" t="s">
        <v>4042</v>
      </c>
      <c r="P189" s="2" t="s">
        <v>36</v>
      </c>
      <c r="Q189" s="2" t="s">
        <v>4043</v>
      </c>
      <c r="R189" s="2" t="s">
        <v>3274</v>
      </c>
      <c r="S189" s="2" t="s">
        <v>37</v>
      </c>
      <c r="T189" s="2" t="s">
        <v>37</v>
      </c>
      <c r="U189" s="2" t="s">
        <v>76</v>
      </c>
      <c r="V189" s="3">
        <v>46083</v>
      </c>
      <c r="W189" s="2" t="s">
        <v>135</v>
      </c>
      <c r="X189" s="2" t="str">
        <f t="shared" si="8"/>
        <v>Los Aviadores 2da et LOS AVIADORES, Lurigancho, Lima, Lima, Perú</v>
      </c>
      <c r="Y189" s="22">
        <v>-11.982670199999999</v>
      </c>
      <c r="Z189" s="22">
        <v>-76.895008300000001</v>
      </c>
      <c r="AA189" s="33">
        <f t="shared" si="9"/>
        <v>1.74</v>
      </c>
      <c r="AB189" s="2" t="str">
        <f t="shared" si="10"/>
        <v>🟢 Muy Cerca (0-5 km)</v>
      </c>
      <c r="AC189" s="2" t="str" cm="1">
        <f t="array" ref="AC189">INDEX(PARADEROS_VALIDOS!$C$2:$C$68,MATCH(MIN(6371*ACOS(COS(RADIANS(Y189))*COS(RADIANS(PARADEROS_VALIDOS!$E$2:$E$68))*COS(RADIANS(PARADEROS_VALIDOS!$F$2:$F$68)-RADIANS(Z189))+SIN(RADIANS(Y189))*SIN(RADIANS(PARADEROS_VALIDOS!$E$2:$E$68)))),6371*ACOS(COS(RADIANS(Y189))*COS(RADIANS(PARADEROS_VALIDOS!$E$2:$E$68))*COS(RADIANS(PARADEROS_VALIDOS!$F$2:$F$68)-RADIANS(Z189))+SIN(RADIANS(Y189))*SIN(RADIANS(PARADEROS_VALIDOS!$E$2:$E$68))),0))</f>
        <v>Paradero Arco San Antonio</v>
      </c>
      <c r="AD189" s="2" t="str">
        <f>IFERROR(INDEX(PARADEROS_VALIDOS!$A$2:$A$68,MATCH(AC189,PARADEROS_VALIDOS!$C$2:$C$68,0)),"")</f>
        <v>RUTA 2</v>
      </c>
      <c r="AE189" s="33" cm="1">
        <f t="array" ref="AE189">ROUND(MIN(6371*ACOS(COS(RADIANS(Y189))*COS(RADIANS(PARADEROS_VALIDOS!$E$2:$E$68))*COS(RADIANS(PARADEROS_VALIDOS!$F$2:$F$68)-RADIANS(Z189))+SIN(RADIANS(Y189))*SIN(RADIANS(PARADEROS_VALIDOS!$E$2:$E$68)))),2)</f>
        <v>1.49</v>
      </c>
      <c r="AF189" s="2" t="str">
        <f t="shared" si="11"/>
        <v>🟡 Cerca (1-3 km)</v>
      </c>
      <c r="AG189" s="2"/>
      <c r="AH189" s="2"/>
      <c r="AI189" s="51">
        <v>-11.997563</v>
      </c>
      <c r="AJ189" s="51">
        <v>-76.900062000000005</v>
      </c>
      <c r="AK189" s="2" t="str">
        <f>IFERROR(VLOOKUP(H189,tdcargo[],2,FALSE),"DESCONOCIDO")</f>
        <v>OPERARIO</v>
      </c>
    </row>
    <row r="190" spans="1:37" x14ac:dyDescent="0.35">
      <c r="A190" s="2" t="s">
        <v>4044</v>
      </c>
      <c r="B190" s="2" t="s">
        <v>4045</v>
      </c>
      <c r="C190" s="2" t="s">
        <v>4046</v>
      </c>
      <c r="D190" s="2" t="s">
        <v>385</v>
      </c>
      <c r="E190" s="2">
        <v>22</v>
      </c>
      <c r="F190" s="2" t="s">
        <v>3255</v>
      </c>
      <c r="G190" s="2">
        <v>20508091</v>
      </c>
      <c r="H190" s="2" t="s">
        <v>1971</v>
      </c>
      <c r="I190" s="3">
        <v>45600</v>
      </c>
      <c r="J190" s="2" t="s">
        <v>31</v>
      </c>
      <c r="K190" s="3" t="s">
        <v>1968</v>
      </c>
      <c r="L190" s="2" t="s">
        <v>3263</v>
      </c>
      <c r="M190" s="2" t="s">
        <v>3264</v>
      </c>
      <c r="N190" s="2" t="s">
        <v>82</v>
      </c>
      <c r="O190" s="2" t="s">
        <v>991</v>
      </c>
      <c r="P190" s="2" t="s">
        <v>36</v>
      </c>
      <c r="Q190" s="2" t="s">
        <v>505</v>
      </c>
      <c r="R190" s="2" t="s">
        <v>3416</v>
      </c>
      <c r="S190" s="2" t="s">
        <v>37</v>
      </c>
      <c r="T190" s="2" t="s">
        <v>37</v>
      </c>
      <c r="U190" s="2" t="s">
        <v>37</v>
      </c>
      <c r="V190" s="3">
        <v>45600</v>
      </c>
      <c r="W190" s="2" t="s">
        <v>48</v>
      </c>
      <c r="X190" s="2" t="str">
        <f t="shared" si="8"/>
        <v>Calle Las Flores Paraiso De Cajamarquilla, Lima, Lima, Lima, Perú</v>
      </c>
      <c r="Y190" s="22">
        <v>-12.045056799999999</v>
      </c>
      <c r="Z190" s="22">
        <v>-76.956637499999999</v>
      </c>
      <c r="AA190" s="33">
        <f t="shared" si="9"/>
        <v>8.11</v>
      </c>
      <c r="AB190" s="2" t="str">
        <f t="shared" si="10"/>
        <v>🟡 Cerca (5-10 km)</v>
      </c>
      <c r="AC190" s="2" t="str" cm="1">
        <f t="array" ref="AC190">INDEX(PARADEROS_VALIDOS!$C$2:$C$68,MATCH(MIN(6371*ACOS(COS(RADIANS(Y190))*COS(RADIANS(PARADEROS_VALIDOS!$E$2:$E$68))*COS(RADIANS(PARADEROS_VALIDOS!$F$2:$F$68)-RADIANS(Z190))+SIN(RADIANS(Y190))*SIN(RADIANS(PARADEROS_VALIDOS!$E$2:$E$68)))),6371*ACOS(COS(RADIANS(Y190))*COS(RADIANS(PARADEROS_VALIDOS!$E$2:$E$68))*COS(RADIANS(PARADEROS_VALIDOS!$F$2:$F$68)-RADIANS(Z190))+SIN(RADIANS(Y190))*SIN(RADIANS(PARADEROS_VALIDOS!$E$2:$E$68))),0))</f>
        <v>Av. Colectora con Metropolitana</v>
      </c>
      <c r="AD190" s="2" t="str">
        <f>IFERROR(INDEX(PARADEROS_VALIDOS!$A$2:$A$68,MATCH(AC190,PARADEROS_VALIDOS!$C$2:$C$68,0)),"")</f>
        <v>RUTA 4A</v>
      </c>
      <c r="AE190" s="33" cm="1">
        <f t="array" ref="AE190">ROUND(MIN(6371*ACOS(COS(RADIANS(Y190))*COS(RADIANS(PARADEROS_VALIDOS!$E$2:$E$68))*COS(RADIANS(PARADEROS_VALIDOS!$F$2:$F$68)-RADIANS(Z190))+SIN(RADIANS(Y190))*SIN(RADIANS(PARADEROS_VALIDOS!$E$2:$E$68)))),2)</f>
        <v>0.67</v>
      </c>
      <c r="AF190" s="2" t="str">
        <f t="shared" si="11"/>
        <v>🟢 Muy Cerca (0-1 km)</v>
      </c>
      <c r="AG190" s="2"/>
      <c r="AH190" s="2"/>
      <c r="AI190" s="51">
        <v>-11.997563</v>
      </c>
      <c r="AJ190" s="51">
        <v>-76.900062000000005</v>
      </c>
      <c r="AK190" s="2" t="str">
        <f>IFERROR(VLOOKUP(H190,tdcargo[],2,FALSE),"DESCONOCIDO")</f>
        <v>OPERARIO</v>
      </c>
    </row>
    <row r="191" spans="1:37" x14ac:dyDescent="0.35">
      <c r="A191" s="2" t="s">
        <v>4047</v>
      </c>
      <c r="B191" s="2" t="s">
        <v>4048</v>
      </c>
      <c r="C191" s="2" t="s">
        <v>4049</v>
      </c>
      <c r="D191" s="2" t="s">
        <v>4050</v>
      </c>
      <c r="E191" s="2">
        <v>22</v>
      </c>
      <c r="F191" s="2" t="s">
        <v>3255</v>
      </c>
      <c r="G191" s="2">
        <v>20514480</v>
      </c>
      <c r="H191" s="2" t="s">
        <v>1971</v>
      </c>
      <c r="I191" s="3">
        <v>46090</v>
      </c>
      <c r="J191" s="2" t="s">
        <v>31</v>
      </c>
      <c r="K191" s="3" t="s">
        <v>1968</v>
      </c>
      <c r="L191" s="2" t="s">
        <v>3299</v>
      </c>
      <c r="M191" s="2" t="s">
        <v>3300</v>
      </c>
      <c r="N191" s="2" t="s">
        <v>34</v>
      </c>
      <c r="O191" s="2" t="s">
        <v>1778</v>
      </c>
      <c r="P191" s="2" t="s">
        <v>36</v>
      </c>
      <c r="Q191" s="2" t="s">
        <v>3978</v>
      </c>
      <c r="R191" s="2" t="s">
        <v>3274</v>
      </c>
      <c r="S191" s="2" t="s">
        <v>37</v>
      </c>
      <c r="T191" s="2" t="s">
        <v>37</v>
      </c>
      <c r="U191" s="2" t="s">
        <v>76</v>
      </c>
      <c r="V191" s="3">
        <v>46090</v>
      </c>
      <c r="W191" s="2" t="s">
        <v>135</v>
      </c>
      <c r="X191" s="2" t="str">
        <f t="shared" si="8"/>
        <v>Avenida Los Incas SAN ANTONIO, Lurigancho, Lima, Lima, Perú</v>
      </c>
      <c r="Y191" s="22">
        <v>-11.914440600000001</v>
      </c>
      <c r="Z191" s="22">
        <v>-77.049024599999996</v>
      </c>
      <c r="AA191" s="33">
        <f t="shared" si="9"/>
        <v>18.66</v>
      </c>
      <c r="AB191" s="2" t="str">
        <f t="shared" si="10"/>
        <v>🟠 Moderada (10-20 km)</v>
      </c>
      <c r="AC191" s="2" t="str" cm="1">
        <f t="array" ref="AC191">INDEX(PARADEROS_VALIDOS!$C$2:$C$68,MATCH(MIN(6371*ACOS(COS(RADIANS(Y191))*COS(RADIANS(PARADEROS_VALIDOS!$E$2:$E$68))*COS(RADIANS(PARADEROS_VALIDOS!$F$2:$F$68)-RADIANS(Z191))+SIN(RADIANS(Y191))*SIN(RADIANS(PARADEROS_VALIDOS!$E$2:$E$68)))),6371*ACOS(COS(RADIANS(Y191))*COS(RADIANS(PARADEROS_VALIDOS!$E$2:$E$68))*COS(RADIANS(PARADEROS_VALIDOS!$F$2:$F$68)-RADIANS(Z191))+SIN(RADIANS(Y191))*SIN(RADIANS(PARADEROS_VALIDOS!$E$2:$E$68))),0))</f>
        <v>Av. Metropolitana con Cultura</v>
      </c>
      <c r="AD191" s="2" t="str">
        <f>IFERROR(INDEX(PARADEROS_VALIDOS!$A$2:$A$68,MATCH(AC191,PARADEROS_VALIDOS!$C$2:$C$68,0)),"")</f>
        <v>RUTA 4A</v>
      </c>
      <c r="AE191" s="33" cm="1">
        <f t="array" ref="AE191">ROUND(MIN(6371*ACOS(COS(RADIANS(Y191))*COS(RADIANS(PARADEROS_VALIDOS!$E$2:$E$68))*COS(RADIANS(PARADEROS_VALIDOS!$F$2:$F$68)-RADIANS(Z191))+SIN(RADIANS(Y191))*SIN(RADIANS(PARADEROS_VALIDOS!$E$2:$E$68)))),2)</f>
        <v>4.5999999999999996</v>
      </c>
      <c r="AF191" s="2" t="str">
        <f t="shared" si="11"/>
        <v>🟠 Moderada (3-5 km)</v>
      </c>
      <c r="AG191" s="2"/>
      <c r="AH191" s="2"/>
      <c r="AI191" s="51">
        <v>-11.997563</v>
      </c>
      <c r="AJ191" s="51">
        <v>-76.900062000000005</v>
      </c>
      <c r="AK191" s="2" t="str">
        <f>IFERROR(VLOOKUP(H191,tdcargo[],2,FALSE),"DESCONOCIDO")</f>
        <v>OPERARIO</v>
      </c>
    </row>
    <row r="192" spans="1:37" x14ac:dyDescent="0.35">
      <c r="A192" s="2" t="s">
        <v>4051</v>
      </c>
      <c r="B192" s="2" t="s">
        <v>4052</v>
      </c>
      <c r="C192" s="2" t="s">
        <v>370</v>
      </c>
      <c r="D192" s="2" t="s">
        <v>4053</v>
      </c>
      <c r="E192" s="2">
        <v>20</v>
      </c>
      <c r="F192" s="2" t="s">
        <v>3255</v>
      </c>
      <c r="G192" s="2">
        <v>20508088</v>
      </c>
      <c r="H192" s="2" t="s">
        <v>1971</v>
      </c>
      <c r="I192" s="3">
        <v>46034</v>
      </c>
      <c r="J192" s="2" t="s">
        <v>31</v>
      </c>
      <c r="K192" s="3" t="s">
        <v>1968</v>
      </c>
      <c r="L192" s="2" t="s">
        <v>3263</v>
      </c>
      <c r="M192" s="2" t="s">
        <v>3264</v>
      </c>
      <c r="N192" s="2" t="s">
        <v>36</v>
      </c>
      <c r="O192" s="2" t="s">
        <v>4054</v>
      </c>
      <c r="P192" s="2" t="s">
        <v>36</v>
      </c>
      <c r="Q192" s="2" t="s">
        <v>1968</v>
      </c>
      <c r="R192" s="2" t="s">
        <v>3274</v>
      </c>
      <c r="S192" s="2" t="s">
        <v>37</v>
      </c>
      <c r="T192" s="2" t="s">
        <v>37</v>
      </c>
      <c r="U192" s="2" t="s">
        <v>76</v>
      </c>
      <c r="V192" s="3">
        <v>46034</v>
      </c>
      <c r="W192" s="2" t="s">
        <v>135</v>
      </c>
      <c r="X192" s="2" t="str">
        <f t="shared" si="8"/>
        <v>Huayco Maz.C.Lt.5, Lurigancho, Lima, Lima, Perú</v>
      </c>
      <c r="Y192" s="22">
        <v>-11.9933321</v>
      </c>
      <c r="Z192" s="22">
        <v>-77.1103454</v>
      </c>
      <c r="AA192" s="33">
        <f t="shared" si="9"/>
        <v>22.88</v>
      </c>
      <c r="AB192" s="2" t="str">
        <f t="shared" si="10"/>
        <v>🔴 Lejos (&gt;20 km)</v>
      </c>
      <c r="AC192" s="2" t="str" cm="1">
        <f t="array" ref="AC192">INDEX(PARADEROS_VALIDOS!$C$2:$C$68,MATCH(MIN(6371*ACOS(COS(RADIANS(Y192))*COS(RADIANS(PARADEROS_VALIDOS!$E$2:$E$68))*COS(RADIANS(PARADEROS_VALIDOS!$F$2:$F$68)-RADIANS(Z192))+SIN(RADIANS(Y192))*SIN(RADIANS(PARADEROS_VALIDOS!$E$2:$E$68)))),6371*ACOS(COS(RADIANS(Y192))*COS(RADIANS(PARADEROS_VALIDOS!$E$2:$E$68))*COS(RADIANS(PARADEROS_VALIDOS!$F$2:$F$68)-RADIANS(Z192))+SIN(RADIANS(Y192))*SIN(RADIANS(PARADEROS_VALIDOS!$E$2:$E$68))),0))</f>
        <v>Paradero 200 Millas</v>
      </c>
      <c r="AD192" s="2" t="str">
        <f>IFERROR(INDEX(PARADEROS_VALIDOS!$A$2:$A$68,MATCH(AC192,PARADEROS_VALIDOS!$C$2:$C$68,0)),"")</f>
        <v>RUTA 7</v>
      </c>
      <c r="AE192" s="33" cm="1">
        <f t="array" ref="AE192">ROUND(MIN(6371*ACOS(COS(RADIANS(Y192))*COS(RADIANS(PARADEROS_VALIDOS!$E$2:$E$68))*COS(RADIANS(PARADEROS_VALIDOS!$F$2:$F$68)-RADIANS(Z192))+SIN(RADIANS(Y192))*SIN(RADIANS(PARADEROS_VALIDOS!$E$2:$E$68)))),2)</f>
        <v>1.59</v>
      </c>
      <c r="AF192" s="2" t="str">
        <f t="shared" si="11"/>
        <v>🟡 Cerca (1-3 km)</v>
      </c>
      <c r="AG192" s="2"/>
      <c r="AH192" s="2"/>
      <c r="AI192" s="51">
        <v>-11.997563</v>
      </c>
      <c r="AJ192" s="51">
        <v>-76.900062000000005</v>
      </c>
      <c r="AK192" s="2" t="str">
        <f>IFERROR(VLOOKUP(H192,tdcargo[],2,FALSE),"DESCONOCIDO")</f>
        <v>OPERARIO</v>
      </c>
    </row>
    <row r="193" spans="1:37" x14ac:dyDescent="0.35">
      <c r="A193" s="2" t="s">
        <v>4055</v>
      </c>
      <c r="B193" s="2" t="s">
        <v>4056</v>
      </c>
      <c r="C193" s="2" t="s">
        <v>4057</v>
      </c>
      <c r="D193" s="2" t="s">
        <v>3755</v>
      </c>
      <c r="E193" s="2">
        <v>18</v>
      </c>
      <c r="F193" s="2" t="s">
        <v>3255</v>
      </c>
      <c r="G193" s="2">
        <v>20508062</v>
      </c>
      <c r="H193" s="2" t="s">
        <v>1971</v>
      </c>
      <c r="I193" s="3">
        <v>46097</v>
      </c>
      <c r="J193" s="2" t="s">
        <v>31</v>
      </c>
      <c r="K193" s="3" t="s">
        <v>1968</v>
      </c>
      <c r="L193" s="2" t="s">
        <v>3299</v>
      </c>
      <c r="M193" s="2" t="s">
        <v>3300</v>
      </c>
      <c r="N193" s="2" t="s">
        <v>36</v>
      </c>
      <c r="O193" s="2" t="s">
        <v>208</v>
      </c>
      <c r="P193" s="2" t="s">
        <v>36</v>
      </c>
      <c r="Q193" s="2" t="s">
        <v>1487</v>
      </c>
      <c r="R193" s="2" t="s">
        <v>3291</v>
      </c>
      <c r="S193" s="2" t="s">
        <v>37</v>
      </c>
      <c r="T193" s="2" t="s">
        <v>37</v>
      </c>
      <c r="U193" s="2" t="s">
        <v>57</v>
      </c>
      <c r="V193" s="3">
        <v>46097</v>
      </c>
      <c r="W193" s="2" t="s">
        <v>135</v>
      </c>
      <c r="X193" s="2" t="str">
        <f t="shared" ref="X193:X236" si="12">_xlfn.LET(_xlpm.parte1,TRIM(IF(OR(N193="Otros / No aplica",N193=""),"",N193&amp;" ")&amp;O193&amp;IF(AND(P193&lt;&gt;"",P193&lt;&gt;"Otros / No aplica"),", "&amp;P193,"")&amp;IF(AND(Q193&lt;&gt;"",Q193&lt;&gt;"Nd",Q193&lt;&gt;0,Q193&lt;&gt;"0")," "&amp;Q193,"")),_xlpm.parte2,U193&amp;", "&amp;T193&amp;", "&amp;S193&amp;", Perú",IF(LEFT(_xlpm.parte1,1)=",",TRIM(MID(_xlpm.parte1,2,255))&amp;", "&amp;_xlpm.parte2,IF(_xlpm.parte1="",_xlpm.parte2,_xlpm.parte1&amp;", "&amp;_xlpm.parte2)))</f>
        <v>La Florida CAJAMARQUILLA, Ate, Lima, Lima, Perú</v>
      </c>
      <c r="Y193" s="22">
        <v>-11.984105100000001</v>
      </c>
      <c r="Z193" s="22">
        <v>-76.9183594</v>
      </c>
      <c r="AA193" s="33">
        <f t="shared" ref="AA193:AA236" si="13">ROUND(6371*ACOS(COS(RADIANS(-11.997563))*COS(RADIANS(Y193))*COS(RADIANS(Z193)-RADIANS(-76.900062))+SIN(RADIANS(-11.997563))*SIN(RADIANS(Y193))),2)</f>
        <v>2.4900000000000002</v>
      </c>
      <c r="AB193" s="2" t="str">
        <f t="shared" ref="AB193:AB236" si="14">IF(AA193&lt;=5,"🟢 Muy Cerca (0-5 km)",IF(AA193&lt;=10,"🟡 Cerca (5-10 km)",IF(AA193&lt;=20,"🟠 Moderada (10-20 km)","🔴 Lejos (&gt;20 km)")))</f>
        <v>🟢 Muy Cerca (0-5 km)</v>
      </c>
      <c r="AC193" s="2" t="str" cm="1">
        <f t="array" ref="AC193">INDEX(PARADEROS_VALIDOS!$C$2:$C$68,MATCH(MIN(6371*ACOS(COS(RADIANS(Y193))*COS(RADIANS(PARADEROS_VALIDOS!$E$2:$E$68))*COS(RADIANS(PARADEROS_VALIDOS!$F$2:$F$68)-RADIANS(Z193))+SIN(RADIANS(Y193))*SIN(RADIANS(PARADEROS_VALIDOS!$E$2:$E$68)))),6371*ACOS(COS(RADIANS(Y193))*COS(RADIANS(PARADEROS_VALIDOS!$E$2:$E$68))*COS(RADIANS(PARADEROS_VALIDOS!$F$2:$F$68)-RADIANS(Z193))+SIN(RADIANS(Y193))*SIN(RADIANS(PARADEROS_VALIDOS!$E$2:$E$68))),0))</f>
        <v>Paradero Arco San Antonio</v>
      </c>
      <c r="AD193" s="2" t="str">
        <f>IFERROR(INDEX(PARADEROS_VALIDOS!$A$2:$A$68,MATCH(AC193,PARADEROS_VALIDOS!$C$2:$C$68,0)),"")</f>
        <v>RUTA 2</v>
      </c>
      <c r="AE193" s="33" cm="1">
        <f t="array" ref="AE193">ROUND(MIN(6371*ACOS(COS(RADIANS(Y193))*COS(RADIANS(PARADEROS_VALIDOS!$E$2:$E$68))*COS(RADIANS(PARADEROS_VALIDOS!$F$2:$F$68)-RADIANS(Z193))+SIN(RADIANS(Y193))*SIN(RADIANS(PARADEROS_VALIDOS!$E$2:$E$68)))),2)</f>
        <v>1.96</v>
      </c>
      <c r="AF193" s="2" t="str">
        <f t="shared" ref="AF193:AF236" si="15">IF(AE193&lt;=1,"🟢 Muy Cerca (0-1 km)",IF(AE193&lt;=3,"🟡 Cerca (1-3 km)",IF(AE193&lt;=5,"🟠 Moderada (3-5 km)","🔴 Lejos (&gt;5 km)")))</f>
        <v>🟡 Cerca (1-3 km)</v>
      </c>
      <c r="AG193" s="2"/>
      <c r="AH193" s="2"/>
      <c r="AI193" s="51">
        <v>-11.997563</v>
      </c>
      <c r="AJ193" s="51">
        <v>-76.900062000000005</v>
      </c>
      <c r="AK193" s="2" t="str">
        <f>IFERROR(VLOOKUP(H193,tdcargo[],2,FALSE),"DESCONOCIDO")</f>
        <v>OPERARIO</v>
      </c>
    </row>
    <row r="194" spans="1:37" x14ac:dyDescent="0.35">
      <c r="A194" s="2" t="s">
        <v>4058</v>
      </c>
      <c r="B194" s="2" t="s">
        <v>4059</v>
      </c>
      <c r="C194" s="2" t="s">
        <v>720</v>
      </c>
      <c r="D194" s="2" t="s">
        <v>1392</v>
      </c>
      <c r="E194" s="2">
        <v>27</v>
      </c>
      <c r="F194" s="2" t="s">
        <v>3255</v>
      </c>
      <c r="G194" s="2">
        <v>20508133</v>
      </c>
      <c r="H194" s="2" t="s">
        <v>372</v>
      </c>
      <c r="I194" s="3">
        <v>44525</v>
      </c>
      <c r="J194" s="2" t="s">
        <v>31</v>
      </c>
      <c r="K194" s="3" t="s">
        <v>1968</v>
      </c>
      <c r="L194" s="2" t="s">
        <v>3413</v>
      </c>
      <c r="M194" s="2" t="s">
        <v>3305</v>
      </c>
      <c r="N194" s="2" t="s">
        <v>34</v>
      </c>
      <c r="O194" s="2" t="s">
        <v>4060</v>
      </c>
      <c r="P194" s="2" t="s">
        <v>88</v>
      </c>
      <c r="Q194" s="2" t="s">
        <v>196</v>
      </c>
      <c r="R194" s="2" t="s">
        <v>3274</v>
      </c>
      <c r="S194" s="2" t="s">
        <v>37</v>
      </c>
      <c r="T194" s="2" t="s">
        <v>37</v>
      </c>
      <c r="U194" s="2" t="s">
        <v>76</v>
      </c>
      <c r="V194" s="3">
        <v>44525</v>
      </c>
      <c r="W194" s="2" t="s">
        <v>48</v>
      </c>
      <c r="X194" s="2" t="str">
        <f t="shared" si="12"/>
        <v>Avenida Av Tupac Amaru, A.H. Asentamiento Humano San Antonio, Lurigancho, Lima, Lima, Perú</v>
      </c>
      <c r="Y194" s="22">
        <v>-11.898895100000001</v>
      </c>
      <c r="Z194" s="22">
        <v>-76.961655500000006</v>
      </c>
      <c r="AA194" s="33">
        <f t="shared" si="13"/>
        <v>12.86</v>
      </c>
      <c r="AB194" s="2" t="str">
        <f t="shared" si="14"/>
        <v>🟠 Moderada (10-20 km)</v>
      </c>
      <c r="AC194" s="2" t="str" cm="1">
        <f t="array" ref="AC194">INDEX(PARADEROS_VALIDOS!$C$2:$C$68,MATCH(MIN(6371*ACOS(COS(RADIANS(Y194))*COS(RADIANS(PARADEROS_VALIDOS!$E$2:$E$68))*COS(RADIANS(PARADEROS_VALIDOS!$F$2:$F$68)-RADIANS(Z194))+SIN(RADIANS(Y194))*SIN(RADIANS(PARADEROS_VALIDOS!$E$2:$E$68)))),6371*ACOS(COS(RADIANS(Y194))*COS(RADIANS(PARADEROS_VALIDOS!$E$2:$E$68))*COS(RADIANS(PARADEROS_VALIDOS!$F$2:$F$68)-RADIANS(Z194))+SIN(RADIANS(Y194))*SIN(RADIANS(PARADEROS_VALIDOS!$E$2:$E$68))),0))</f>
        <v>Paradero Acho</v>
      </c>
      <c r="AD194" s="2" t="str">
        <f>IFERROR(INDEX(PARADEROS_VALIDOS!$A$2:$A$68,MATCH(AC194,PARADEROS_VALIDOS!$C$2:$C$68,0)),"")</f>
        <v>RUTA 8</v>
      </c>
      <c r="AE194" s="33" cm="1">
        <f t="array" ref="AE194">ROUND(MIN(6371*ACOS(COS(RADIANS(Y194))*COS(RADIANS(PARADEROS_VALIDOS!$E$2:$E$68))*COS(RADIANS(PARADEROS_VALIDOS!$F$2:$F$68)-RADIANS(Z194))+SIN(RADIANS(Y194))*SIN(RADIANS(PARADEROS_VALIDOS!$E$2:$E$68)))),2)</f>
        <v>9.3699999999999992</v>
      </c>
      <c r="AF194" s="2" t="str">
        <f t="shared" si="15"/>
        <v>🔴 Lejos (&gt;5 km)</v>
      </c>
      <c r="AG194" s="2"/>
      <c r="AH194" s="2"/>
      <c r="AI194" s="51">
        <v>-11.997563</v>
      </c>
      <c r="AJ194" s="51">
        <v>-76.900062000000005</v>
      </c>
      <c r="AK194" s="2" t="str">
        <f>IFERROR(VLOOKUP(H194,tdcargo[],2,FALSE),"DESCONOCIDO")</f>
        <v>OPERARIO</v>
      </c>
    </row>
    <row r="195" spans="1:37" x14ac:dyDescent="0.35">
      <c r="A195" s="2" t="s">
        <v>3257</v>
      </c>
      <c r="B195" s="2" t="s">
        <v>1486</v>
      </c>
      <c r="C195" s="2" t="s">
        <v>4061</v>
      </c>
      <c r="D195" s="2" t="s">
        <v>4062</v>
      </c>
      <c r="E195" s="2">
        <v>50</v>
      </c>
      <c r="F195" s="2" t="s">
        <v>3255</v>
      </c>
      <c r="G195" s="2">
        <v>20507997</v>
      </c>
      <c r="H195" s="2" t="s">
        <v>2130</v>
      </c>
      <c r="I195" s="3">
        <v>41761</v>
      </c>
      <c r="J195" s="2" t="s">
        <v>31</v>
      </c>
      <c r="K195" s="3" t="s">
        <v>1968</v>
      </c>
      <c r="L195" s="2" t="s">
        <v>3419</v>
      </c>
      <c r="M195" s="2" t="s">
        <v>3420</v>
      </c>
      <c r="N195" s="2" t="s">
        <v>53</v>
      </c>
      <c r="O195" s="2" t="s">
        <v>4063</v>
      </c>
      <c r="P195" s="2" t="s">
        <v>186</v>
      </c>
      <c r="Q195" s="2" t="s">
        <v>945</v>
      </c>
      <c r="R195" s="2" t="s">
        <v>3416</v>
      </c>
      <c r="S195" s="2" t="s">
        <v>37</v>
      </c>
      <c r="T195" s="2" t="s">
        <v>37</v>
      </c>
      <c r="U195" s="2" t="s">
        <v>37</v>
      </c>
      <c r="V195" s="3">
        <v>41761</v>
      </c>
      <c r="W195" s="2" t="s">
        <v>48</v>
      </c>
      <c r="X195" s="2" t="str">
        <f t="shared" si="12"/>
        <v>Jirón Tahuantinsuyo, Urb. Urbanización Zarate, Lima, Lima, Lima, Perú</v>
      </c>
      <c r="Y195" s="22">
        <v>-12.0266871</v>
      </c>
      <c r="Z195" s="22">
        <v>-76.999036000000004</v>
      </c>
      <c r="AA195" s="33">
        <f t="shared" si="13"/>
        <v>11.24</v>
      </c>
      <c r="AB195" s="2" t="str">
        <f t="shared" si="14"/>
        <v>🟠 Moderada (10-20 km)</v>
      </c>
      <c r="AC195" s="2" t="str" cm="1">
        <f t="array" ref="AC195">INDEX(PARADEROS_VALIDOS!$C$2:$C$68,MATCH(MIN(6371*ACOS(COS(RADIANS(Y195))*COS(RADIANS(PARADEROS_VALIDOS!$E$2:$E$68))*COS(RADIANS(PARADEROS_VALIDOS!$F$2:$F$68)-RADIANS(Z195))+SIN(RADIANS(Y195))*SIN(RADIANS(PARADEROS_VALIDOS!$E$2:$E$68)))),6371*ACOS(COS(RADIANS(Y195))*COS(RADIANS(PARADEROS_VALIDOS!$E$2:$E$68))*COS(RADIANS(PARADEROS_VALIDOS!$F$2:$F$68)-RADIANS(Z195))+SIN(RADIANS(Y195))*SIN(RADIANS(PARADEROS_VALIDOS!$E$2:$E$68))),0))</f>
        <v>Puente Nuevo (Av. Chinchaysuyo &amp; Av. Malecón Checa)</v>
      </c>
      <c r="AD195" s="2" t="str">
        <f>IFERROR(INDEX(PARADEROS_VALIDOS!$A$2:$A$68,MATCH(AC195,PARADEROS_VALIDOS!$C$2:$C$68,0)),"")</f>
        <v>RUTA 6C</v>
      </c>
      <c r="AE195" s="33" cm="1">
        <f t="array" ref="AE195">ROUND(MIN(6371*ACOS(COS(RADIANS(Y195))*COS(RADIANS(PARADEROS_VALIDOS!$E$2:$E$68))*COS(RADIANS(PARADEROS_VALIDOS!$F$2:$F$68)-RADIANS(Z195))+SIN(RADIANS(Y195))*SIN(RADIANS(PARADEROS_VALIDOS!$E$2:$E$68)))),2)</f>
        <v>0.62</v>
      </c>
      <c r="AF195" s="2" t="str">
        <f t="shared" si="15"/>
        <v>🟢 Muy Cerca (0-1 km)</v>
      </c>
      <c r="AG195" s="2"/>
      <c r="AH195" s="2"/>
      <c r="AI195" s="51">
        <v>-11.997563</v>
      </c>
      <c r="AJ195" s="51">
        <v>-76.900062000000005</v>
      </c>
      <c r="AK195" s="2" t="str">
        <f>IFERROR(VLOOKUP(H195,tdcargo[],2,FALSE),"DESCONOCIDO")</f>
        <v>STAFF</v>
      </c>
    </row>
    <row r="196" spans="1:37" x14ac:dyDescent="0.35">
      <c r="A196" s="2" t="s">
        <v>4064</v>
      </c>
      <c r="B196" s="2" t="s">
        <v>4065</v>
      </c>
      <c r="C196" s="2" t="s">
        <v>4066</v>
      </c>
      <c r="D196" s="2" t="s">
        <v>4067</v>
      </c>
      <c r="E196" s="2">
        <v>29</v>
      </c>
      <c r="F196" s="2" t="s">
        <v>3255</v>
      </c>
      <c r="G196" s="2">
        <v>20508056</v>
      </c>
      <c r="H196" s="2" t="s">
        <v>1971</v>
      </c>
      <c r="I196" s="3">
        <v>45089</v>
      </c>
      <c r="J196" s="2" t="s">
        <v>31</v>
      </c>
      <c r="K196" s="3" t="s">
        <v>1968</v>
      </c>
      <c r="L196" s="2" t="s">
        <v>3299</v>
      </c>
      <c r="M196" s="2" t="s">
        <v>3300</v>
      </c>
      <c r="N196" s="2" t="s">
        <v>36</v>
      </c>
      <c r="O196" s="2" t="s">
        <v>1313</v>
      </c>
      <c r="P196" s="2" t="s">
        <v>66</v>
      </c>
      <c r="Q196" s="2" t="s">
        <v>1313</v>
      </c>
      <c r="R196" s="2" t="s">
        <v>3291</v>
      </c>
      <c r="S196" s="2" t="s">
        <v>37</v>
      </c>
      <c r="T196" s="2" t="s">
        <v>37</v>
      </c>
      <c r="U196" s="2" t="s">
        <v>57</v>
      </c>
      <c r="V196" s="3">
        <v>45089</v>
      </c>
      <c r="W196" s="2" t="s">
        <v>48</v>
      </c>
      <c r="X196" s="2" t="str">
        <f t="shared" si="12"/>
        <v>Las Palmeras, U.V. Unidad Vecinal Las Palmeras, Ate, Lima, Lima, Perú</v>
      </c>
      <c r="Y196" s="22">
        <v>-12.039498500000001</v>
      </c>
      <c r="Z196" s="22">
        <v>-76.904965000000004</v>
      </c>
      <c r="AA196" s="33">
        <f t="shared" si="13"/>
        <v>4.6900000000000004</v>
      </c>
      <c r="AB196" s="2" t="str">
        <f t="shared" si="14"/>
        <v>🟢 Muy Cerca (0-5 km)</v>
      </c>
      <c r="AC196" s="2" t="str" cm="1">
        <f t="array" ref="AC196">INDEX(PARADEROS_VALIDOS!$C$2:$C$68,MATCH(MIN(6371*ACOS(COS(RADIANS(Y196))*COS(RADIANS(PARADEROS_VALIDOS!$E$2:$E$68))*COS(RADIANS(PARADEROS_VALIDOS!$F$2:$F$68)-RADIANS(Z196))+SIN(RADIANS(Y196))*SIN(RADIANS(PARADEROS_VALIDOS!$E$2:$E$68)))),6371*ACOS(COS(RADIANS(Y196))*COS(RADIANS(PARADEROS_VALIDOS!$E$2:$E$68))*COS(RADIANS(PARADEROS_VALIDOS!$F$2:$F$68)-RADIANS(Z196))+SIN(RADIANS(Y196))*SIN(RADIANS(PARADEROS_VALIDOS!$E$2:$E$68))),0))</f>
        <v>Paradero Esperanza</v>
      </c>
      <c r="AD196" s="2" t="str">
        <f>IFERROR(INDEX(PARADEROS_VALIDOS!$A$2:$A$68,MATCH(AC196,PARADEROS_VALIDOS!$C$2:$C$68,0)),"")</f>
        <v>RUTA 4B</v>
      </c>
      <c r="AE196" s="33" cm="1">
        <f t="array" ref="AE196">ROUND(MIN(6371*ACOS(COS(RADIANS(Y196))*COS(RADIANS(PARADEROS_VALIDOS!$E$2:$E$68))*COS(RADIANS(PARADEROS_VALIDOS!$F$2:$F$68)-RADIANS(Z196))+SIN(RADIANS(Y196))*SIN(RADIANS(PARADEROS_VALIDOS!$E$2:$E$68)))),2)</f>
        <v>1.98</v>
      </c>
      <c r="AF196" s="2" t="str">
        <f t="shared" si="15"/>
        <v>🟡 Cerca (1-3 km)</v>
      </c>
      <c r="AG196" s="2"/>
      <c r="AH196" s="2"/>
      <c r="AI196" s="51">
        <v>-11.997563</v>
      </c>
      <c r="AJ196" s="51">
        <v>-76.900062000000005</v>
      </c>
      <c r="AK196" s="2" t="str">
        <f>IFERROR(VLOOKUP(H196,tdcargo[],2,FALSE),"DESCONOCIDO")</f>
        <v>OPERARIO</v>
      </c>
    </row>
    <row r="197" spans="1:37" x14ac:dyDescent="0.35">
      <c r="A197" s="2" t="s">
        <v>4068</v>
      </c>
      <c r="B197" s="2" t="s">
        <v>4069</v>
      </c>
      <c r="C197" s="2" t="s">
        <v>3501</v>
      </c>
      <c r="D197" s="2" t="s">
        <v>4070</v>
      </c>
      <c r="E197" s="2">
        <v>26</v>
      </c>
      <c r="F197" s="2" t="s">
        <v>3255</v>
      </c>
      <c r="G197" s="2">
        <v>20508081</v>
      </c>
      <c r="H197" s="2" t="s">
        <v>1971</v>
      </c>
      <c r="I197" s="3">
        <v>44571</v>
      </c>
      <c r="J197" s="2" t="s">
        <v>31</v>
      </c>
      <c r="K197" s="3" t="s">
        <v>1968</v>
      </c>
      <c r="L197" s="2" t="s">
        <v>3299</v>
      </c>
      <c r="M197" s="2" t="s">
        <v>3300</v>
      </c>
      <c r="N197" s="2" t="s">
        <v>148</v>
      </c>
      <c r="O197" s="2" t="s">
        <v>4071</v>
      </c>
      <c r="P197" s="2" t="s">
        <v>36</v>
      </c>
      <c r="Q197" s="2" t="s">
        <v>4072</v>
      </c>
      <c r="R197" s="2" t="s">
        <v>3504</v>
      </c>
      <c r="S197" s="2" t="s">
        <v>37</v>
      </c>
      <c r="T197" s="2" t="s">
        <v>37</v>
      </c>
      <c r="U197" s="2" t="s">
        <v>1602</v>
      </c>
      <c r="V197" s="3">
        <v>44571</v>
      </c>
      <c r="W197" s="2" t="s">
        <v>48</v>
      </c>
      <c r="X197" s="2" t="str">
        <f t="shared" si="12"/>
        <v>Pasaje Manzanedo Manzana Z Lt 6 Leticia, Rimac, Lima, Lima, Perú</v>
      </c>
      <c r="Y197" s="22">
        <v>-12.0304415</v>
      </c>
      <c r="Z197" s="22">
        <v>-77.031607300000005</v>
      </c>
      <c r="AA197" s="33">
        <f t="shared" si="13"/>
        <v>14.77</v>
      </c>
      <c r="AB197" s="2" t="str">
        <f t="shared" si="14"/>
        <v>🟠 Moderada (10-20 km)</v>
      </c>
      <c r="AC197" s="2" t="str" cm="1">
        <f t="array" ref="AC197">INDEX(PARADEROS_VALIDOS!$C$2:$C$68,MATCH(MIN(6371*ACOS(COS(RADIANS(Y197))*COS(RADIANS(PARADEROS_VALIDOS!$E$2:$E$68))*COS(RADIANS(PARADEROS_VALIDOS!$F$2:$F$68)-RADIANS(Z197))+SIN(RADIANS(Y197))*SIN(RADIANS(PARADEROS_VALIDOS!$E$2:$E$68)))),6371*ACOS(COS(RADIANS(Y197))*COS(RADIANS(PARADEROS_VALIDOS!$E$2:$E$68))*COS(RADIANS(PARADEROS_VALIDOS!$F$2:$F$68)-RADIANS(Z197))+SIN(RADIANS(Y197))*SIN(RADIANS(PARADEROS_VALIDOS!$E$2:$E$68))),0))</f>
        <v>Paradero Mercado Las Flores</v>
      </c>
      <c r="AD197" s="2" t="str">
        <f>IFERROR(INDEX(PARADEROS_VALIDOS!$A$2:$A$68,MATCH(AC197,PARADEROS_VALIDOS!$C$2:$C$68,0)),"")</f>
        <v>RUTA 8</v>
      </c>
      <c r="AE197" s="33" cm="1">
        <f t="array" ref="AE197">ROUND(MIN(6371*ACOS(COS(RADIANS(Y197))*COS(RADIANS(PARADEROS_VALIDOS!$E$2:$E$68))*COS(RADIANS(PARADEROS_VALIDOS!$F$2:$F$68)-RADIANS(Z197))+SIN(RADIANS(Y197))*SIN(RADIANS(PARADEROS_VALIDOS!$E$2:$E$68)))),2)</f>
        <v>0.57999999999999996</v>
      </c>
      <c r="AF197" s="2" t="str">
        <f t="shared" si="15"/>
        <v>🟢 Muy Cerca (0-1 km)</v>
      </c>
      <c r="AG197" s="2"/>
      <c r="AH197" s="2"/>
      <c r="AI197" s="51">
        <v>-11.997563</v>
      </c>
      <c r="AJ197" s="51">
        <v>-76.900062000000005</v>
      </c>
      <c r="AK197" s="2" t="str">
        <f>IFERROR(VLOOKUP(H197,tdcargo[],2,FALSE),"DESCONOCIDO")</f>
        <v>OPERARIO</v>
      </c>
    </row>
    <row r="198" spans="1:37" x14ac:dyDescent="0.35">
      <c r="A198" s="2" t="s">
        <v>4073</v>
      </c>
      <c r="B198" s="2" t="s">
        <v>4074</v>
      </c>
      <c r="C198" s="2" t="s">
        <v>43</v>
      </c>
      <c r="D198" s="2" t="s">
        <v>4075</v>
      </c>
      <c r="E198" s="2">
        <v>27</v>
      </c>
      <c r="F198" s="2" t="s">
        <v>3255</v>
      </c>
      <c r="G198" s="2">
        <v>20508087</v>
      </c>
      <c r="H198" s="2" t="s">
        <v>2031</v>
      </c>
      <c r="I198" s="3">
        <v>44305</v>
      </c>
      <c r="J198" s="2" t="s">
        <v>31</v>
      </c>
      <c r="K198" s="3" t="s">
        <v>1968</v>
      </c>
      <c r="L198" s="2" t="s">
        <v>3263</v>
      </c>
      <c r="M198" s="2" t="s">
        <v>3264</v>
      </c>
      <c r="N198" s="2" t="s">
        <v>793</v>
      </c>
      <c r="O198" s="2" t="s">
        <v>2553</v>
      </c>
      <c r="P198" s="2" t="s">
        <v>88</v>
      </c>
      <c r="Q198" s="2" t="s">
        <v>46</v>
      </c>
      <c r="R198" s="2" t="s">
        <v>3291</v>
      </c>
      <c r="S198" s="2" t="s">
        <v>37</v>
      </c>
      <c r="T198" s="2" t="s">
        <v>37</v>
      </c>
      <c r="U198" s="2" t="s">
        <v>57</v>
      </c>
      <c r="V198" s="3">
        <v>44305</v>
      </c>
      <c r="W198" s="2" t="s">
        <v>48</v>
      </c>
      <c r="X198" s="2" t="str">
        <f t="shared" si="12"/>
        <v>Carretera Los Alamos, A.H. Asentamiento Humano, Ate, Lima, Lima, Perú</v>
      </c>
      <c r="Y198" s="22">
        <v>-12.0111624</v>
      </c>
      <c r="Z198" s="22">
        <v>-76.878088500000004</v>
      </c>
      <c r="AA198" s="33">
        <f t="shared" si="13"/>
        <v>2.83</v>
      </c>
      <c r="AB198" s="2" t="str">
        <f t="shared" si="14"/>
        <v>🟢 Muy Cerca (0-5 km)</v>
      </c>
      <c r="AC198" s="2" t="str" cm="1">
        <f t="array" ref="AC198">INDEX(PARADEROS_VALIDOS!$C$2:$C$68,MATCH(MIN(6371*ACOS(COS(RADIANS(Y198))*COS(RADIANS(PARADEROS_VALIDOS!$E$2:$E$68))*COS(RADIANS(PARADEROS_VALIDOS!$F$2:$F$68)-RADIANS(Z198))+SIN(RADIANS(Y198))*SIN(RADIANS(PARADEROS_VALIDOS!$E$2:$E$68)))),6371*ACOS(COS(RADIANS(Y198))*COS(RADIANS(PARADEROS_VALIDOS!$E$2:$E$68))*COS(RADIANS(PARADEROS_VALIDOS!$F$2:$F$68)-RADIANS(Z198))+SIN(RADIANS(Y198))*SIN(RADIANS(PARADEROS_VALIDOS!$E$2:$E$68))),0))</f>
        <v>Paradero la Cruz</v>
      </c>
      <c r="AD198" s="2" t="str">
        <f>IFERROR(INDEX(PARADEROS_VALIDOS!$A$2:$A$68,MATCH(AC198,PARADEROS_VALIDOS!$C$2:$C$68,0)),"")</f>
        <v>RUTA 4B</v>
      </c>
      <c r="AE198" s="33" cm="1">
        <f t="array" ref="AE198">ROUND(MIN(6371*ACOS(COS(RADIANS(Y198))*COS(RADIANS(PARADEROS_VALIDOS!$E$2:$E$68))*COS(RADIANS(PARADEROS_VALIDOS!$F$2:$F$68)-RADIANS(Z198))+SIN(RADIANS(Y198))*SIN(RADIANS(PARADEROS_VALIDOS!$E$2:$E$68)))),2)</f>
        <v>0.86</v>
      </c>
      <c r="AF198" s="2" t="str">
        <f t="shared" si="15"/>
        <v>🟢 Muy Cerca (0-1 km)</v>
      </c>
      <c r="AG198" s="2"/>
      <c r="AH198" s="2"/>
      <c r="AI198" s="51">
        <v>-11.997563</v>
      </c>
      <c r="AJ198" s="51">
        <v>-76.900062000000005</v>
      </c>
      <c r="AK198" s="2" t="str">
        <f>IFERROR(VLOOKUP(H198,tdcargo[],2,FALSE),"DESCONOCIDO")</f>
        <v>STAFF</v>
      </c>
    </row>
    <row r="199" spans="1:37" x14ac:dyDescent="0.35">
      <c r="A199" s="2" t="s">
        <v>4076</v>
      </c>
      <c r="B199" s="2" t="s">
        <v>4077</v>
      </c>
      <c r="C199" s="2" t="s">
        <v>364</v>
      </c>
      <c r="D199" s="2" t="s">
        <v>4078</v>
      </c>
      <c r="E199" s="2">
        <v>28</v>
      </c>
      <c r="F199" s="2" t="s">
        <v>3255</v>
      </c>
      <c r="G199" s="2">
        <v>20515059</v>
      </c>
      <c r="H199" s="2" t="s">
        <v>1971</v>
      </c>
      <c r="I199" s="3">
        <v>45964</v>
      </c>
      <c r="J199" s="2" t="s">
        <v>31</v>
      </c>
      <c r="K199" s="3" t="s">
        <v>1968</v>
      </c>
      <c r="L199" s="2" t="s">
        <v>3256</v>
      </c>
      <c r="M199" s="2" t="s">
        <v>3257</v>
      </c>
      <c r="N199" s="2" t="s">
        <v>36</v>
      </c>
      <c r="O199" s="2" t="s">
        <v>748</v>
      </c>
      <c r="P199" s="2" t="s">
        <v>36</v>
      </c>
      <c r="Q199" s="2" t="s">
        <v>4079</v>
      </c>
      <c r="R199" s="2" t="s">
        <v>3274</v>
      </c>
      <c r="S199" s="2" t="s">
        <v>37</v>
      </c>
      <c r="T199" s="2" t="s">
        <v>37</v>
      </c>
      <c r="U199" s="2" t="s">
        <v>76</v>
      </c>
      <c r="V199" s="3">
        <v>45964</v>
      </c>
      <c r="W199" s="2" t="s">
        <v>39</v>
      </c>
      <c r="X199" s="2" t="str">
        <f t="shared" si="12"/>
        <v>Nieveria Esmeralda De Jicamar, Lurigancho, Lima, Lima, Perú</v>
      </c>
      <c r="Y199" s="22">
        <v>-11.9783613</v>
      </c>
      <c r="Z199" s="22">
        <v>-76.925780799999998</v>
      </c>
      <c r="AA199" s="33">
        <f t="shared" si="13"/>
        <v>3.52</v>
      </c>
      <c r="AB199" s="2" t="str">
        <f t="shared" si="14"/>
        <v>🟢 Muy Cerca (0-5 km)</v>
      </c>
      <c r="AC199" s="2" t="str" cm="1">
        <f t="array" ref="AC199">INDEX(PARADEROS_VALIDOS!$C$2:$C$68,MATCH(MIN(6371*ACOS(COS(RADIANS(Y199))*COS(RADIANS(PARADEROS_VALIDOS!$E$2:$E$68))*COS(RADIANS(PARADEROS_VALIDOS!$F$2:$F$68)-RADIANS(Z199))+SIN(RADIANS(Y199))*SIN(RADIANS(PARADEROS_VALIDOS!$E$2:$E$68)))),6371*ACOS(COS(RADIANS(Y199))*COS(RADIANS(PARADEROS_VALIDOS!$E$2:$E$68))*COS(RADIANS(PARADEROS_VALIDOS!$F$2:$F$68)-RADIANS(Z199))+SIN(RADIANS(Y199))*SIN(RADIANS(PARADEROS_VALIDOS!$E$2:$E$68))),0))</f>
        <v>Paradero Arco San Antonio</v>
      </c>
      <c r="AD199" s="2" t="str">
        <f>IFERROR(INDEX(PARADEROS_VALIDOS!$A$2:$A$68,MATCH(AC199,PARADEROS_VALIDOS!$C$2:$C$68,0)),"")</f>
        <v>RUTA 2</v>
      </c>
      <c r="AE199" s="33" cm="1">
        <f t="array" ref="AE199">ROUND(MIN(6371*ACOS(COS(RADIANS(Y199))*COS(RADIANS(PARADEROS_VALIDOS!$E$2:$E$68))*COS(RADIANS(PARADEROS_VALIDOS!$F$2:$F$68)-RADIANS(Z199))+SIN(RADIANS(Y199))*SIN(RADIANS(PARADEROS_VALIDOS!$E$2:$E$68)))),2)</f>
        <v>2.98</v>
      </c>
      <c r="AF199" s="2" t="str">
        <f t="shared" si="15"/>
        <v>🟡 Cerca (1-3 km)</v>
      </c>
      <c r="AG199" s="2"/>
      <c r="AH199" s="2"/>
      <c r="AI199" s="51">
        <v>-11.997563</v>
      </c>
      <c r="AJ199" s="51">
        <v>-76.900062000000005</v>
      </c>
      <c r="AK199" s="2" t="str">
        <f>IFERROR(VLOOKUP(H199,tdcargo[],2,FALSE),"DESCONOCIDO")</f>
        <v>OPERARIO</v>
      </c>
    </row>
    <row r="200" spans="1:37" x14ac:dyDescent="0.35">
      <c r="A200" s="2" t="s">
        <v>4080</v>
      </c>
      <c r="B200" s="2" t="s">
        <v>4081</v>
      </c>
      <c r="C200" s="2" t="s">
        <v>4082</v>
      </c>
      <c r="D200" s="2" t="s">
        <v>4083</v>
      </c>
      <c r="E200" s="2">
        <v>23</v>
      </c>
      <c r="F200" s="2" t="s">
        <v>3255</v>
      </c>
      <c r="G200" s="2">
        <v>20508078</v>
      </c>
      <c r="H200" s="2" t="s">
        <v>1971</v>
      </c>
      <c r="I200" s="3">
        <v>44991</v>
      </c>
      <c r="J200" s="2" t="s">
        <v>31</v>
      </c>
      <c r="K200" s="3" t="s">
        <v>1968</v>
      </c>
      <c r="L200" s="2" t="s">
        <v>3299</v>
      </c>
      <c r="M200" s="2" t="s">
        <v>3300</v>
      </c>
      <c r="N200" s="2" t="s">
        <v>34</v>
      </c>
      <c r="O200" s="2" t="s">
        <v>83</v>
      </c>
      <c r="P200" s="2" t="s">
        <v>88</v>
      </c>
      <c r="Q200" s="2" t="s">
        <v>4084</v>
      </c>
      <c r="R200" s="2" t="s">
        <v>3291</v>
      </c>
      <c r="S200" s="2" t="s">
        <v>37</v>
      </c>
      <c r="T200" s="2" t="s">
        <v>37</v>
      </c>
      <c r="U200" s="2" t="s">
        <v>57</v>
      </c>
      <c r="V200" s="3">
        <v>44991</v>
      </c>
      <c r="W200" s="2" t="s">
        <v>48</v>
      </c>
      <c r="X200" s="2" t="str">
        <f t="shared" si="12"/>
        <v>Avenida Los Rosales, A.H. Asentamiento Humano Amauta Zona B, Ate, Lima, Lima, Perú</v>
      </c>
      <c r="Y200" s="22">
        <v>-12.044263600000001</v>
      </c>
      <c r="Z200" s="22">
        <v>-76.901772500000007</v>
      </c>
      <c r="AA200" s="33">
        <f t="shared" si="13"/>
        <v>5.2</v>
      </c>
      <c r="AB200" s="2" t="str">
        <f t="shared" si="14"/>
        <v>🟡 Cerca (5-10 km)</v>
      </c>
      <c r="AC200" s="2" t="str" cm="1">
        <f t="array" ref="AC200">INDEX(PARADEROS_VALIDOS!$C$2:$C$68,MATCH(MIN(6371*ACOS(COS(RADIANS(Y200))*COS(RADIANS(PARADEROS_VALIDOS!$E$2:$E$68))*COS(RADIANS(PARADEROS_VALIDOS!$F$2:$F$68)-RADIANS(Z200))+SIN(RADIANS(Y200))*SIN(RADIANS(PARADEROS_VALIDOS!$E$2:$E$68)))),6371*ACOS(COS(RADIANS(Y200))*COS(RADIANS(PARADEROS_VALIDOS!$E$2:$E$68))*COS(RADIANS(PARADEROS_VALIDOS!$F$2:$F$68)-RADIANS(Z200))+SIN(RADIANS(Y200))*SIN(RADIANS(PARADEROS_VALIDOS!$E$2:$E$68))),0))</f>
        <v>Paradero Esperanza</v>
      </c>
      <c r="AD200" s="2" t="str">
        <f>IFERROR(INDEX(PARADEROS_VALIDOS!$A$2:$A$68,MATCH(AC200,PARADEROS_VALIDOS!$C$2:$C$68,0)),"")</f>
        <v>RUTA 4B</v>
      </c>
      <c r="AE200" s="33" cm="1">
        <f t="array" ref="AE200">ROUND(MIN(6371*ACOS(COS(RADIANS(Y200))*COS(RADIANS(PARADEROS_VALIDOS!$E$2:$E$68))*COS(RADIANS(PARADEROS_VALIDOS!$F$2:$F$68)-RADIANS(Z200))+SIN(RADIANS(Y200))*SIN(RADIANS(PARADEROS_VALIDOS!$E$2:$E$68)))),2)</f>
        <v>2.56</v>
      </c>
      <c r="AF200" s="2" t="str">
        <f t="shared" si="15"/>
        <v>🟡 Cerca (1-3 km)</v>
      </c>
      <c r="AG200" s="2"/>
      <c r="AH200" s="2"/>
      <c r="AI200" s="51">
        <v>-11.997563</v>
      </c>
      <c r="AJ200" s="51">
        <v>-76.900062000000005</v>
      </c>
      <c r="AK200" s="2" t="str">
        <f>IFERROR(VLOOKUP(H200,tdcargo[],2,FALSE),"DESCONOCIDO")</f>
        <v>OPERARIO</v>
      </c>
    </row>
    <row r="201" spans="1:37" x14ac:dyDescent="0.35">
      <c r="A201" s="2" t="s">
        <v>4085</v>
      </c>
      <c r="B201" s="2" t="s">
        <v>4086</v>
      </c>
      <c r="C201" s="2" t="s">
        <v>265</v>
      </c>
      <c r="D201" s="2" t="s">
        <v>414</v>
      </c>
      <c r="E201" s="2">
        <v>32</v>
      </c>
      <c r="F201" s="2" t="s">
        <v>3255</v>
      </c>
      <c r="G201" s="2">
        <v>20508118</v>
      </c>
      <c r="H201" s="2" t="s">
        <v>2001</v>
      </c>
      <c r="I201" s="3">
        <v>43563</v>
      </c>
      <c r="J201" s="2" t="s">
        <v>31</v>
      </c>
      <c r="K201" s="3" t="s">
        <v>1968</v>
      </c>
      <c r="L201" s="2" t="s">
        <v>3271</v>
      </c>
      <c r="M201" s="2" t="s">
        <v>3272</v>
      </c>
      <c r="N201" s="2" t="s">
        <v>36</v>
      </c>
      <c r="O201" s="2" t="s">
        <v>4087</v>
      </c>
      <c r="P201" s="2" t="s">
        <v>36</v>
      </c>
      <c r="Q201" s="2" t="s">
        <v>46</v>
      </c>
      <c r="R201" s="2" t="s">
        <v>3274</v>
      </c>
      <c r="S201" s="2" t="s">
        <v>37</v>
      </c>
      <c r="T201" s="2" t="s">
        <v>37</v>
      </c>
      <c r="U201" s="2" t="s">
        <v>76</v>
      </c>
      <c r="V201" s="3">
        <v>43563</v>
      </c>
      <c r="W201" s="2" t="s">
        <v>48</v>
      </c>
      <c r="X201" s="2" t="str">
        <f t="shared" si="12"/>
        <v>Pablo Patron Chosica, Lurigancho, Lima, Lima, Perú</v>
      </c>
      <c r="Y201" s="22">
        <v>-11.928160099999999</v>
      </c>
      <c r="Z201" s="22">
        <v>-76.685098600000003</v>
      </c>
      <c r="AA201" s="33">
        <f t="shared" si="13"/>
        <v>24.62</v>
      </c>
      <c r="AB201" s="2" t="str">
        <f t="shared" si="14"/>
        <v>🔴 Lejos (&gt;20 km)</v>
      </c>
      <c r="AC201" s="2" t="str" cm="1">
        <f t="array" ref="AC201">INDEX(PARADEROS_VALIDOS!$C$2:$C$68,MATCH(MIN(6371*ACOS(COS(RADIANS(Y201))*COS(RADIANS(PARADEROS_VALIDOS!$E$2:$E$68))*COS(RADIANS(PARADEROS_VALIDOS!$F$2:$F$68)-RADIANS(Z201))+SIN(RADIANS(Y201))*SIN(RADIANS(PARADEROS_VALIDOS!$E$2:$E$68)))),6371*ACOS(COS(RADIANS(Y201))*COS(RADIANS(PARADEROS_VALIDOS!$E$2:$E$68))*COS(RADIANS(PARADEROS_VALIDOS!$F$2:$F$68)-RADIANS(Z201))+SIN(RADIANS(Y201))*SIN(RADIANS(PARADEROS_VALIDOS!$E$2:$E$68))),0))</f>
        <v>Paradero Girasoles - Chaclacayo</v>
      </c>
      <c r="AD201" s="2" t="str">
        <f>IFERROR(INDEX(PARADEROS_VALIDOS!$A$2:$A$68,MATCH(AC201,PARADEROS_VALIDOS!$C$2:$C$68,0)),"")</f>
        <v>RUTA 5A</v>
      </c>
      <c r="AE201" s="33" cm="1">
        <f t="array" ref="AE201">ROUND(MIN(6371*ACOS(COS(RADIANS(Y201))*COS(RADIANS(PARADEROS_VALIDOS!$E$2:$E$68))*COS(RADIANS(PARADEROS_VALIDOS!$F$2:$F$68)-RADIANS(Z201))+SIN(RADIANS(Y201))*SIN(RADIANS(PARADEROS_VALIDOS!$E$2:$E$68)))),2)</f>
        <v>10.92</v>
      </c>
      <c r="AF201" s="2" t="str">
        <f t="shared" si="15"/>
        <v>🔴 Lejos (&gt;5 km)</v>
      </c>
      <c r="AG201" s="2"/>
      <c r="AH201" s="2"/>
      <c r="AI201" s="51">
        <v>-11.997563</v>
      </c>
      <c r="AJ201" s="51">
        <v>-76.900062000000005</v>
      </c>
      <c r="AK201" s="2" t="str">
        <f>IFERROR(VLOOKUP(H201,tdcargo[],2,FALSE),"DESCONOCIDO")</f>
        <v>OPERARIO</v>
      </c>
    </row>
    <row r="202" spans="1:37" x14ac:dyDescent="0.35">
      <c r="A202" s="2" t="s">
        <v>4088</v>
      </c>
      <c r="B202" s="2" t="s">
        <v>4089</v>
      </c>
      <c r="C202" s="2" t="s">
        <v>531</v>
      </c>
      <c r="D202" s="2" t="s">
        <v>467</v>
      </c>
      <c r="E202" s="2">
        <v>28</v>
      </c>
      <c r="F202" s="2" t="s">
        <v>3255</v>
      </c>
      <c r="G202" s="2">
        <v>20511983</v>
      </c>
      <c r="H202" s="2" t="s">
        <v>1971</v>
      </c>
      <c r="I202" s="3">
        <v>45583</v>
      </c>
      <c r="J202" s="2" t="s">
        <v>31</v>
      </c>
      <c r="K202" s="3" t="s">
        <v>1968</v>
      </c>
      <c r="L202" s="2" t="s">
        <v>3299</v>
      </c>
      <c r="M202" s="2" t="s">
        <v>3300</v>
      </c>
      <c r="N202" s="2" t="s">
        <v>82</v>
      </c>
      <c r="O202" s="2" t="s">
        <v>2474</v>
      </c>
      <c r="P202" s="2" t="s">
        <v>36</v>
      </c>
      <c r="Q202" s="2" t="s">
        <v>1803</v>
      </c>
      <c r="R202" s="2" t="s">
        <v>3274</v>
      </c>
      <c r="S202" s="2" t="s">
        <v>37</v>
      </c>
      <c r="T202" s="2" t="s">
        <v>37</v>
      </c>
      <c r="U202" s="2" t="s">
        <v>76</v>
      </c>
      <c r="V202" s="3">
        <v>45583</v>
      </c>
      <c r="W202" s="2" t="s">
        <v>48</v>
      </c>
      <c r="X202" s="2" t="str">
        <f t="shared" si="12"/>
        <v>Calle Los Frutales Chambala, Lurigancho, Lima, Lima, Perú</v>
      </c>
      <c r="Y202" s="22">
        <v>-11.997818199999999</v>
      </c>
      <c r="Z202" s="22">
        <v>-76.905962500000001</v>
      </c>
      <c r="AA202" s="33">
        <f t="shared" si="13"/>
        <v>0.64</v>
      </c>
      <c r="AB202" s="2" t="str">
        <f t="shared" si="14"/>
        <v>🟢 Muy Cerca (0-5 km)</v>
      </c>
      <c r="AC202" s="2" t="str" cm="1">
        <f t="array" ref="AC202">INDEX(PARADEROS_VALIDOS!$C$2:$C$68,MATCH(MIN(6371*ACOS(COS(RADIANS(Y202))*COS(RADIANS(PARADEROS_VALIDOS!$E$2:$E$68))*COS(RADIANS(PARADEROS_VALIDOS!$F$2:$F$68)-RADIANS(Z202))+SIN(RADIANS(Y202))*SIN(RADIANS(PARADEROS_VALIDOS!$E$2:$E$68)))),6371*ACOS(COS(RADIANS(Y202))*COS(RADIANS(PARADEROS_VALIDOS!$E$2:$E$68))*COS(RADIANS(PARADEROS_VALIDOS!$F$2:$F$68)-RADIANS(Z202))+SIN(RADIANS(Y202))*SIN(RADIANS(PARADEROS_VALIDOS!$E$2:$E$68))),0))</f>
        <v>Paradero Arco San Antonio</v>
      </c>
      <c r="AD202" s="2" t="str">
        <f>IFERROR(INDEX(PARADEROS_VALIDOS!$A$2:$A$68,MATCH(AC202,PARADEROS_VALIDOS!$C$2:$C$68,0)),"")</f>
        <v>RUTA 2</v>
      </c>
      <c r="AE202" s="33" cm="1">
        <f t="array" ref="AE202">ROUND(MIN(6371*ACOS(COS(RADIANS(Y202))*COS(RADIANS(PARADEROS_VALIDOS!$E$2:$E$68))*COS(RADIANS(PARADEROS_VALIDOS!$F$2:$F$68)-RADIANS(Z202))+SIN(RADIANS(Y202))*SIN(RADIANS(PARADEROS_VALIDOS!$E$2:$E$68)))),2)</f>
        <v>0.56999999999999995</v>
      </c>
      <c r="AF202" s="2" t="str">
        <f t="shared" si="15"/>
        <v>🟢 Muy Cerca (0-1 km)</v>
      </c>
      <c r="AG202" s="2"/>
      <c r="AH202" s="2"/>
      <c r="AI202" s="51">
        <v>-11.997563</v>
      </c>
      <c r="AJ202" s="51">
        <v>-76.900062000000005</v>
      </c>
      <c r="AK202" s="2" t="str">
        <f>IFERROR(VLOOKUP(H202,tdcargo[],2,FALSE),"DESCONOCIDO")</f>
        <v>OPERARIO</v>
      </c>
    </row>
    <row r="203" spans="1:37" x14ac:dyDescent="0.35">
      <c r="A203" s="2" t="s">
        <v>4090</v>
      </c>
      <c r="B203" s="2" t="s">
        <v>4091</v>
      </c>
      <c r="C203" s="2" t="s">
        <v>1000</v>
      </c>
      <c r="D203" s="2" t="s">
        <v>4092</v>
      </c>
      <c r="E203" s="2">
        <v>21</v>
      </c>
      <c r="F203" s="2" t="s">
        <v>3255</v>
      </c>
      <c r="G203" s="2">
        <v>20511221</v>
      </c>
      <c r="H203" s="2" t="s">
        <v>1971</v>
      </c>
      <c r="I203" s="3">
        <v>45931</v>
      </c>
      <c r="J203" s="2" t="s">
        <v>31</v>
      </c>
      <c r="K203" s="3" t="s">
        <v>1968</v>
      </c>
      <c r="L203" s="2" t="s">
        <v>3373</v>
      </c>
      <c r="M203" s="2" t="s">
        <v>3374</v>
      </c>
      <c r="N203" s="2" t="s">
        <v>82</v>
      </c>
      <c r="O203" s="2" t="s">
        <v>798</v>
      </c>
      <c r="P203" s="2" t="s">
        <v>36</v>
      </c>
      <c r="Q203" s="2" t="s">
        <v>2322</v>
      </c>
      <c r="R203" s="2" t="s">
        <v>3291</v>
      </c>
      <c r="S203" s="2" t="s">
        <v>37</v>
      </c>
      <c r="T203" s="2" t="s">
        <v>37</v>
      </c>
      <c r="U203" s="2" t="s">
        <v>57</v>
      </c>
      <c r="V203" s="3">
        <v>45931</v>
      </c>
      <c r="W203" s="2" t="s">
        <v>39</v>
      </c>
      <c r="X203" s="2" t="str">
        <f t="shared" si="12"/>
        <v>Calle 15 De Julio M, Ate, Lima, Lima, Perú</v>
      </c>
      <c r="Y203" s="22">
        <v>-12.016420999999999</v>
      </c>
      <c r="Z203" s="22">
        <v>-76.825003800000005</v>
      </c>
      <c r="AA203" s="33">
        <f t="shared" si="13"/>
        <v>8.43</v>
      </c>
      <c r="AB203" s="2" t="str">
        <f t="shared" si="14"/>
        <v>🟡 Cerca (5-10 km)</v>
      </c>
      <c r="AC203" s="2" t="str" cm="1">
        <f t="array" ref="AC203">INDEX(PARADEROS_VALIDOS!$C$2:$C$68,MATCH(MIN(6371*ACOS(COS(RADIANS(Y203))*COS(RADIANS(PARADEROS_VALIDOS!$E$2:$E$68))*COS(RADIANS(PARADEROS_VALIDOS!$F$2:$F$68)-RADIANS(Z203))+SIN(RADIANS(Y203))*SIN(RADIANS(PARADEROS_VALIDOS!$E$2:$E$68)))),6371*ACOS(COS(RADIANS(Y203))*COS(RADIANS(PARADEROS_VALIDOS!$E$2:$E$68))*COS(RADIANS(PARADEROS_VALIDOS!$F$2:$F$68)-RADIANS(Z203))+SIN(RADIANS(Y203))*SIN(RADIANS(PARADEROS_VALIDOS!$E$2:$E$68))),0))</f>
        <v>Paradero Aurora</v>
      </c>
      <c r="AD203" s="2" t="str">
        <f>IFERROR(INDEX(PARADEROS_VALIDOS!$A$2:$A$68,MATCH(AC203,PARADEROS_VALIDOS!$C$2:$C$68,0)),"")</f>
        <v>RUTA 3</v>
      </c>
      <c r="AE203" s="33" cm="1">
        <f t="array" ref="AE203">ROUND(MIN(6371*ACOS(COS(RADIANS(Y203))*COS(RADIANS(PARADEROS_VALIDOS!$E$2:$E$68))*COS(RADIANS(PARADEROS_VALIDOS!$F$2:$F$68)-RADIANS(Z203))+SIN(RADIANS(Y203))*SIN(RADIANS(PARADEROS_VALIDOS!$E$2:$E$68)))),2)</f>
        <v>1.08</v>
      </c>
      <c r="AF203" s="2" t="str">
        <f t="shared" si="15"/>
        <v>🟡 Cerca (1-3 km)</v>
      </c>
      <c r="AG203" s="2"/>
      <c r="AH203" s="2"/>
      <c r="AI203" s="51">
        <v>-11.997563</v>
      </c>
      <c r="AJ203" s="51">
        <v>-76.900062000000005</v>
      </c>
      <c r="AK203" s="2" t="str">
        <f>IFERROR(VLOOKUP(H203,tdcargo[],2,FALSE),"DESCONOCIDO")</f>
        <v>OPERARIO</v>
      </c>
    </row>
    <row r="204" spans="1:37" x14ac:dyDescent="0.35">
      <c r="A204" s="2" t="s">
        <v>4093</v>
      </c>
      <c r="B204" s="2" t="s">
        <v>4094</v>
      </c>
      <c r="C204" s="2" t="s">
        <v>273</v>
      </c>
      <c r="D204" s="2" t="s">
        <v>861</v>
      </c>
      <c r="E204" s="2">
        <v>33</v>
      </c>
      <c r="F204" s="2" t="s">
        <v>3255</v>
      </c>
      <c r="G204" s="2">
        <v>20507967</v>
      </c>
      <c r="H204" s="2" t="s">
        <v>2006</v>
      </c>
      <c r="I204" s="3">
        <v>43545</v>
      </c>
      <c r="J204" s="2" t="s">
        <v>31</v>
      </c>
      <c r="K204" s="3" t="s">
        <v>1968</v>
      </c>
      <c r="L204" s="2" t="s">
        <v>3654</v>
      </c>
      <c r="M204" s="2" t="s">
        <v>1968</v>
      </c>
      <c r="N204" s="2" t="s">
        <v>53</v>
      </c>
      <c r="O204" s="2" t="s">
        <v>2274</v>
      </c>
      <c r="P204" s="2" t="s">
        <v>55</v>
      </c>
      <c r="Q204" s="2" t="s">
        <v>4095</v>
      </c>
      <c r="R204" s="2" t="s">
        <v>3291</v>
      </c>
      <c r="S204" s="2" t="s">
        <v>37</v>
      </c>
      <c r="T204" s="2" t="s">
        <v>37</v>
      </c>
      <c r="U204" s="2" t="s">
        <v>57</v>
      </c>
      <c r="V204" s="3">
        <v>43545</v>
      </c>
      <c r="W204" s="2" t="s">
        <v>48</v>
      </c>
      <c r="X204" s="2" t="str">
        <f t="shared" si="12"/>
        <v>Jirón Andres Avelino Caceres, Coo. Cooperativa Andres Avelino Caceres Mz L Lt 4, Ate, Lima, Lima, Perú</v>
      </c>
      <c r="Y204" s="22">
        <v>-12.1776684</v>
      </c>
      <c r="Z204" s="22">
        <v>-76.950011200000006</v>
      </c>
      <c r="AA204" s="33">
        <f t="shared" si="13"/>
        <v>20.75</v>
      </c>
      <c r="AB204" s="2" t="str">
        <f t="shared" si="14"/>
        <v>🔴 Lejos (&gt;20 km)</v>
      </c>
      <c r="AC204" s="2" t="str" cm="1">
        <f t="array" ref="AC204">INDEX(PARADEROS_VALIDOS!$C$2:$C$68,MATCH(MIN(6371*ACOS(COS(RADIANS(Y204))*COS(RADIANS(PARADEROS_VALIDOS!$E$2:$E$68))*COS(RADIANS(PARADEROS_VALIDOS!$F$2:$F$68)-RADIANS(Z204))+SIN(RADIANS(Y204))*SIN(RADIANS(PARADEROS_VALIDOS!$E$2:$E$68)))),6371*ACOS(COS(RADIANS(Y204))*COS(RADIANS(PARADEROS_VALIDOS!$E$2:$E$68))*COS(RADIANS(PARADEROS_VALIDOS!$F$2:$F$68)-RADIANS(Z204))+SIN(RADIANS(Y204))*SIN(RADIANS(PARADEROS_VALIDOS!$E$2:$E$68))),0))</f>
        <v>Villa El Salvador (Cruce Av. 1ro de Mayo con ruta C)</v>
      </c>
      <c r="AD204" s="2" t="str">
        <f>IFERROR(INDEX(PARADEROS_VALIDOS!$A$2:$A$68,MATCH(AC204,PARADEROS_VALIDOS!$C$2:$C$68,0)),"")</f>
        <v>RUTA 7</v>
      </c>
      <c r="AE204" s="33" cm="1">
        <f t="array" ref="AE204">ROUND(MIN(6371*ACOS(COS(RADIANS(Y204))*COS(RADIANS(PARADEROS_VALIDOS!$E$2:$E$68))*COS(RADIANS(PARADEROS_VALIDOS!$F$2:$F$68)-RADIANS(Z204))+SIN(RADIANS(Y204))*SIN(RADIANS(PARADEROS_VALIDOS!$E$2:$E$68)))),2)</f>
        <v>2.4300000000000002</v>
      </c>
      <c r="AF204" s="2" t="str">
        <f t="shared" si="15"/>
        <v>🟡 Cerca (1-3 km)</v>
      </c>
      <c r="AG204" s="2"/>
      <c r="AH204" s="2"/>
      <c r="AI204" s="51">
        <v>-11.997563</v>
      </c>
      <c r="AJ204" s="51">
        <v>-76.900062000000005</v>
      </c>
      <c r="AK204" s="2" t="str">
        <f>IFERROR(VLOOKUP(H204,tdcargo[],2,FALSE),"DESCONOCIDO")</f>
        <v>OPERARIO</v>
      </c>
    </row>
    <row r="205" spans="1:37" x14ac:dyDescent="0.35">
      <c r="A205" s="2" t="s">
        <v>3364</v>
      </c>
      <c r="B205" s="2" t="s">
        <v>4096</v>
      </c>
      <c r="C205" s="2" t="s">
        <v>4097</v>
      </c>
      <c r="D205" s="2" t="s">
        <v>3652</v>
      </c>
      <c r="E205" s="2">
        <v>36</v>
      </c>
      <c r="F205" s="2" t="s">
        <v>3255</v>
      </c>
      <c r="G205" s="2">
        <v>20507970</v>
      </c>
      <c r="H205" s="2" t="s">
        <v>4098</v>
      </c>
      <c r="I205" s="3">
        <v>45789</v>
      </c>
      <c r="J205" s="2" t="s">
        <v>31</v>
      </c>
      <c r="K205" s="3" t="s">
        <v>1968</v>
      </c>
      <c r="L205" s="2" t="s">
        <v>4099</v>
      </c>
      <c r="M205" s="2" t="s">
        <v>1968</v>
      </c>
      <c r="N205" s="2" t="s">
        <v>34</v>
      </c>
      <c r="O205" s="2" t="s">
        <v>4100</v>
      </c>
      <c r="P205" s="2" t="s">
        <v>36</v>
      </c>
      <c r="Q205" s="2" t="s">
        <v>4101</v>
      </c>
      <c r="R205" s="2" t="s">
        <v>3416</v>
      </c>
      <c r="S205" s="2" t="s">
        <v>37</v>
      </c>
      <c r="T205" s="2" t="s">
        <v>37</v>
      </c>
      <c r="U205" s="2" t="s">
        <v>37</v>
      </c>
      <c r="V205" s="3">
        <v>45789</v>
      </c>
      <c r="W205" s="2" t="s">
        <v>39</v>
      </c>
      <c r="X205" s="2" t="str">
        <f t="shared" si="12"/>
        <v>Avenida Av. Javier Prado Este Javier Prado, Lima, Lima, Lima, Perú</v>
      </c>
      <c r="Y205" s="22">
        <v>-12.083363500000001</v>
      </c>
      <c r="Z205" s="22">
        <v>-76.985225700000001</v>
      </c>
      <c r="AA205" s="33">
        <f t="shared" si="13"/>
        <v>13.3</v>
      </c>
      <c r="AB205" s="2" t="str">
        <f t="shared" si="14"/>
        <v>🟠 Moderada (10-20 km)</v>
      </c>
      <c r="AC205" s="2" t="str" cm="1">
        <f t="array" ref="AC205">INDEX(PARADEROS_VALIDOS!$C$2:$C$68,MATCH(MIN(6371*ACOS(COS(RADIANS(Y205))*COS(RADIANS(PARADEROS_VALIDOS!$E$2:$E$68))*COS(RADIANS(PARADEROS_VALIDOS!$F$2:$F$68)-RADIANS(Z205))+SIN(RADIANS(Y205))*SIN(RADIANS(PARADEROS_VALIDOS!$E$2:$E$68)))),6371*ACOS(COS(RADIANS(Y205))*COS(RADIANS(PARADEROS_VALIDOS!$E$2:$E$68))*COS(RADIANS(PARADEROS_VALIDOS!$F$2:$F$68)-RADIANS(Z205))+SIN(RADIANS(Y205))*SIN(RADIANS(PARADEROS_VALIDOS!$E$2:$E$68))),0))</f>
        <v>Paradero Javier Prado</v>
      </c>
      <c r="AD205" s="2" t="str">
        <f>IFERROR(INDEX(PARADEROS_VALIDOS!$A$2:$A$68,MATCH(AC205,PARADEROS_VALIDOS!$C$2:$C$68,0)),"")</f>
        <v>RUTA 7</v>
      </c>
      <c r="AE205" s="33" cm="1">
        <f t="array" ref="AE205">ROUND(MIN(6371*ACOS(COS(RADIANS(Y205))*COS(RADIANS(PARADEROS_VALIDOS!$E$2:$E$68))*COS(RADIANS(PARADEROS_VALIDOS!$F$2:$F$68)-RADIANS(Z205))+SIN(RADIANS(Y205))*SIN(RADIANS(PARADEROS_VALIDOS!$E$2:$E$68)))),2)</f>
        <v>0.61</v>
      </c>
      <c r="AF205" s="2" t="str">
        <f t="shared" si="15"/>
        <v>🟢 Muy Cerca (0-1 km)</v>
      </c>
      <c r="AG205" s="2"/>
      <c r="AH205" s="2"/>
      <c r="AI205" s="51">
        <v>-11.997563</v>
      </c>
      <c r="AJ205" s="51">
        <v>-76.900062000000005</v>
      </c>
      <c r="AK205" s="2" t="str">
        <f>IFERROR(VLOOKUP(H205,tdcargo[],2,FALSE),"DESCONOCIDO")</f>
        <v>STAFF</v>
      </c>
    </row>
    <row r="206" spans="1:37" x14ac:dyDescent="0.35">
      <c r="A206" s="2" t="s">
        <v>4102</v>
      </c>
      <c r="B206" s="2" t="s">
        <v>4103</v>
      </c>
      <c r="C206" s="2" t="s">
        <v>414</v>
      </c>
      <c r="D206" s="2" t="s">
        <v>4104</v>
      </c>
      <c r="E206" s="2">
        <v>21</v>
      </c>
      <c r="F206" s="2" t="s">
        <v>3255</v>
      </c>
      <c r="G206" s="2">
        <v>20514481</v>
      </c>
      <c r="H206" s="2" t="s">
        <v>1971</v>
      </c>
      <c r="I206" s="3">
        <v>46003</v>
      </c>
      <c r="J206" s="2" t="s">
        <v>31</v>
      </c>
      <c r="K206" s="3" t="s">
        <v>1968</v>
      </c>
      <c r="L206" s="2" t="s">
        <v>3299</v>
      </c>
      <c r="M206" s="2" t="s">
        <v>3300</v>
      </c>
      <c r="N206" s="2" t="s">
        <v>36</v>
      </c>
      <c r="O206" s="2" t="s">
        <v>2189</v>
      </c>
      <c r="P206" s="2" t="s">
        <v>4609</v>
      </c>
      <c r="Q206" s="2" t="s">
        <v>3226</v>
      </c>
      <c r="R206" s="2" t="s">
        <v>4106</v>
      </c>
      <c r="S206" s="2" t="s">
        <v>37</v>
      </c>
      <c r="T206" s="2" t="s">
        <v>37</v>
      </c>
      <c r="U206" s="2" t="s">
        <v>76</v>
      </c>
      <c r="V206" s="3">
        <v>46003</v>
      </c>
      <c r="W206" s="2" t="s">
        <v>135</v>
      </c>
      <c r="X206" s="2" t="str">
        <f t="shared" si="12"/>
        <v>Lurigancho-Chosica, Asociacion Agropecuaria Pampachiri, Lurigancho, Lima, Lima, Perú</v>
      </c>
      <c r="Y206" s="22">
        <v>-11.991721999999999</v>
      </c>
      <c r="Z206" s="22">
        <v>-76.868894999999995</v>
      </c>
      <c r="AA206" s="33">
        <f t="shared" si="13"/>
        <v>3.45</v>
      </c>
      <c r="AB206" s="2" t="str">
        <f t="shared" si="14"/>
        <v>🟢 Muy Cerca (0-5 km)</v>
      </c>
      <c r="AC206" s="2" t="str" cm="1">
        <f t="array" ref="AC206">INDEX(PARADEROS_VALIDOS!$C$2:$C$68,MATCH(MIN(6371*ACOS(COS(RADIANS(Y206))*COS(RADIANS(PARADEROS_VALIDOS!$E$2:$E$68))*COS(RADIANS(PARADEROS_VALIDOS!$F$2:$F$68)-RADIANS(Z206))+SIN(RADIANS(Y206))*SIN(RADIANS(PARADEROS_VALIDOS!$E$2:$E$68)))),6371*ACOS(COS(RADIANS(Y206))*COS(RADIANS(PARADEROS_VALIDOS!$E$2:$E$68))*COS(RADIANS(PARADEROS_VALIDOS!$F$2:$F$68)-RADIANS(Z206))+SIN(RADIANS(Y206))*SIN(RADIANS(PARADEROS_VALIDOS!$E$2:$E$68))),0))</f>
        <v>Paradero Gloria Grande</v>
      </c>
      <c r="AD206" s="2" t="str">
        <f>IFERROR(INDEX(PARADEROS_VALIDOS!$A$2:$A$68,MATCH(AC206,PARADEROS_VALIDOS!$C$2:$C$68,0)),"")</f>
        <v>RUTA 5B</v>
      </c>
      <c r="AE206" s="33" cm="1">
        <f t="array" ref="AE206">ROUND(MIN(6371*ACOS(COS(RADIANS(Y206))*COS(RADIANS(PARADEROS_VALIDOS!$E$2:$E$68))*COS(RADIANS(PARADEROS_VALIDOS!$F$2:$F$68)-RADIANS(Z206))+SIN(RADIANS(Y206))*SIN(RADIANS(PARADEROS_VALIDOS!$E$2:$E$68)))),2)</f>
        <v>2.57</v>
      </c>
      <c r="AF206" s="2" t="str">
        <f t="shared" si="15"/>
        <v>🟡 Cerca (1-3 km)</v>
      </c>
      <c r="AG206" s="2"/>
      <c r="AH206" s="2"/>
      <c r="AI206" s="51">
        <v>-11.997563</v>
      </c>
      <c r="AJ206" s="51">
        <v>-76.900062000000005</v>
      </c>
      <c r="AK206" s="2" t="str">
        <f>IFERROR(VLOOKUP(H206,tdcargo[],2,FALSE),"DESCONOCIDO")</f>
        <v>OPERARIO</v>
      </c>
    </row>
    <row r="207" spans="1:37" x14ac:dyDescent="0.35">
      <c r="A207" s="2" t="s">
        <v>3337</v>
      </c>
      <c r="B207" s="2" t="s">
        <v>4110</v>
      </c>
      <c r="C207" s="2" t="s">
        <v>1264</v>
      </c>
      <c r="D207" s="2" t="s">
        <v>4111</v>
      </c>
      <c r="E207" s="2">
        <v>37</v>
      </c>
      <c r="F207" s="2" t="s">
        <v>3255</v>
      </c>
      <c r="G207" s="2">
        <v>20511996</v>
      </c>
      <c r="H207" s="2" t="s">
        <v>2041</v>
      </c>
      <c r="I207" s="3">
        <v>45943</v>
      </c>
      <c r="J207" s="2" t="s">
        <v>31</v>
      </c>
      <c r="K207" s="3" t="s">
        <v>1968</v>
      </c>
      <c r="L207" s="2" t="s">
        <v>3563</v>
      </c>
      <c r="M207" s="2" t="s">
        <v>1968</v>
      </c>
      <c r="N207" s="2" t="s">
        <v>82</v>
      </c>
      <c r="O207" s="2" t="s">
        <v>4112</v>
      </c>
      <c r="P207" s="2" t="s">
        <v>36</v>
      </c>
      <c r="Q207" s="2" t="s">
        <v>4113</v>
      </c>
      <c r="R207" s="2" t="s">
        <v>3671</v>
      </c>
      <c r="S207" s="2" t="s">
        <v>37</v>
      </c>
      <c r="T207" s="2" t="s">
        <v>37</v>
      </c>
      <c r="U207" s="2" t="s">
        <v>1372</v>
      </c>
      <c r="V207" s="3">
        <v>45943</v>
      </c>
      <c r="W207" s="2" t="s">
        <v>39</v>
      </c>
      <c r="X207" s="2" t="str">
        <f t="shared" si="12"/>
        <v>Calle Loma Del Pilar Prolongacion Benavid, Santiago De Surco, Lima, Lima, Perú</v>
      </c>
      <c r="Y207" s="22">
        <v>-12.1367143</v>
      </c>
      <c r="Z207" s="22">
        <v>-76.990079300000005</v>
      </c>
      <c r="AA207" s="33">
        <f t="shared" si="13"/>
        <v>18.309999999999999</v>
      </c>
      <c r="AB207" s="2" t="str">
        <f t="shared" si="14"/>
        <v>🟠 Moderada (10-20 km)</v>
      </c>
      <c r="AC207" s="2" t="str" cm="1">
        <f t="array" ref="AC207">INDEX(PARADEROS_VALIDOS!$C$2:$C$68,MATCH(MIN(6371*ACOS(COS(RADIANS(Y207))*COS(RADIANS(PARADEROS_VALIDOS!$E$2:$E$68))*COS(RADIANS(PARADEROS_VALIDOS!$F$2:$F$68)-RADIANS(Z207))+SIN(RADIANS(Y207))*SIN(RADIANS(PARADEROS_VALIDOS!$E$2:$E$68)))),6371*ACOS(COS(RADIANS(Y207))*COS(RADIANS(PARADEROS_VALIDOS!$E$2:$E$68))*COS(RADIANS(PARADEROS_VALIDOS!$F$2:$F$68)-RADIANS(Z207))+SIN(RADIANS(Y207))*SIN(RADIANS(PARADEROS_VALIDOS!$E$2:$E$68))),0))</f>
        <v>Tottus Atocongo (Auxiliar)</v>
      </c>
      <c r="AD207" s="2" t="str">
        <f>IFERROR(INDEX(PARADEROS_VALIDOS!$A$2:$A$68,MATCH(AC207,PARADEROS_VALIDOS!$C$2:$C$68,0)),"")</f>
        <v>RUTA 7</v>
      </c>
      <c r="AE207" s="33" cm="1">
        <f t="array" ref="AE207">ROUND(MIN(6371*ACOS(COS(RADIANS(Y207))*COS(RADIANS(PARADEROS_VALIDOS!$E$2:$E$68))*COS(RADIANS(PARADEROS_VALIDOS!$F$2:$F$68)-RADIANS(Z207))+SIN(RADIANS(Y207))*SIN(RADIANS(PARADEROS_VALIDOS!$E$2:$E$68)))),2)</f>
        <v>1.48</v>
      </c>
      <c r="AF207" s="2" t="str">
        <f t="shared" si="15"/>
        <v>🟡 Cerca (1-3 km)</v>
      </c>
      <c r="AG207" s="2"/>
      <c r="AH207" s="2"/>
      <c r="AI207" s="51">
        <v>-11.997563</v>
      </c>
      <c r="AJ207" s="51">
        <v>-76.900062000000005</v>
      </c>
      <c r="AK207" s="2" t="str">
        <f>IFERROR(VLOOKUP(H207,tdcargo[],2,FALSE),"DESCONOCIDO")</f>
        <v>STAFF</v>
      </c>
    </row>
    <row r="208" spans="1:37" x14ac:dyDescent="0.35">
      <c r="A208" s="2" t="s">
        <v>4114</v>
      </c>
      <c r="B208" s="2" t="s">
        <v>1680</v>
      </c>
      <c r="C208" s="2" t="s">
        <v>4115</v>
      </c>
      <c r="D208" s="2" t="s">
        <v>4116</v>
      </c>
      <c r="E208" s="2">
        <v>26</v>
      </c>
      <c r="F208" s="2" t="s">
        <v>3255</v>
      </c>
      <c r="G208" s="2">
        <v>20515809</v>
      </c>
      <c r="H208" s="2" t="s">
        <v>1971</v>
      </c>
      <c r="I208" s="3">
        <v>46055</v>
      </c>
      <c r="J208" s="2" t="s">
        <v>31</v>
      </c>
      <c r="K208" s="3" t="s">
        <v>1968</v>
      </c>
      <c r="L208" s="2" t="s">
        <v>3271</v>
      </c>
      <c r="M208" s="2" t="s">
        <v>3272</v>
      </c>
      <c r="N208" s="2" t="s">
        <v>82</v>
      </c>
      <c r="O208" s="2" t="s">
        <v>4117</v>
      </c>
      <c r="P208" s="2" t="s">
        <v>186</v>
      </c>
      <c r="Q208" s="2" t="s">
        <v>4118</v>
      </c>
      <c r="R208" s="2" t="s">
        <v>3291</v>
      </c>
      <c r="S208" s="2" t="s">
        <v>37</v>
      </c>
      <c r="T208" s="2" t="s">
        <v>37</v>
      </c>
      <c r="U208" s="2" t="s">
        <v>57</v>
      </c>
      <c r="V208" s="3">
        <v>46055</v>
      </c>
      <c r="W208" s="2" t="s">
        <v>135</v>
      </c>
      <c r="X208" s="2" t="str">
        <f t="shared" si="12"/>
        <v>Calle A.H Las Viñas ATE, Urb. Urbanización AV LOS FICUS, Ate, Lima, Lima, Perú</v>
      </c>
      <c r="Y208" s="22">
        <v>-12.034536599999999</v>
      </c>
      <c r="Z208" s="22">
        <v>-76.891912700000006</v>
      </c>
      <c r="AA208" s="33">
        <f t="shared" si="13"/>
        <v>4.21</v>
      </c>
      <c r="AB208" s="2" t="str">
        <f t="shared" si="14"/>
        <v>🟢 Muy Cerca (0-5 km)</v>
      </c>
      <c r="AC208" s="2" t="str" cm="1">
        <f t="array" ref="AC208">INDEX(PARADEROS_VALIDOS!$C$2:$C$68,MATCH(MIN(6371*ACOS(COS(RADIANS(Y208))*COS(RADIANS(PARADEROS_VALIDOS!$E$2:$E$68))*COS(RADIANS(PARADEROS_VALIDOS!$F$2:$F$68)-RADIANS(Z208))+SIN(RADIANS(Y208))*SIN(RADIANS(PARADEROS_VALIDOS!$E$2:$E$68)))),6371*ACOS(COS(RADIANS(Y208))*COS(RADIANS(PARADEROS_VALIDOS!$E$2:$E$68))*COS(RADIANS(PARADEROS_VALIDOS!$F$2:$F$68)-RADIANS(Z208))+SIN(RADIANS(Y208))*SIN(RADIANS(PARADEROS_VALIDOS!$E$2:$E$68))),0))</f>
        <v>Paradero Esperanza</v>
      </c>
      <c r="AD208" s="2" t="str">
        <f>IFERROR(INDEX(PARADEROS_VALIDOS!$A$2:$A$68,MATCH(AC208,PARADEROS_VALIDOS!$C$2:$C$68,0)),"")</f>
        <v>RUTA 4B</v>
      </c>
      <c r="AE208" s="33" cm="1">
        <f t="array" ref="AE208">ROUND(MIN(6371*ACOS(COS(RADIANS(Y208))*COS(RADIANS(PARADEROS_VALIDOS!$E$2:$E$68))*COS(RADIANS(PARADEROS_VALIDOS!$F$2:$F$68)-RADIANS(Z208))+SIN(RADIANS(Y208))*SIN(RADIANS(PARADEROS_VALIDOS!$E$2:$E$68)))),2)</f>
        <v>2.16</v>
      </c>
      <c r="AF208" s="2" t="str">
        <f t="shared" si="15"/>
        <v>🟡 Cerca (1-3 km)</v>
      </c>
      <c r="AG208" s="2"/>
      <c r="AH208" s="2"/>
      <c r="AI208" s="51">
        <v>-11.997563</v>
      </c>
      <c r="AJ208" s="51">
        <v>-76.900062000000005</v>
      </c>
      <c r="AK208" s="2" t="str">
        <f>IFERROR(VLOOKUP(H208,tdcargo[],2,FALSE),"DESCONOCIDO")</f>
        <v>OPERARIO</v>
      </c>
    </row>
    <row r="209" spans="1:37" x14ac:dyDescent="0.35">
      <c r="A209" s="2" t="s">
        <v>4119</v>
      </c>
      <c r="B209" s="2" t="s">
        <v>4120</v>
      </c>
      <c r="C209" s="2" t="s">
        <v>4121</v>
      </c>
      <c r="D209" s="2" t="s">
        <v>364</v>
      </c>
      <c r="E209" s="2">
        <v>47</v>
      </c>
      <c r="F209" s="2" t="s">
        <v>3255</v>
      </c>
      <c r="G209" s="2">
        <v>20508073</v>
      </c>
      <c r="H209" s="2" t="s">
        <v>1971</v>
      </c>
      <c r="I209" s="3">
        <v>42478</v>
      </c>
      <c r="J209" s="2" t="s">
        <v>31</v>
      </c>
      <c r="K209" s="3" t="s">
        <v>1968</v>
      </c>
      <c r="L209" s="2" t="s">
        <v>3299</v>
      </c>
      <c r="M209" s="2" t="s">
        <v>3300</v>
      </c>
      <c r="N209" s="2" t="s">
        <v>34</v>
      </c>
      <c r="O209" s="2" t="s">
        <v>4122</v>
      </c>
      <c r="P209" s="2" t="s">
        <v>88</v>
      </c>
      <c r="Q209" s="2" t="s">
        <v>620</v>
      </c>
      <c r="R209" s="2" t="s">
        <v>3274</v>
      </c>
      <c r="S209" s="2" t="s">
        <v>37</v>
      </c>
      <c r="T209" s="2" t="s">
        <v>37</v>
      </c>
      <c r="U209" s="2" t="s">
        <v>76</v>
      </c>
      <c r="V209" s="3">
        <v>42478</v>
      </c>
      <c r="W209" s="2" t="s">
        <v>48</v>
      </c>
      <c r="X209" s="2" t="str">
        <f t="shared" si="12"/>
        <v>Avenida 9 De Setiembre, A.H. Asentamiento Humano Jicamarca, Lurigancho, Lima, Lima, Perú</v>
      </c>
      <c r="Y209" s="22">
        <v>-11.9867665</v>
      </c>
      <c r="Z209" s="22">
        <v>-76.940294800000004</v>
      </c>
      <c r="AA209" s="33">
        <f t="shared" si="13"/>
        <v>4.54</v>
      </c>
      <c r="AB209" s="2" t="str">
        <f t="shared" si="14"/>
        <v>🟢 Muy Cerca (0-5 km)</v>
      </c>
      <c r="AC209" s="2" t="str" cm="1">
        <f t="array" ref="AC209">INDEX(PARADEROS_VALIDOS!$C$2:$C$68,MATCH(MIN(6371*ACOS(COS(RADIANS(Y209))*COS(RADIANS(PARADEROS_VALIDOS!$E$2:$E$68))*COS(RADIANS(PARADEROS_VALIDOS!$F$2:$F$68)-RADIANS(Z209))+SIN(RADIANS(Y209))*SIN(RADIANS(PARADEROS_VALIDOS!$E$2:$E$68)))),6371*ACOS(COS(RADIANS(Y209))*COS(RADIANS(PARADEROS_VALIDOS!$E$2:$E$68))*COS(RADIANS(PARADEROS_VALIDOS!$F$2:$F$68)-RADIANS(Z209))+SIN(RADIANS(Y209))*SIN(RADIANS(PARADEROS_VALIDOS!$E$2:$E$68))),0))</f>
        <v>Estadio Huachipa</v>
      </c>
      <c r="AD209" s="2" t="str">
        <f>IFERROR(INDEX(PARADEROS_VALIDOS!$A$2:$A$68,MATCH(AC209,PARADEROS_VALIDOS!$C$2:$C$68,0)),"")</f>
        <v>RUTA 5C</v>
      </c>
      <c r="AE209" s="33" cm="1">
        <f t="array" ref="AE209">ROUND(MIN(6371*ACOS(COS(RADIANS(Y209))*COS(RADIANS(PARADEROS_VALIDOS!$E$2:$E$68))*COS(RADIANS(PARADEROS_VALIDOS!$F$2:$F$68)-RADIANS(Z209))+SIN(RADIANS(Y209))*SIN(RADIANS(PARADEROS_VALIDOS!$E$2:$E$68)))),2)</f>
        <v>4</v>
      </c>
      <c r="AF209" s="2" t="str">
        <f t="shared" si="15"/>
        <v>🟠 Moderada (3-5 km)</v>
      </c>
      <c r="AG209" s="2"/>
      <c r="AH209" s="2"/>
      <c r="AI209" s="51">
        <v>-11.997563</v>
      </c>
      <c r="AJ209" s="51">
        <v>-76.900062000000005</v>
      </c>
      <c r="AK209" s="2" t="str">
        <f>IFERROR(VLOOKUP(H209,tdcargo[],2,FALSE),"DESCONOCIDO")</f>
        <v>OPERARIO</v>
      </c>
    </row>
    <row r="210" spans="1:37" x14ac:dyDescent="0.35">
      <c r="A210" s="2" t="s">
        <v>4123</v>
      </c>
      <c r="B210" s="2" t="s">
        <v>4124</v>
      </c>
      <c r="C210" s="2" t="s">
        <v>4125</v>
      </c>
      <c r="D210" s="2" t="s">
        <v>4126</v>
      </c>
      <c r="E210" s="2">
        <v>26</v>
      </c>
      <c r="F210" s="2" t="s">
        <v>3255</v>
      </c>
      <c r="G210" s="2">
        <v>20511990</v>
      </c>
      <c r="H210" s="2" t="s">
        <v>1971</v>
      </c>
      <c r="I210" s="3">
        <v>45964</v>
      </c>
      <c r="J210" s="2" t="s">
        <v>31</v>
      </c>
      <c r="K210" s="3" t="s">
        <v>1968</v>
      </c>
      <c r="L210" s="2" t="s">
        <v>3271</v>
      </c>
      <c r="M210" s="2" t="s">
        <v>3272</v>
      </c>
      <c r="N210" s="2" t="s">
        <v>148</v>
      </c>
      <c r="O210" s="2" t="s">
        <v>4127</v>
      </c>
      <c r="P210" s="2" t="s">
        <v>36</v>
      </c>
      <c r="Q210" s="2" t="s">
        <v>4128</v>
      </c>
      <c r="R210" s="2" t="s">
        <v>3274</v>
      </c>
      <c r="S210" s="2" t="s">
        <v>37</v>
      </c>
      <c r="T210" s="2" t="s">
        <v>37</v>
      </c>
      <c r="U210" s="2" t="s">
        <v>76</v>
      </c>
      <c r="V210" s="3">
        <v>45964</v>
      </c>
      <c r="W210" s="2" t="s">
        <v>39</v>
      </c>
      <c r="X210" s="2" t="str">
        <f t="shared" si="12"/>
        <v>Pasaje Mz4, Pje Contumaza,Paradero Farmacia, Jicamarca Contumaza, Lurigancho, Lima, Lima, Perú</v>
      </c>
      <c r="Y210" s="22">
        <v>-11.9822144</v>
      </c>
      <c r="Z210" s="22">
        <v>-76.941864100000004</v>
      </c>
      <c r="AA210" s="33">
        <f t="shared" si="13"/>
        <v>4.8600000000000003</v>
      </c>
      <c r="AB210" s="2" t="str">
        <f t="shared" si="14"/>
        <v>🟢 Muy Cerca (0-5 km)</v>
      </c>
      <c r="AC210" s="2" t="str" cm="1">
        <f t="array" ref="AC210">INDEX(PARADEROS_VALIDOS!$C$2:$C$68,MATCH(MIN(6371*ACOS(COS(RADIANS(Y210))*COS(RADIANS(PARADEROS_VALIDOS!$E$2:$E$68))*COS(RADIANS(PARADEROS_VALIDOS!$F$2:$F$68)-RADIANS(Z210))+SIN(RADIANS(Y210))*SIN(RADIANS(PARADEROS_VALIDOS!$E$2:$E$68)))),6371*ACOS(COS(RADIANS(Y210))*COS(RADIANS(PARADEROS_VALIDOS!$E$2:$E$68))*COS(RADIANS(PARADEROS_VALIDOS!$F$2:$F$68)-RADIANS(Z210))+SIN(RADIANS(Y210))*SIN(RADIANS(PARADEROS_VALIDOS!$E$2:$E$68))),0))</f>
        <v>Paradero Arco San Antonio</v>
      </c>
      <c r="AD210" s="2" t="str">
        <f>IFERROR(INDEX(PARADEROS_VALIDOS!$A$2:$A$68,MATCH(AC210,PARADEROS_VALIDOS!$C$2:$C$68,0)),"")</f>
        <v>RUTA 2</v>
      </c>
      <c r="AE210" s="33" cm="1">
        <f t="array" ref="AE210">ROUND(MIN(6371*ACOS(COS(RADIANS(Y210))*COS(RADIANS(PARADEROS_VALIDOS!$E$2:$E$68))*COS(RADIANS(PARADEROS_VALIDOS!$F$2:$F$68)-RADIANS(Z210))+SIN(RADIANS(Y210))*SIN(RADIANS(PARADEROS_VALIDOS!$E$2:$E$68)))),2)</f>
        <v>4.4000000000000004</v>
      </c>
      <c r="AF210" s="2" t="str">
        <f t="shared" si="15"/>
        <v>🟠 Moderada (3-5 km)</v>
      </c>
      <c r="AG210" s="2"/>
      <c r="AH210" s="2"/>
      <c r="AI210" s="51">
        <v>-11.997563</v>
      </c>
      <c r="AJ210" s="51">
        <v>-76.900062000000005</v>
      </c>
      <c r="AK210" s="2" t="str">
        <f>IFERROR(VLOOKUP(H210,tdcargo[],2,FALSE),"DESCONOCIDO")</f>
        <v>OPERARIO</v>
      </c>
    </row>
    <row r="211" spans="1:37" x14ac:dyDescent="0.35">
      <c r="A211" s="2" t="s">
        <v>4129</v>
      </c>
      <c r="B211" s="2" t="s">
        <v>4130</v>
      </c>
      <c r="C211" s="2" t="s">
        <v>4131</v>
      </c>
      <c r="D211" s="2" t="s">
        <v>43</v>
      </c>
      <c r="E211" s="2">
        <v>33</v>
      </c>
      <c r="F211" s="2" t="s">
        <v>3255</v>
      </c>
      <c r="G211" s="2">
        <v>20508033</v>
      </c>
      <c r="H211" s="2" t="s">
        <v>1971</v>
      </c>
      <c r="I211" s="3">
        <v>45463</v>
      </c>
      <c r="J211" s="2" t="s">
        <v>31</v>
      </c>
      <c r="K211" s="3" t="s">
        <v>1968</v>
      </c>
      <c r="L211" s="2" t="s">
        <v>3278</v>
      </c>
      <c r="M211" s="2" t="s">
        <v>3279</v>
      </c>
      <c r="N211" s="2" t="s">
        <v>36</v>
      </c>
      <c r="O211" s="2" t="s">
        <v>4132</v>
      </c>
      <c r="P211" s="2" t="s">
        <v>36</v>
      </c>
      <c r="Q211" s="2" t="s">
        <v>4133</v>
      </c>
      <c r="R211" s="2" t="s">
        <v>3291</v>
      </c>
      <c r="S211" s="2" t="s">
        <v>37</v>
      </c>
      <c r="T211" s="2" t="s">
        <v>37</v>
      </c>
      <c r="U211" s="2" t="s">
        <v>57</v>
      </c>
      <c r="V211" s="3">
        <v>45463</v>
      </c>
      <c r="W211" s="2" t="s">
        <v>48</v>
      </c>
      <c r="X211" s="2" t="str">
        <f t="shared" si="12"/>
        <v>Los Aztecas Manylsa Santa Clara, Ate, Lima, Lima, Perú</v>
      </c>
      <c r="Y211" s="22">
        <v>-12.029738800000001</v>
      </c>
      <c r="Z211" s="22">
        <v>-76.888900800000002</v>
      </c>
      <c r="AA211" s="33">
        <f t="shared" si="13"/>
        <v>3.78</v>
      </c>
      <c r="AB211" s="2" t="str">
        <f t="shared" si="14"/>
        <v>🟢 Muy Cerca (0-5 km)</v>
      </c>
      <c r="AC211" s="2" t="str" cm="1">
        <f t="array" ref="AC211">INDEX(PARADEROS_VALIDOS!$C$2:$C$68,MATCH(MIN(6371*ACOS(COS(RADIANS(Y211))*COS(RADIANS(PARADEROS_VALIDOS!$E$2:$E$68))*COS(RADIANS(PARADEROS_VALIDOS!$F$2:$F$68)-RADIANS(Z211))+SIN(RADIANS(Y211))*SIN(RADIANS(PARADEROS_VALIDOS!$E$2:$E$68)))),6371*ACOS(COS(RADIANS(Y211))*COS(RADIANS(PARADEROS_VALIDOS!$E$2:$E$68))*COS(RADIANS(PARADEROS_VALIDOS!$F$2:$F$68)-RADIANS(Z211))+SIN(RADIANS(Y211))*SIN(RADIANS(PARADEROS_VALIDOS!$E$2:$E$68))),0))</f>
        <v>Paradero Sta. Clara</v>
      </c>
      <c r="AD211" s="2" t="str">
        <f>IFERROR(INDEX(PARADEROS_VALIDOS!$A$2:$A$68,MATCH(AC211,PARADEROS_VALIDOS!$C$2:$C$68,0)),"")</f>
        <v>RUTA 5C</v>
      </c>
      <c r="AE211" s="33" cm="1">
        <f t="array" ref="AE211">ROUND(MIN(6371*ACOS(COS(RADIANS(Y211))*COS(RADIANS(PARADEROS_VALIDOS!$E$2:$E$68))*COS(RADIANS(PARADEROS_VALIDOS!$F$2:$F$68)-RADIANS(Z211))+SIN(RADIANS(Y211))*SIN(RADIANS(PARADEROS_VALIDOS!$E$2:$E$68)))),2)</f>
        <v>1.71</v>
      </c>
      <c r="AF211" s="2" t="str">
        <f t="shared" si="15"/>
        <v>🟡 Cerca (1-3 km)</v>
      </c>
      <c r="AG211" s="2"/>
      <c r="AH211" s="2"/>
      <c r="AI211" s="51">
        <v>-11.997563</v>
      </c>
      <c r="AJ211" s="51">
        <v>-76.900062000000005</v>
      </c>
      <c r="AK211" s="2" t="str">
        <f>IFERROR(VLOOKUP(H211,tdcargo[],2,FALSE),"DESCONOCIDO")</f>
        <v>OPERARIO</v>
      </c>
    </row>
    <row r="212" spans="1:37" x14ac:dyDescent="0.35">
      <c r="A212" s="2" t="s">
        <v>4134</v>
      </c>
      <c r="B212" s="2" t="s">
        <v>4135</v>
      </c>
      <c r="C212" s="2" t="s">
        <v>199</v>
      </c>
      <c r="D212" s="2" t="s">
        <v>3893</v>
      </c>
      <c r="E212" s="2">
        <v>33</v>
      </c>
      <c r="F212" s="2" t="s">
        <v>3255</v>
      </c>
      <c r="G212" s="2">
        <v>20508054</v>
      </c>
      <c r="H212" s="2" t="s">
        <v>1971</v>
      </c>
      <c r="I212" s="3">
        <v>45378</v>
      </c>
      <c r="J212" s="2" t="s">
        <v>31</v>
      </c>
      <c r="K212" s="3" t="s">
        <v>1968</v>
      </c>
      <c r="L212" s="2" t="s">
        <v>3299</v>
      </c>
      <c r="M212" s="2" t="s">
        <v>3300</v>
      </c>
      <c r="N212" s="2" t="s">
        <v>36</v>
      </c>
      <c r="O212" s="2" t="s">
        <v>4136</v>
      </c>
      <c r="P212" s="2" t="s">
        <v>36</v>
      </c>
      <c r="Q212" s="2" t="s">
        <v>4137</v>
      </c>
      <c r="R212" s="2" t="s">
        <v>3291</v>
      </c>
      <c r="S212" s="2" t="s">
        <v>37</v>
      </c>
      <c r="T212" s="2" t="s">
        <v>37</v>
      </c>
      <c r="U212" s="2" t="s">
        <v>57</v>
      </c>
      <c r="V212" s="3">
        <v>45378</v>
      </c>
      <c r="W212" s="2" t="s">
        <v>48</v>
      </c>
      <c r="X212" s="2" t="str">
        <f t="shared" si="12"/>
        <v>Asociacion Casas Huerta Productiva Z, Ate, Lima, Lima, Perú</v>
      </c>
      <c r="Y212" s="22">
        <v>-12.023711</v>
      </c>
      <c r="Z212" s="22">
        <v>-76.894016899999997</v>
      </c>
      <c r="AA212" s="33">
        <f t="shared" si="13"/>
        <v>2.98</v>
      </c>
      <c r="AB212" s="2" t="str">
        <f t="shared" si="14"/>
        <v>🟢 Muy Cerca (0-5 km)</v>
      </c>
      <c r="AC212" s="2" t="str" cm="1">
        <f t="array" ref="AC212">INDEX(PARADEROS_VALIDOS!$C$2:$C$68,MATCH(MIN(6371*ACOS(COS(RADIANS(Y212))*COS(RADIANS(PARADEROS_VALIDOS!$E$2:$E$68))*COS(RADIANS(PARADEROS_VALIDOS!$F$2:$F$68)-RADIANS(Z212))+SIN(RADIANS(Y212))*SIN(RADIANS(PARADEROS_VALIDOS!$E$2:$E$68)))),6371*ACOS(COS(RADIANS(Y212))*COS(RADIANS(PARADEROS_VALIDOS!$E$2:$E$68))*COS(RADIANS(PARADEROS_VALIDOS!$F$2:$F$68)-RADIANS(Z212))+SIN(RADIANS(Y212))*SIN(RADIANS(PARADEROS_VALIDOS!$E$2:$E$68))),0))</f>
        <v>Paradero Sta. Clara</v>
      </c>
      <c r="AD212" s="2" t="str">
        <f>IFERROR(INDEX(PARADEROS_VALIDOS!$A$2:$A$68,MATCH(AC212,PARADEROS_VALIDOS!$C$2:$C$68,0)),"")</f>
        <v>RUTA 5C</v>
      </c>
      <c r="AE212" s="33" cm="1">
        <f t="array" ref="AE212">ROUND(MIN(6371*ACOS(COS(RADIANS(Y212))*COS(RADIANS(PARADEROS_VALIDOS!$E$2:$E$68))*COS(RADIANS(PARADEROS_VALIDOS!$F$2:$F$68)-RADIANS(Z212))+SIN(RADIANS(Y212))*SIN(RADIANS(PARADEROS_VALIDOS!$E$2:$E$68)))),2)</f>
        <v>1.37</v>
      </c>
      <c r="AF212" s="2" t="str">
        <f t="shared" si="15"/>
        <v>🟡 Cerca (1-3 km)</v>
      </c>
      <c r="AG212" s="2"/>
      <c r="AH212" s="2"/>
      <c r="AI212" s="51">
        <v>-11.997563</v>
      </c>
      <c r="AJ212" s="51">
        <v>-76.900062000000005</v>
      </c>
      <c r="AK212" s="2" t="str">
        <f>IFERROR(VLOOKUP(H212,tdcargo[],2,FALSE),"DESCONOCIDO")</f>
        <v>OPERARIO</v>
      </c>
    </row>
    <row r="213" spans="1:37" x14ac:dyDescent="0.35">
      <c r="A213" s="2" t="s">
        <v>4138</v>
      </c>
      <c r="B213" s="2" t="s">
        <v>4139</v>
      </c>
      <c r="C213" s="2" t="s">
        <v>1523</v>
      </c>
      <c r="D213" s="2" t="s">
        <v>4140</v>
      </c>
      <c r="E213" s="2">
        <v>34</v>
      </c>
      <c r="F213" s="2" t="s">
        <v>3255</v>
      </c>
      <c r="G213" s="2">
        <v>20508155</v>
      </c>
      <c r="H213" s="2" t="s">
        <v>1971</v>
      </c>
      <c r="I213" s="3">
        <v>42187</v>
      </c>
      <c r="J213" s="2" t="s">
        <v>31</v>
      </c>
      <c r="K213" s="3" t="s">
        <v>1968</v>
      </c>
      <c r="L213" s="2" t="s">
        <v>3336</v>
      </c>
      <c r="M213" s="2" t="s">
        <v>3337</v>
      </c>
      <c r="N213" s="2" t="s">
        <v>34</v>
      </c>
      <c r="O213" s="2" t="s">
        <v>2799</v>
      </c>
      <c r="P213" s="2" t="s">
        <v>88</v>
      </c>
      <c r="Q213" s="2" t="s">
        <v>4141</v>
      </c>
      <c r="R213" s="2" t="s">
        <v>3260</v>
      </c>
      <c r="S213" s="2" t="s">
        <v>37</v>
      </c>
      <c r="T213" s="2" t="s">
        <v>37</v>
      </c>
      <c r="U213" s="2" t="s">
        <v>38</v>
      </c>
      <c r="V213" s="3">
        <v>42187</v>
      </c>
      <c r="W213" s="2" t="s">
        <v>48</v>
      </c>
      <c r="X213" s="2" t="str">
        <f t="shared" si="12"/>
        <v>Avenida Principal, A.H. Asentamiento Humano Nuevo Sagrado Corzon Cristo Rey, San Juan De Lurigancho, Lima, Lima, Perú</v>
      </c>
      <c r="Y213" s="22">
        <v>-11.983592399999999</v>
      </c>
      <c r="Z213" s="22">
        <v>-77.011628599999995</v>
      </c>
      <c r="AA213" s="33">
        <f t="shared" si="13"/>
        <v>12.23</v>
      </c>
      <c r="AB213" s="2" t="str">
        <f t="shared" si="14"/>
        <v>🟠 Moderada (10-20 km)</v>
      </c>
      <c r="AC213" s="2" t="str" cm="1">
        <f t="array" ref="AC213">INDEX(PARADEROS_VALIDOS!$C$2:$C$68,MATCH(MIN(6371*ACOS(COS(RADIANS(Y213))*COS(RADIANS(PARADEROS_VALIDOS!$E$2:$E$68))*COS(RADIANS(PARADEROS_VALIDOS!$F$2:$F$68)-RADIANS(Z213))+SIN(RADIANS(Y213))*SIN(RADIANS(PARADEROS_VALIDOS!$E$2:$E$68)))),6371*ACOS(COS(RADIANS(Y213))*COS(RADIANS(PARADEROS_VALIDOS!$E$2:$E$68))*COS(RADIANS(PARADEROS_VALIDOS!$F$2:$F$68)-RADIANS(Z213))+SIN(RADIANS(Y213))*SIN(RADIANS(PARADEROS_VALIDOS!$E$2:$E$68))),0))</f>
        <v>Paradero San Carlos</v>
      </c>
      <c r="AD213" s="2" t="str">
        <f>IFERROR(INDEX(PARADEROS_VALIDOS!$A$2:$A$68,MATCH(AC213,PARADEROS_VALIDOS!$C$2:$C$68,0)),"")</f>
        <v>RUTA 6B</v>
      </c>
      <c r="AE213" s="33" cm="1">
        <f t="array" ref="AE213">ROUND(MIN(6371*ACOS(COS(RADIANS(Y213))*COS(RADIANS(PARADEROS_VALIDOS!$E$2:$E$68))*COS(RADIANS(PARADEROS_VALIDOS!$F$2:$F$68)-RADIANS(Z213))+SIN(RADIANS(Y213))*SIN(RADIANS(PARADEROS_VALIDOS!$E$2:$E$68)))),2)</f>
        <v>0.61</v>
      </c>
      <c r="AF213" s="2" t="str">
        <f t="shared" si="15"/>
        <v>🟢 Muy Cerca (0-1 km)</v>
      </c>
      <c r="AG213" s="2"/>
      <c r="AH213" s="2"/>
      <c r="AI213" s="51">
        <v>-11.997563</v>
      </c>
      <c r="AJ213" s="51">
        <v>-76.900062000000005</v>
      </c>
      <c r="AK213" s="2" t="str">
        <f>IFERROR(VLOOKUP(H213,tdcargo[],2,FALSE),"DESCONOCIDO")</f>
        <v>OPERARIO</v>
      </c>
    </row>
    <row r="214" spans="1:37" x14ac:dyDescent="0.35">
      <c r="A214" s="2" t="s">
        <v>4142</v>
      </c>
      <c r="B214" s="2" t="s">
        <v>4143</v>
      </c>
      <c r="C214" s="2" t="s">
        <v>4144</v>
      </c>
      <c r="D214" s="2" t="s">
        <v>3815</v>
      </c>
      <c r="E214" s="2">
        <v>30</v>
      </c>
      <c r="F214" s="2" t="s">
        <v>3255</v>
      </c>
      <c r="G214" s="2">
        <v>20508125</v>
      </c>
      <c r="H214" s="2" t="s">
        <v>1971</v>
      </c>
      <c r="I214" s="3">
        <v>45943</v>
      </c>
      <c r="J214" s="2" t="s">
        <v>31</v>
      </c>
      <c r="K214" s="3" t="s">
        <v>1968</v>
      </c>
      <c r="L214" s="2" t="s">
        <v>3271</v>
      </c>
      <c r="M214" s="2" t="s">
        <v>3272</v>
      </c>
      <c r="N214" s="2" t="s">
        <v>34</v>
      </c>
      <c r="O214" s="2" t="s">
        <v>1017</v>
      </c>
      <c r="P214" s="2" t="s">
        <v>36</v>
      </c>
      <c r="Q214" s="2" t="s">
        <v>4145</v>
      </c>
      <c r="R214" s="2" t="s">
        <v>3274</v>
      </c>
      <c r="S214" s="2" t="s">
        <v>37</v>
      </c>
      <c r="T214" s="2" t="s">
        <v>37</v>
      </c>
      <c r="U214" s="2" t="s">
        <v>76</v>
      </c>
      <c r="V214" s="3">
        <v>45943</v>
      </c>
      <c r="W214" s="2" t="s">
        <v>39</v>
      </c>
      <c r="X214" s="2" t="str">
        <f t="shared" si="12"/>
        <v>Avenida Cajamarquilla Lotizacion Pre Urban, Lurigancho, Lima, Lima, Perú</v>
      </c>
      <c r="Y214" s="22">
        <v>-12.022152999999999</v>
      </c>
      <c r="Z214" s="22">
        <v>-76.993319900000003</v>
      </c>
      <c r="AA214" s="33">
        <f t="shared" si="13"/>
        <v>10.5</v>
      </c>
      <c r="AB214" s="2" t="str">
        <f t="shared" si="14"/>
        <v>🟠 Moderada (10-20 km)</v>
      </c>
      <c r="AC214" s="2" t="str" cm="1">
        <f t="array" ref="AC214">INDEX(PARADEROS_VALIDOS!$C$2:$C$68,MATCH(MIN(6371*ACOS(COS(RADIANS(Y214))*COS(RADIANS(PARADEROS_VALIDOS!$E$2:$E$68))*COS(RADIANS(PARADEROS_VALIDOS!$F$2:$F$68)-RADIANS(Z214))+SIN(RADIANS(Y214))*SIN(RADIANS(PARADEROS_VALIDOS!$E$2:$E$68)))),6371*ACOS(COS(RADIANS(Y214))*COS(RADIANS(PARADEROS_VALIDOS!$E$2:$E$68))*COS(RADIANS(PARADEROS_VALIDOS!$F$2:$F$68)-RADIANS(Z214))+SIN(RADIANS(Y214))*SIN(RADIANS(PARADEROS_VALIDOS!$E$2:$E$68))),0))</f>
        <v>Puente Nuevo (Av. Chinchaysuyo &amp; Av. Malecón Checa)</v>
      </c>
      <c r="AD214" s="2" t="str">
        <f>IFERROR(INDEX(PARADEROS_VALIDOS!$A$2:$A$68,MATCH(AC214,PARADEROS_VALIDOS!$C$2:$C$68,0)),"")</f>
        <v>RUTA 6C</v>
      </c>
      <c r="AE214" s="33" cm="1">
        <f t="array" ref="AE214">ROUND(MIN(6371*ACOS(COS(RADIANS(Y214))*COS(RADIANS(PARADEROS_VALIDOS!$E$2:$E$68))*COS(RADIANS(PARADEROS_VALIDOS!$F$2:$F$68)-RADIANS(Z214))+SIN(RADIANS(Y214))*SIN(RADIANS(PARADEROS_VALIDOS!$E$2:$E$68)))),2)</f>
        <v>0.72</v>
      </c>
      <c r="AF214" s="2" t="str">
        <f t="shared" si="15"/>
        <v>🟢 Muy Cerca (0-1 km)</v>
      </c>
      <c r="AG214" s="2"/>
      <c r="AH214" s="2"/>
      <c r="AI214" s="51">
        <v>-11.997563</v>
      </c>
      <c r="AJ214" s="51">
        <v>-76.900062000000005</v>
      </c>
      <c r="AK214" s="2" t="str">
        <f>IFERROR(VLOOKUP(H214,tdcargo[],2,FALSE),"DESCONOCIDO")</f>
        <v>OPERARIO</v>
      </c>
    </row>
    <row r="215" spans="1:37" x14ac:dyDescent="0.35">
      <c r="A215" s="2" t="s">
        <v>4146</v>
      </c>
      <c r="B215" s="2" t="s">
        <v>4147</v>
      </c>
      <c r="C215" s="2" t="s">
        <v>265</v>
      </c>
      <c r="D215" s="2" t="s">
        <v>1392</v>
      </c>
      <c r="E215" s="2">
        <v>29</v>
      </c>
      <c r="F215" s="2" t="s">
        <v>3255</v>
      </c>
      <c r="G215" s="2">
        <v>20511979</v>
      </c>
      <c r="H215" s="2" t="s">
        <v>2006</v>
      </c>
      <c r="I215" s="3">
        <v>44637</v>
      </c>
      <c r="J215" s="2" t="s">
        <v>31</v>
      </c>
      <c r="K215" s="3" t="s">
        <v>1968</v>
      </c>
      <c r="L215" s="2" t="s">
        <v>4148</v>
      </c>
      <c r="M215" s="2" t="s">
        <v>1968</v>
      </c>
      <c r="N215" s="2" t="s">
        <v>34</v>
      </c>
      <c r="O215" s="2" t="s">
        <v>798</v>
      </c>
      <c r="P215" s="2" t="s">
        <v>66</v>
      </c>
      <c r="Q215" s="2" t="s">
        <v>1861</v>
      </c>
      <c r="R215" s="2" t="s">
        <v>3291</v>
      </c>
      <c r="S215" s="2" t="s">
        <v>37</v>
      </c>
      <c r="T215" s="2" t="s">
        <v>37</v>
      </c>
      <c r="U215" s="2" t="s">
        <v>57</v>
      </c>
      <c r="V215" s="3">
        <v>44637</v>
      </c>
      <c r="W215" s="2" t="s">
        <v>48</v>
      </c>
      <c r="X215" s="2" t="str">
        <f t="shared" si="12"/>
        <v>Avenida 15 De Julio, U.V. Unidad Vecinal D, Ate, Lima, Lima, Perú</v>
      </c>
      <c r="Y215" s="22">
        <v>-12.016420999999999</v>
      </c>
      <c r="Z215" s="22">
        <v>-76.825003800000005</v>
      </c>
      <c r="AA215" s="33">
        <f t="shared" si="13"/>
        <v>8.43</v>
      </c>
      <c r="AB215" s="2" t="str">
        <f t="shared" si="14"/>
        <v>🟡 Cerca (5-10 km)</v>
      </c>
      <c r="AC215" s="2" t="str" cm="1">
        <f t="array" ref="AC215">INDEX(PARADEROS_VALIDOS!$C$2:$C$68,MATCH(MIN(6371*ACOS(COS(RADIANS(Y215))*COS(RADIANS(PARADEROS_VALIDOS!$E$2:$E$68))*COS(RADIANS(PARADEROS_VALIDOS!$F$2:$F$68)-RADIANS(Z215))+SIN(RADIANS(Y215))*SIN(RADIANS(PARADEROS_VALIDOS!$E$2:$E$68)))),6371*ACOS(COS(RADIANS(Y215))*COS(RADIANS(PARADEROS_VALIDOS!$E$2:$E$68))*COS(RADIANS(PARADEROS_VALIDOS!$F$2:$F$68)-RADIANS(Z215))+SIN(RADIANS(Y215))*SIN(RADIANS(PARADEROS_VALIDOS!$E$2:$E$68))),0))</f>
        <v>Paradero Aurora</v>
      </c>
      <c r="AD215" s="2" t="str">
        <f>IFERROR(INDEX(PARADEROS_VALIDOS!$A$2:$A$68,MATCH(AC215,PARADEROS_VALIDOS!$C$2:$C$68,0)),"")</f>
        <v>RUTA 3</v>
      </c>
      <c r="AE215" s="33" cm="1">
        <f t="array" ref="AE215">ROUND(MIN(6371*ACOS(COS(RADIANS(Y215))*COS(RADIANS(PARADEROS_VALIDOS!$E$2:$E$68))*COS(RADIANS(PARADEROS_VALIDOS!$F$2:$F$68)-RADIANS(Z215))+SIN(RADIANS(Y215))*SIN(RADIANS(PARADEROS_VALIDOS!$E$2:$E$68)))),2)</f>
        <v>1.08</v>
      </c>
      <c r="AF215" s="2" t="str">
        <f t="shared" si="15"/>
        <v>🟡 Cerca (1-3 km)</v>
      </c>
      <c r="AG215" s="2"/>
      <c r="AH215" s="2"/>
      <c r="AI215" s="51">
        <v>-11.997563</v>
      </c>
      <c r="AJ215" s="51">
        <v>-76.900062000000005</v>
      </c>
      <c r="AK215" s="2" t="str">
        <f>IFERROR(VLOOKUP(H215,tdcargo[],2,FALSE),"DESCONOCIDO")</f>
        <v>OPERARIO</v>
      </c>
    </row>
    <row r="216" spans="1:37" x14ac:dyDescent="0.35">
      <c r="A216" s="2" t="s">
        <v>4149</v>
      </c>
      <c r="B216" s="2" t="s">
        <v>4150</v>
      </c>
      <c r="C216" s="2" t="s">
        <v>4151</v>
      </c>
      <c r="D216" s="2" t="s">
        <v>4152</v>
      </c>
      <c r="E216" s="2">
        <v>24</v>
      </c>
      <c r="F216" s="2" t="s">
        <v>3255</v>
      </c>
      <c r="G216" s="2">
        <v>20511215</v>
      </c>
      <c r="H216" s="2" t="s">
        <v>1971</v>
      </c>
      <c r="I216" s="3">
        <v>46072</v>
      </c>
      <c r="J216" s="2" t="s">
        <v>31</v>
      </c>
      <c r="K216" s="3" t="s">
        <v>1968</v>
      </c>
      <c r="L216" s="2" t="s">
        <v>3256</v>
      </c>
      <c r="M216" s="2" t="s">
        <v>3257</v>
      </c>
      <c r="N216" s="2" t="s">
        <v>82</v>
      </c>
      <c r="O216" s="2" t="s">
        <v>4153</v>
      </c>
      <c r="P216" s="2" t="s">
        <v>36</v>
      </c>
      <c r="Q216" s="2" t="s">
        <v>4154</v>
      </c>
      <c r="R216" s="2" t="s">
        <v>3274</v>
      </c>
      <c r="S216" s="2" t="s">
        <v>37</v>
      </c>
      <c r="T216" s="2" t="s">
        <v>37</v>
      </c>
      <c r="U216" s="2" t="s">
        <v>76</v>
      </c>
      <c r="V216" s="3">
        <v>46072</v>
      </c>
      <c r="W216" s="2" t="s">
        <v>135</v>
      </c>
      <c r="X216" s="2" t="str">
        <f t="shared" si="12"/>
        <v>Calle San Hilarion Anelos SAN HILARION, Lurigancho, Lima, Lima, Perú</v>
      </c>
      <c r="Y216" s="22">
        <v>-11.994605699999999</v>
      </c>
      <c r="Z216" s="22">
        <v>-77.012673800000002</v>
      </c>
      <c r="AA216" s="33">
        <f t="shared" si="13"/>
        <v>12.25</v>
      </c>
      <c r="AB216" s="2" t="str">
        <f t="shared" si="14"/>
        <v>🟠 Moderada (10-20 km)</v>
      </c>
      <c r="AC216" s="2" t="str" cm="1">
        <f t="array" ref="AC216">INDEX(PARADEROS_VALIDOS!$C$2:$C$68,MATCH(MIN(6371*ACOS(COS(RADIANS(Y216))*COS(RADIANS(PARADEROS_VALIDOS!$E$2:$E$68))*COS(RADIANS(PARADEROS_VALIDOS!$F$2:$F$68)-RADIANS(Z216))+SIN(RADIANS(Y216))*SIN(RADIANS(PARADEROS_VALIDOS!$E$2:$E$68)))),6371*ACOS(COS(RADIANS(Y216))*COS(RADIANS(PARADEROS_VALIDOS!$E$2:$E$68))*COS(RADIANS(PARADEROS_VALIDOS!$F$2:$F$68)-RADIANS(Z216))+SIN(RADIANS(Y216))*SIN(RADIANS(PARADEROS_VALIDOS!$E$2:$E$68))),0))</f>
        <v>Paradero San Carlos</v>
      </c>
      <c r="AD216" s="2" t="str">
        <f>IFERROR(INDEX(PARADEROS_VALIDOS!$A$2:$A$68,MATCH(AC216,PARADEROS_VALIDOS!$C$2:$C$68,0)),"")</f>
        <v>RUTA 6B</v>
      </c>
      <c r="AE216" s="33" cm="1">
        <f t="array" ref="AE216">ROUND(MIN(6371*ACOS(COS(RADIANS(Y216))*COS(RADIANS(PARADEROS_VALIDOS!$E$2:$E$68))*COS(RADIANS(PARADEROS_VALIDOS!$F$2:$F$68)-RADIANS(Z216))+SIN(RADIANS(Y216))*SIN(RADIANS(PARADEROS_VALIDOS!$E$2:$E$68)))),2)</f>
        <v>0.66</v>
      </c>
      <c r="AF216" s="2" t="str">
        <f t="shared" si="15"/>
        <v>🟢 Muy Cerca (0-1 km)</v>
      </c>
      <c r="AG216" s="2"/>
      <c r="AH216" s="2"/>
      <c r="AI216" s="51">
        <v>-11.997563</v>
      </c>
      <c r="AJ216" s="51">
        <v>-76.900062000000005</v>
      </c>
      <c r="AK216" s="2" t="str">
        <f>IFERROR(VLOOKUP(H216,tdcargo[],2,FALSE),"DESCONOCIDO")</f>
        <v>OPERARIO</v>
      </c>
    </row>
    <row r="217" spans="1:37" x14ac:dyDescent="0.35">
      <c r="A217" s="2" t="s">
        <v>4155</v>
      </c>
      <c r="B217" s="2" t="s">
        <v>4156</v>
      </c>
      <c r="C217" s="2" t="s">
        <v>1058</v>
      </c>
      <c r="D217" s="2" t="s">
        <v>363</v>
      </c>
      <c r="E217" s="2">
        <v>33</v>
      </c>
      <c r="F217" s="2" t="s">
        <v>3255</v>
      </c>
      <c r="G217" s="2">
        <v>20515925</v>
      </c>
      <c r="H217" s="2" t="s">
        <v>372</v>
      </c>
      <c r="I217" s="3">
        <v>46083</v>
      </c>
      <c r="J217" s="2" t="s">
        <v>31</v>
      </c>
      <c r="K217" s="3" t="s">
        <v>1968</v>
      </c>
      <c r="L217" s="2" t="s">
        <v>3413</v>
      </c>
      <c r="M217" s="2" t="s">
        <v>3305</v>
      </c>
      <c r="N217" s="2" t="s">
        <v>36</v>
      </c>
      <c r="O217" s="2" t="s">
        <v>889</v>
      </c>
      <c r="P217" s="2" t="s">
        <v>36</v>
      </c>
      <c r="Q217" s="2" t="s">
        <v>4157</v>
      </c>
      <c r="R217" s="2" t="s">
        <v>3291</v>
      </c>
      <c r="S217" s="2" t="s">
        <v>37</v>
      </c>
      <c r="T217" s="2" t="s">
        <v>37</v>
      </c>
      <c r="U217" s="2" t="s">
        <v>57</v>
      </c>
      <c r="V217" s="3">
        <v>46083</v>
      </c>
      <c r="W217" s="2" t="s">
        <v>135</v>
      </c>
      <c r="X217" s="2" t="str">
        <f t="shared" si="12"/>
        <v>Ucv ZONA E HUAYCAN, Ate, Lima, Lima, Perú</v>
      </c>
      <c r="Y217" s="22">
        <v>-12.010109</v>
      </c>
      <c r="Z217" s="22">
        <v>-76.827872200000002</v>
      </c>
      <c r="AA217" s="33">
        <f t="shared" si="13"/>
        <v>7.97</v>
      </c>
      <c r="AB217" s="2" t="str">
        <f t="shared" si="14"/>
        <v>🟡 Cerca (5-10 km)</v>
      </c>
      <c r="AC217" s="2" t="str" cm="1">
        <f t="array" ref="AC217">INDEX(PARADEROS_VALIDOS!$C$2:$C$68,MATCH(MIN(6371*ACOS(COS(RADIANS(Y217))*COS(RADIANS(PARADEROS_VALIDOS!$E$2:$E$68))*COS(RADIANS(PARADEROS_VALIDOS!$F$2:$F$68)-RADIANS(Z217))+SIN(RADIANS(Y217))*SIN(RADIANS(PARADEROS_VALIDOS!$E$2:$E$68)))),6371*ACOS(COS(RADIANS(Y217))*COS(RADIANS(PARADEROS_VALIDOS!$E$2:$E$68))*COS(RADIANS(PARADEROS_VALIDOS!$F$2:$F$68)-RADIANS(Z217))+SIN(RADIANS(Y217))*SIN(RADIANS(PARADEROS_VALIDOS!$E$2:$E$68))),0))</f>
        <v>Entrada Horacio</v>
      </c>
      <c r="AD217" s="2" t="str">
        <f>IFERROR(INDEX(PARADEROS_VALIDOS!$A$2:$A$68,MATCH(AC217,PARADEROS_VALIDOS!$C$2:$C$68,0)),"")</f>
        <v>RUTA 5B</v>
      </c>
      <c r="AE217" s="33" cm="1">
        <f t="array" ref="AE217">ROUND(MIN(6371*ACOS(COS(RADIANS(Y217))*COS(RADIANS(PARADEROS_VALIDOS!$E$2:$E$68))*COS(RADIANS(PARADEROS_VALIDOS!$F$2:$F$68)-RADIANS(Z217))+SIN(RADIANS(Y217))*SIN(RADIANS(PARADEROS_VALIDOS!$E$2:$E$68)))),2)</f>
        <v>1.55</v>
      </c>
      <c r="AF217" s="2" t="str">
        <f t="shared" si="15"/>
        <v>🟡 Cerca (1-3 km)</v>
      </c>
      <c r="AG217" s="2"/>
      <c r="AH217" s="2"/>
      <c r="AI217" s="51">
        <v>-11.997563</v>
      </c>
      <c r="AJ217" s="51">
        <v>-76.900062000000005</v>
      </c>
      <c r="AK217" s="2" t="str">
        <f>IFERROR(VLOOKUP(H217,tdcargo[],2,FALSE),"DESCONOCIDO")</f>
        <v>OPERARIO</v>
      </c>
    </row>
    <row r="218" spans="1:37" x14ac:dyDescent="0.35">
      <c r="A218" s="2" t="s">
        <v>4158</v>
      </c>
      <c r="B218" s="2" t="s">
        <v>4159</v>
      </c>
      <c r="C218" s="2" t="s">
        <v>4160</v>
      </c>
      <c r="D218" s="2" t="s">
        <v>4161</v>
      </c>
      <c r="E218" s="2">
        <v>19</v>
      </c>
      <c r="F218" s="2" t="s">
        <v>3255</v>
      </c>
      <c r="G218" s="2">
        <v>20508003</v>
      </c>
      <c r="H218" s="2" t="s">
        <v>1971</v>
      </c>
      <c r="I218" s="3">
        <v>45950</v>
      </c>
      <c r="J218" s="2" t="s">
        <v>31</v>
      </c>
      <c r="K218" s="3" t="s">
        <v>1968</v>
      </c>
      <c r="L218" s="2" t="s">
        <v>3373</v>
      </c>
      <c r="M218" s="2" t="s">
        <v>3374</v>
      </c>
      <c r="N218" s="2" t="s">
        <v>36</v>
      </c>
      <c r="O218" s="2" t="s">
        <v>4162</v>
      </c>
      <c r="P218" s="2" t="s">
        <v>36</v>
      </c>
      <c r="Q218" s="2" t="s">
        <v>4163</v>
      </c>
      <c r="R218" s="2" t="s">
        <v>3339</v>
      </c>
      <c r="S218" s="2" t="s">
        <v>37</v>
      </c>
      <c r="T218" s="2" t="s">
        <v>37</v>
      </c>
      <c r="U218" s="2" t="s">
        <v>188</v>
      </c>
      <c r="V218" s="3">
        <v>45950</v>
      </c>
      <c r="W218" s="2" t="s">
        <v>39</v>
      </c>
      <c r="X218" s="2" t="str">
        <f t="shared" si="12"/>
        <v>Sebastian Barranca Cerro San Cosme, La Victoria, Lima, Lima, Perú</v>
      </c>
      <c r="Y218" s="22">
        <v>-12.0833333</v>
      </c>
      <c r="Z218" s="22">
        <v>-77.016666700000002</v>
      </c>
      <c r="AA218" s="33">
        <f t="shared" si="13"/>
        <v>15.87</v>
      </c>
      <c r="AB218" s="2" t="str">
        <f t="shared" si="14"/>
        <v>🟠 Moderada (10-20 km)</v>
      </c>
      <c r="AC218" s="2" t="str" cm="1">
        <f t="array" ref="AC218">INDEX(PARADEROS_VALIDOS!$C$2:$C$68,MATCH(MIN(6371*ACOS(COS(RADIANS(Y218))*COS(RADIANS(PARADEROS_VALIDOS!$E$2:$E$68))*COS(RADIANS(PARADEROS_VALIDOS!$F$2:$F$68)-RADIANS(Z218))+SIN(RADIANS(Y218))*SIN(RADIANS(PARADEROS_VALIDOS!$E$2:$E$68)))),6371*ACOS(COS(RADIANS(Y218))*COS(RADIANS(PARADEROS_VALIDOS!$E$2:$E$68))*COS(RADIANS(PARADEROS_VALIDOS!$F$2:$F$68)-RADIANS(Z218))+SIN(RADIANS(Y218))*SIN(RADIANS(PARADEROS_VALIDOS!$E$2:$E$68))),0))</f>
        <v>Paradero Berlín con Javier prado (cruzando el semáforo) aplica solo al ingreso.</v>
      </c>
      <c r="AD218" s="2" t="str">
        <f>IFERROR(INDEX(PARADEROS_VALIDOS!$A$2:$A$68,MATCH(AC218,PARADEROS_VALIDOS!$C$2:$C$68,0)),"")</f>
        <v>RUTA 4A</v>
      </c>
      <c r="AE218" s="33" cm="1">
        <f t="array" ref="AE218">ROUND(MIN(6371*ACOS(COS(RADIANS(Y218))*COS(RADIANS(PARADEROS_VALIDOS!$E$2:$E$68))*COS(RADIANS(PARADEROS_VALIDOS!$F$2:$F$68)-RADIANS(Z218))+SIN(RADIANS(Y218))*SIN(RADIANS(PARADEROS_VALIDOS!$E$2:$E$68)))),2)</f>
        <v>0.77</v>
      </c>
      <c r="AF218" s="2" t="str">
        <f t="shared" si="15"/>
        <v>🟢 Muy Cerca (0-1 km)</v>
      </c>
      <c r="AG218" s="2"/>
      <c r="AH218" s="2"/>
      <c r="AI218" s="51">
        <v>-11.997563</v>
      </c>
      <c r="AJ218" s="51">
        <v>-76.900062000000005</v>
      </c>
      <c r="AK218" s="2" t="str">
        <f>IFERROR(VLOOKUP(H218,tdcargo[],2,FALSE),"DESCONOCIDO")</f>
        <v>OPERARIO</v>
      </c>
    </row>
    <row r="219" spans="1:37" x14ac:dyDescent="0.35">
      <c r="A219" s="2" t="s">
        <v>4164</v>
      </c>
      <c r="B219" s="2" t="s">
        <v>4165</v>
      </c>
      <c r="C219" s="2" t="s">
        <v>363</v>
      </c>
      <c r="D219" s="2" t="s">
        <v>4166</v>
      </c>
      <c r="E219" s="2">
        <v>19</v>
      </c>
      <c r="F219" s="2" t="s">
        <v>3255</v>
      </c>
      <c r="G219" s="2">
        <v>20508141</v>
      </c>
      <c r="H219" s="2" t="s">
        <v>1971</v>
      </c>
      <c r="I219" s="3">
        <v>46024</v>
      </c>
      <c r="J219" s="2" t="s">
        <v>31</v>
      </c>
      <c r="K219" s="3" t="s">
        <v>1968</v>
      </c>
      <c r="L219" s="2" t="s">
        <v>3732</v>
      </c>
      <c r="M219" s="2" t="s">
        <v>3292</v>
      </c>
      <c r="N219" s="2" t="s">
        <v>82</v>
      </c>
      <c r="O219" s="2" t="s">
        <v>4167</v>
      </c>
      <c r="P219" s="2" t="s">
        <v>36</v>
      </c>
      <c r="Q219" s="2" t="s">
        <v>574</v>
      </c>
      <c r="R219" s="2" t="s">
        <v>3542</v>
      </c>
      <c r="S219" s="2" t="s">
        <v>37</v>
      </c>
      <c r="T219" s="2" t="s">
        <v>195</v>
      </c>
      <c r="U219" s="2" t="s">
        <v>196</v>
      </c>
      <c r="V219" s="3">
        <v>46024</v>
      </c>
      <c r="W219" s="2" t="s">
        <v>135</v>
      </c>
      <c r="X219" s="2" t="str">
        <f t="shared" si="12"/>
        <v>Calle Calle Puno LOS OLIVOS, San Antonio, Huarochiri, Lima, Perú</v>
      </c>
      <c r="Y219" s="22">
        <v>-11.9826604</v>
      </c>
      <c r="Z219" s="22">
        <v>-76.935465500000007</v>
      </c>
      <c r="AA219" s="33">
        <f t="shared" si="13"/>
        <v>4.1900000000000004</v>
      </c>
      <c r="AB219" s="2" t="str">
        <f t="shared" si="14"/>
        <v>🟢 Muy Cerca (0-5 km)</v>
      </c>
      <c r="AC219" s="2" t="str" cm="1">
        <f t="array" ref="AC219">INDEX(PARADEROS_VALIDOS!$C$2:$C$68,MATCH(MIN(6371*ACOS(COS(RADIANS(Y219))*COS(RADIANS(PARADEROS_VALIDOS!$E$2:$E$68))*COS(RADIANS(PARADEROS_VALIDOS!$F$2:$F$68)-RADIANS(Z219))+SIN(RADIANS(Y219))*SIN(RADIANS(PARADEROS_VALIDOS!$E$2:$E$68)))),6371*ACOS(COS(RADIANS(Y219))*COS(RADIANS(PARADEROS_VALIDOS!$E$2:$E$68))*COS(RADIANS(PARADEROS_VALIDOS!$F$2:$F$68)-RADIANS(Z219))+SIN(RADIANS(Y219))*SIN(RADIANS(PARADEROS_VALIDOS!$E$2:$E$68))),0))</f>
        <v>Paradero Arco San Antonio</v>
      </c>
      <c r="AD219" s="2" t="str">
        <f>IFERROR(INDEX(PARADEROS_VALIDOS!$A$2:$A$68,MATCH(AC219,PARADEROS_VALIDOS!$C$2:$C$68,0)),"")</f>
        <v>RUTA 2</v>
      </c>
      <c r="AE219" s="33" cm="1">
        <f t="array" ref="AE219">ROUND(MIN(6371*ACOS(COS(RADIANS(Y219))*COS(RADIANS(PARADEROS_VALIDOS!$E$2:$E$68))*COS(RADIANS(PARADEROS_VALIDOS!$F$2:$F$68)-RADIANS(Z219))+SIN(RADIANS(Y219))*SIN(RADIANS(PARADEROS_VALIDOS!$E$2:$E$68)))),2)</f>
        <v>3.72</v>
      </c>
      <c r="AF219" s="2" t="str">
        <f t="shared" si="15"/>
        <v>🟠 Moderada (3-5 km)</v>
      </c>
      <c r="AG219" s="2"/>
      <c r="AH219" s="2"/>
      <c r="AI219" s="51">
        <v>-11.997563</v>
      </c>
      <c r="AJ219" s="51">
        <v>-76.900062000000005</v>
      </c>
      <c r="AK219" s="2" t="str">
        <f>IFERROR(VLOOKUP(H219,tdcargo[],2,FALSE),"DESCONOCIDO")</f>
        <v>OPERARIO</v>
      </c>
    </row>
    <row r="220" spans="1:37" x14ac:dyDescent="0.35">
      <c r="A220" s="2" t="s">
        <v>4168</v>
      </c>
      <c r="B220" s="2" t="s">
        <v>4169</v>
      </c>
      <c r="C220" s="2" t="s">
        <v>4170</v>
      </c>
      <c r="D220" s="2" t="s">
        <v>405</v>
      </c>
      <c r="E220" s="2">
        <v>22</v>
      </c>
      <c r="F220" s="2" t="s">
        <v>3255</v>
      </c>
      <c r="G220" s="2">
        <v>20508095</v>
      </c>
      <c r="H220" s="2" t="s">
        <v>1971</v>
      </c>
      <c r="I220" s="3">
        <v>46037</v>
      </c>
      <c r="J220" s="2" t="s">
        <v>31</v>
      </c>
      <c r="K220" s="3" t="s">
        <v>1968</v>
      </c>
      <c r="L220" s="2" t="s">
        <v>3263</v>
      </c>
      <c r="M220" s="2" t="s">
        <v>3264</v>
      </c>
      <c r="N220" s="2" t="s">
        <v>36</v>
      </c>
      <c r="O220" s="2" t="s">
        <v>1313</v>
      </c>
      <c r="P220" s="2" t="s">
        <v>186</v>
      </c>
      <c r="Q220" s="2" t="s">
        <v>2506</v>
      </c>
      <c r="R220" s="2" t="s">
        <v>3274</v>
      </c>
      <c r="S220" s="2" t="s">
        <v>37</v>
      </c>
      <c r="T220" s="2" t="s">
        <v>37</v>
      </c>
      <c r="U220" s="2" t="s">
        <v>76</v>
      </c>
      <c r="V220" s="3">
        <v>46037</v>
      </c>
      <c r="W220" s="2" t="s">
        <v>135</v>
      </c>
      <c r="X220" s="2" t="str">
        <f t="shared" si="12"/>
        <v>Las Palmeras, Urb. Urbanización VILLA ESPERANZA, Lurigancho, Lima, Lima, Perú</v>
      </c>
      <c r="Y220" s="22">
        <v>-12.2030596</v>
      </c>
      <c r="Z220" s="22">
        <v>-76.977906599999997</v>
      </c>
      <c r="AA220" s="33">
        <f t="shared" si="13"/>
        <v>24.37</v>
      </c>
      <c r="AB220" s="2" t="str">
        <f t="shared" si="14"/>
        <v>🔴 Lejos (&gt;20 km)</v>
      </c>
      <c r="AC220" s="2" t="str" cm="1">
        <f t="array" ref="AC220">INDEX(PARADEROS_VALIDOS!$C$2:$C$68,MATCH(MIN(6371*ACOS(COS(RADIANS(Y220))*COS(RADIANS(PARADEROS_VALIDOS!$E$2:$E$68))*COS(RADIANS(PARADEROS_VALIDOS!$F$2:$F$68)-RADIANS(Z220))+SIN(RADIANS(Y220))*SIN(RADIANS(PARADEROS_VALIDOS!$E$2:$E$68)))),6371*ACOS(COS(RADIANS(Y220))*COS(RADIANS(PARADEROS_VALIDOS!$E$2:$E$68))*COS(RADIANS(PARADEROS_VALIDOS!$F$2:$F$68)-RADIANS(Z220))+SIN(RADIANS(Y220))*SIN(RADIANS(PARADEROS_VALIDOS!$E$2:$E$68))),0))</f>
        <v>Villa El Salvador (Cruce Av. 1ro de Mayo con ruta C)</v>
      </c>
      <c r="AD220" s="2" t="str">
        <f>IFERROR(INDEX(PARADEROS_VALIDOS!$A$2:$A$68,MATCH(AC220,PARADEROS_VALIDOS!$C$2:$C$68,0)),"")</f>
        <v>RUTA 7</v>
      </c>
      <c r="AE220" s="33" cm="1">
        <f t="array" ref="AE220">ROUND(MIN(6371*ACOS(COS(RADIANS(Y220))*COS(RADIANS(PARADEROS_VALIDOS!$E$2:$E$68))*COS(RADIANS(PARADEROS_VALIDOS!$F$2:$F$68)-RADIANS(Z220))+SIN(RADIANS(Y220))*SIN(RADIANS(PARADEROS_VALIDOS!$E$2:$E$68)))),2)</f>
        <v>2.29</v>
      </c>
      <c r="AF220" s="2" t="str">
        <f t="shared" si="15"/>
        <v>🟡 Cerca (1-3 km)</v>
      </c>
      <c r="AG220" s="2"/>
      <c r="AH220" s="2"/>
      <c r="AI220" s="51">
        <v>-11.997563</v>
      </c>
      <c r="AJ220" s="51">
        <v>-76.900062000000005</v>
      </c>
      <c r="AK220" s="2" t="str">
        <f>IFERROR(VLOOKUP(H220,tdcargo[],2,FALSE),"DESCONOCIDO")</f>
        <v>OPERARIO</v>
      </c>
    </row>
    <row r="221" spans="1:37" x14ac:dyDescent="0.35">
      <c r="A221" s="2" t="s">
        <v>4171</v>
      </c>
      <c r="B221" s="2" t="s">
        <v>4172</v>
      </c>
      <c r="C221" s="2" t="s">
        <v>1256</v>
      </c>
      <c r="D221" s="2" t="s">
        <v>1233</v>
      </c>
      <c r="E221" s="2">
        <v>23</v>
      </c>
      <c r="F221" s="2" t="s">
        <v>3255</v>
      </c>
      <c r="G221" s="2">
        <v>20510975</v>
      </c>
      <c r="H221" s="2" t="s">
        <v>1971</v>
      </c>
      <c r="I221" s="3">
        <v>46037</v>
      </c>
      <c r="J221" s="2" t="s">
        <v>31</v>
      </c>
      <c r="K221" s="3" t="s">
        <v>1968</v>
      </c>
      <c r="L221" s="2" t="s">
        <v>3278</v>
      </c>
      <c r="M221" s="2" t="s">
        <v>3279</v>
      </c>
      <c r="N221" s="2" t="s">
        <v>36</v>
      </c>
      <c r="O221" s="2" t="s">
        <v>4173</v>
      </c>
      <c r="P221" s="2" t="s">
        <v>36</v>
      </c>
      <c r="Q221" s="2" t="s">
        <v>4174</v>
      </c>
      <c r="R221" s="2" t="s">
        <v>3416</v>
      </c>
      <c r="S221" s="2" t="s">
        <v>37</v>
      </c>
      <c r="T221" s="2" t="s">
        <v>37</v>
      </c>
      <c r="U221" s="2" t="s">
        <v>37</v>
      </c>
      <c r="V221" s="3">
        <v>46037</v>
      </c>
      <c r="W221" s="2" t="s">
        <v>135</v>
      </c>
      <c r="X221" s="2" t="str">
        <f t="shared" si="12"/>
        <v>Torres De Huachipa A.V LAS TORRES, Lima, Lima, Lima, Perú</v>
      </c>
      <c r="Y221" s="22">
        <v>-12.016335</v>
      </c>
      <c r="Z221" s="22">
        <v>-76.897997000000004</v>
      </c>
      <c r="AA221" s="33">
        <f t="shared" si="13"/>
        <v>2.1</v>
      </c>
      <c r="AB221" s="2" t="str">
        <f t="shared" si="14"/>
        <v>🟢 Muy Cerca (0-5 km)</v>
      </c>
      <c r="AC221" s="2" t="str" cm="1">
        <f t="array" ref="AC221">INDEX(PARADEROS_VALIDOS!$C$2:$C$68,MATCH(MIN(6371*ACOS(COS(RADIANS(Y221))*COS(RADIANS(PARADEROS_VALIDOS!$E$2:$E$68))*COS(RADIANS(PARADEROS_VALIDOS!$F$2:$F$68)-RADIANS(Z221))+SIN(RADIANS(Y221))*SIN(RADIANS(PARADEROS_VALIDOS!$E$2:$E$68)))),6371*ACOS(COS(RADIANS(Y221))*COS(RADIANS(PARADEROS_VALIDOS!$E$2:$E$68))*COS(RADIANS(PARADEROS_VALIDOS!$F$2:$F$68)-RADIANS(Z221))+SIN(RADIANS(Y221))*SIN(RADIANS(PARADEROS_VALIDOS!$E$2:$E$68))),0))</f>
        <v>Paradero Esperanza</v>
      </c>
      <c r="AD221" s="2" t="str">
        <f>IFERROR(INDEX(PARADEROS_VALIDOS!$A$2:$A$68,MATCH(AC221,PARADEROS_VALIDOS!$C$2:$C$68,0)),"")</f>
        <v>RUTA 4B</v>
      </c>
      <c r="AE221" s="33" cm="1">
        <f t="array" ref="AE221">ROUND(MIN(6371*ACOS(COS(RADIANS(Y221))*COS(RADIANS(PARADEROS_VALIDOS!$E$2:$E$68))*COS(RADIANS(PARADEROS_VALIDOS!$F$2:$F$68)-RADIANS(Z221))+SIN(RADIANS(Y221))*SIN(RADIANS(PARADEROS_VALIDOS!$E$2:$E$68)))),2)</f>
        <v>1.1399999999999999</v>
      </c>
      <c r="AF221" s="2" t="str">
        <f t="shared" si="15"/>
        <v>🟡 Cerca (1-3 km)</v>
      </c>
      <c r="AG221" s="2"/>
      <c r="AH221" s="2"/>
      <c r="AI221" s="51">
        <v>-11.997563</v>
      </c>
      <c r="AJ221" s="51">
        <v>-76.900062000000005</v>
      </c>
      <c r="AK221" s="2" t="str">
        <f>IFERROR(VLOOKUP(H221,tdcargo[],2,FALSE),"DESCONOCIDO")</f>
        <v>OPERARIO</v>
      </c>
    </row>
    <row r="222" spans="1:37" x14ac:dyDescent="0.35">
      <c r="A222" s="2" t="s">
        <v>4175</v>
      </c>
      <c r="B222" s="2" t="s">
        <v>832</v>
      </c>
      <c r="C222" s="2" t="s">
        <v>624</v>
      </c>
      <c r="D222" s="2" t="s">
        <v>949</v>
      </c>
      <c r="E222" s="2">
        <v>33</v>
      </c>
      <c r="F222" s="2" t="s">
        <v>3255</v>
      </c>
      <c r="G222" s="2">
        <v>20508025</v>
      </c>
      <c r="H222" s="2" t="s">
        <v>1971</v>
      </c>
      <c r="I222" s="3">
        <v>46097</v>
      </c>
      <c r="J222" s="2" t="s">
        <v>31</v>
      </c>
      <c r="K222" s="3" t="s">
        <v>1968</v>
      </c>
      <c r="L222" s="2" t="s">
        <v>3278</v>
      </c>
      <c r="M222" s="2" t="s">
        <v>3279</v>
      </c>
      <c r="N222" s="2" t="s">
        <v>82</v>
      </c>
      <c r="O222" s="2" t="s">
        <v>4176</v>
      </c>
      <c r="P222" s="2" t="s">
        <v>36</v>
      </c>
      <c r="Q222" s="2" t="s">
        <v>4177</v>
      </c>
      <c r="R222" s="2" t="s">
        <v>3274</v>
      </c>
      <c r="S222" s="2" t="s">
        <v>37</v>
      </c>
      <c r="T222" s="2" t="s">
        <v>37</v>
      </c>
      <c r="U222" s="2" t="s">
        <v>76</v>
      </c>
      <c r="V222" s="3">
        <v>46097</v>
      </c>
      <c r="W222" s="2" t="s">
        <v>135</v>
      </c>
      <c r="X222" s="2" t="str">
        <f t="shared" si="12"/>
        <v>Calle Chacrasana SEGUNDA ETAPA, Lurigancho, Lima, Lima, Perú</v>
      </c>
      <c r="Y222" s="22">
        <v>-11.9588442</v>
      </c>
      <c r="Z222" s="22">
        <v>-76.744894299999999</v>
      </c>
      <c r="AA222" s="33">
        <f t="shared" si="13"/>
        <v>17.420000000000002</v>
      </c>
      <c r="AB222" s="2" t="str">
        <f t="shared" si="14"/>
        <v>🟠 Moderada (10-20 km)</v>
      </c>
      <c r="AC222" s="2" t="str" cm="1">
        <f t="array" ref="AC222">INDEX(PARADEROS_VALIDOS!$C$2:$C$68,MATCH(MIN(6371*ACOS(COS(RADIANS(Y222))*COS(RADIANS(PARADEROS_VALIDOS!$E$2:$E$68))*COS(RADIANS(PARADEROS_VALIDOS!$F$2:$F$68)-RADIANS(Z222))+SIN(RADIANS(Y222))*SIN(RADIANS(PARADEROS_VALIDOS!$E$2:$E$68)))),6371*ACOS(COS(RADIANS(Y222))*COS(RADIANS(PARADEROS_VALIDOS!$E$2:$E$68))*COS(RADIANS(PARADEROS_VALIDOS!$F$2:$F$68)-RADIANS(Z222))+SIN(RADIANS(Y222))*SIN(RADIANS(PARADEROS_VALIDOS!$E$2:$E$68))),0))</f>
        <v>Paradero Girasoles - Chaclacayo</v>
      </c>
      <c r="AD222" s="2" t="str">
        <f>IFERROR(INDEX(PARADEROS_VALIDOS!$A$2:$A$68,MATCH(AC222,PARADEROS_VALIDOS!$C$2:$C$68,0)),"")</f>
        <v>RUTA 5A</v>
      </c>
      <c r="AE222" s="33" cm="1">
        <f t="array" ref="AE222">ROUND(MIN(6371*ACOS(COS(RADIANS(Y222))*COS(RADIANS(PARADEROS_VALIDOS!$E$2:$E$68))*COS(RADIANS(PARADEROS_VALIDOS!$F$2:$F$68)-RADIANS(Z222))+SIN(RADIANS(Y222))*SIN(RADIANS(PARADEROS_VALIDOS!$E$2:$E$68)))),2)</f>
        <v>3.59</v>
      </c>
      <c r="AF222" s="2" t="str">
        <f t="shared" si="15"/>
        <v>🟠 Moderada (3-5 km)</v>
      </c>
      <c r="AG222" s="2"/>
      <c r="AH222" s="2"/>
      <c r="AI222" s="51">
        <v>-11.997563</v>
      </c>
      <c r="AJ222" s="51">
        <v>-76.900062000000005</v>
      </c>
      <c r="AK222" s="2" t="str">
        <f>IFERROR(VLOOKUP(H222,tdcargo[],2,FALSE),"DESCONOCIDO")</f>
        <v>OPERARIO</v>
      </c>
    </row>
    <row r="223" spans="1:37" x14ac:dyDescent="0.35">
      <c r="A223" s="2" t="s">
        <v>4178</v>
      </c>
      <c r="B223" s="2" t="s">
        <v>4179</v>
      </c>
      <c r="C223" s="2" t="s">
        <v>4180</v>
      </c>
      <c r="D223" s="2" t="s">
        <v>1000</v>
      </c>
      <c r="E223" s="2">
        <v>23</v>
      </c>
      <c r="F223" s="2" t="s">
        <v>3255</v>
      </c>
      <c r="G223" s="2">
        <v>20507983</v>
      </c>
      <c r="H223" s="2" t="s">
        <v>1971</v>
      </c>
      <c r="I223" s="3">
        <v>46083</v>
      </c>
      <c r="J223" s="2" t="s">
        <v>31</v>
      </c>
      <c r="K223" s="3" t="s">
        <v>1968</v>
      </c>
      <c r="L223" s="2" t="s">
        <v>3256</v>
      </c>
      <c r="M223" s="2" t="s">
        <v>3257</v>
      </c>
      <c r="N223" s="2" t="s">
        <v>82</v>
      </c>
      <c r="O223" s="2" t="s">
        <v>4181</v>
      </c>
      <c r="P223" s="2" t="s">
        <v>36</v>
      </c>
      <c r="Q223" s="2" t="s">
        <v>2059</v>
      </c>
      <c r="R223" s="2" t="s">
        <v>3291</v>
      </c>
      <c r="S223" s="2" t="s">
        <v>37</v>
      </c>
      <c r="T223" s="2" t="s">
        <v>37</v>
      </c>
      <c r="U223" s="2" t="s">
        <v>57</v>
      </c>
      <c r="V223" s="3">
        <v>46083</v>
      </c>
      <c r="W223" s="2" t="s">
        <v>135</v>
      </c>
      <c r="X223" s="2" t="str">
        <f t="shared" si="12"/>
        <v>Calle Viñas Santa Clara PRIALE, Ate, Lima, Lima, Perú</v>
      </c>
      <c r="Y223" s="22">
        <v>-12.0047005</v>
      </c>
      <c r="Z223" s="22">
        <v>-76.856142199999994</v>
      </c>
      <c r="AA223" s="33">
        <f t="shared" si="13"/>
        <v>4.84</v>
      </c>
      <c r="AB223" s="2" t="str">
        <f t="shared" si="14"/>
        <v>🟢 Muy Cerca (0-5 km)</v>
      </c>
      <c r="AC223" s="2" t="str" cm="1">
        <f t="array" ref="AC223">INDEX(PARADEROS_VALIDOS!$C$2:$C$68,MATCH(MIN(6371*ACOS(COS(RADIANS(Y223))*COS(RADIANS(PARADEROS_VALIDOS!$E$2:$E$68))*COS(RADIANS(PARADEROS_VALIDOS!$F$2:$F$68)-RADIANS(Z223))+SIN(RADIANS(Y223))*SIN(RADIANS(PARADEROS_VALIDOS!$E$2:$E$68)))),6371*ACOS(COS(RADIANS(Y223))*COS(RADIANS(PARADEROS_VALIDOS!$E$2:$E$68))*COS(RADIANS(PARADEROS_VALIDOS!$F$2:$F$68)-RADIANS(Z223))+SIN(RADIANS(Y223))*SIN(RADIANS(PARADEROS_VALIDOS!$E$2:$E$68))),0))</f>
        <v>Paradero Gloria Grande</v>
      </c>
      <c r="AD223" s="2" t="str">
        <f>IFERROR(INDEX(PARADEROS_VALIDOS!$A$2:$A$68,MATCH(AC223,PARADEROS_VALIDOS!$C$2:$C$68,0)),"")</f>
        <v>RUTA 5B</v>
      </c>
      <c r="AE223" s="33" cm="1">
        <f t="array" ref="AE223">ROUND(MIN(6371*ACOS(COS(RADIANS(Y223))*COS(RADIANS(PARADEROS_VALIDOS!$E$2:$E$68))*COS(RADIANS(PARADEROS_VALIDOS!$F$2:$F$68)-RADIANS(Z223))+SIN(RADIANS(Y223))*SIN(RADIANS(PARADEROS_VALIDOS!$E$2:$E$68)))),2)</f>
        <v>0.59</v>
      </c>
      <c r="AF223" s="2" t="str">
        <f t="shared" si="15"/>
        <v>🟢 Muy Cerca (0-1 km)</v>
      </c>
      <c r="AG223" s="2"/>
      <c r="AH223" s="2"/>
      <c r="AI223" s="51">
        <v>-11.997563</v>
      </c>
      <c r="AJ223" s="51">
        <v>-76.900062000000005</v>
      </c>
      <c r="AK223" s="2" t="str">
        <f>IFERROR(VLOOKUP(H223,tdcargo[],2,FALSE),"DESCONOCIDO")</f>
        <v>OPERARIO</v>
      </c>
    </row>
    <row r="224" spans="1:37" x14ac:dyDescent="0.35">
      <c r="A224" s="2" t="s">
        <v>4182</v>
      </c>
      <c r="B224" s="2" t="s">
        <v>4183</v>
      </c>
      <c r="C224" s="2" t="s">
        <v>213</v>
      </c>
      <c r="D224" s="2" t="s">
        <v>4184</v>
      </c>
      <c r="E224" s="2">
        <v>35</v>
      </c>
      <c r="F224" s="2" t="s">
        <v>3255</v>
      </c>
      <c r="G224" s="2">
        <v>20508130</v>
      </c>
      <c r="H224" s="2" t="s">
        <v>372</v>
      </c>
      <c r="I224" s="3">
        <v>43997</v>
      </c>
      <c r="J224" s="2" t="s">
        <v>31</v>
      </c>
      <c r="K224" s="3" t="s">
        <v>1968</v>
      </c>
      <c r="L224" s="2" t="s">
        <v>3413</v>
      </c>
      <c r="M224" s="2" t="s">
        <v>3305</v>
      </c>
      <c r="N224" s="2" t="s">
        <v>82</v>
      </c>
      <c r="O224" s="2" t="s">
        <v>748</v>
      </c>
      <c r="P224" s="2" t="s">
        <v>186</v>
      </c>
      <c r="Q224" s="2" t="s">
        <v>1803</v>
      </c>
      <c r="R224" s="2" t="s">
        <v>3274</v>
      </c>
      <c r="S224" s="2" t="s">
        <v>37</v>
      </c>
      <c r="T224" s="2" t="s">
        <v>37</v>
      </c>
      <c r="U224" s="2" t="s">
        <v>76</v>
      </c>
      <c r="V224" s="3">
        <v>43997</v>
      </c>
      <c r="W224" s="2" t="s">
        <v>48</v>
      </c>
      <c r="X224" s="2" t="str">
        <f t="shared" si="12"/>
        <v>Calle Nieveria, Urb. Urbanización Chambala, Lurigancho, Lima, Lima, Perú</v>
      </c>
      <c r="Y224" s="22">
        <v>-11.997818199999999</v>
      </c>
      <c r="Z224" s="22">
        <v>-76.905962500000001</v>
      </c>
      <c r="AA224" s="33">
        <f t="shared" si="13"/>
        <v>0.64</v>
      </c>
      <c r="AB224" s="2" t="str">
        <f t="shared" si="14"/>
        <v>🟢 Muy Cerca (0-5 km)</v>
      </c>
      <c r="AC224" s="2" t="str" cm="1">
        <f t="array" ref="AC224">INDEX(PARADEROS_VALIDOS!$C$2:$C$68,MATCH(MIN(6371*ACOS(COS(RADIANS(Y224))*COS(RADIANS(PARADEROS_VALIDOS!$E$2:$E$68))*COS(RADIANS(PARADEROS_VALIDOS!$F$2:$F$68)-RADIANS(Z224))+SIN(RADIANS(Y224))*SIN(RADIANS(PARADEROS_VALIDOS!$E$2:$E$68)))),6371*ACOS(COS(RADIANS(Y224))*COS(RADIANS(PARADEROS_VALIDOS!$E$2:$E$68))*COS(RADIANS(PARADEROS_VALIDOS!$F$2:$F$68)-RADIANS(Z224))+SIN(RADIANS(Y224))*SIN(RADIANS(PARADEROS_VALIDOS!$E$2:$E$68))),0))</f>
        <v>Paradero Arco San Antonio</v>
      </c>
      <c r="AD224" s="2" t="str">
        <f>IFERROR(INDEX(PARADEROS_VALIDOS!$A$2:$A$68,MATCH(AC224,PARADEROS_VALIDOS!$C$2:$C$68,0)),"")</f>
        <v>RUTA 2</v>
      </c>
      <c r="AE224" s="33" cm="1">
        <f t="array" ref="AE224">ROUND(MIN(6371*ACOS(COS(RADIANS(Y224))*COS(RADIANS(PARADEROS_VALIDOS!$E$2:$E$68))*COS(RADIANS(PARADEROS_VALIDOS!$F$2:$F$68)-RADIANS(Z224))+SIN(RADIANS(Y224))*SIN(RADIANS(PARADEROS_VALIDOS!$E$2:$E$68)))),2)</f>
        <v>0.56999999999999995</v>
      </c>
      <c r="AF224" s="2" t="str">
        <f t="shared" si="15"/>
        <v>🟢 Muy Cerca (0-1 km)</v>
      </c>
      <c r="AG224" s="2"/>
      <c r="AH224" s="2"/>
      <c r="AI224" s="51">
        <v>-11.997563</v>
      </c>
      <c r="AJ224" s="51">
        <v>-76.900062000000005</v>
      </c>
      <c r="AK224" s="2" t="str">
        <f>IFERROR(VLOOKUP(H224,tdcargo[],2,FALSE),"DESCONOCIDO")</f>
        <v>OPERARIO</v>
      </c>
    </row>
    <row r="225" spans="1:37" x14ac:dyDescent="0.35">
      <c r="A225" s="2" t="s">
        <v>4185</v>
      </c>
      <c r="B225" s="2" t="s">
        <v>4186</v>
      </c>
      <c r="C225" s="2" t="s">
        <v>106</v>
      </c>
      <c r="D225" s="2" t="s">
        <v>122</v>
      </c>
      <c r="E225" s="2">
        <v>25</v>
      </c>
      <c r="F225" s="2" t="s">
        <v>3255</v>
      </c>
      <c r="G225" s="2">
        <v>20507985</v>
      </c>
      <c r="H225" s="2" t="s">
        <v>1971</v>
      </c>
      <c r="I225" s="3">
        <v>46055</v>
      </c>
      <c r="J225" s="2" t="s">
        <v>31</v>
      </c>
      <c r="K225" s="3" t="s">
        <v>1968</v>
      </c>
      <c r="L225" s="2" t="s">
        <v>3256</v>
      </c>
      <c r="M225" s="2" t="s">
        <v>3257</v>
      </c>
      <c r="N225" s="2" t="s">
        <v>82</v>
      </c>
      <c r="O225" s="2" t="s">
        <v>4187</v>
      </c>
      <c r="P225" s="2" t="s">
        <v>36</v>
      </c>
      <c r="Q225" s="2" t="s">
        <v>4188</v>
      </c>
      <c r="R225" s="2" t="s">
        <v>3274</v>
      </c>
      <c r="S225" s="2" t="s">
        <v>37</v>
      </c>
      <c r="T225" s="2" t="s">
        <v>37</v>
      </c>
      <c r="U225" s="2" t="s">
        <v>76</v>
      </c>
      <c r="V225" s="3">
        <v>46055</v>
      </c>
      <c r="W225" s="2" t="s">
        <v>135</v>
      </c>
      <c r="X225" s="2" t="str">
        <f t="shared" si="12"/>
        <v>Calle Flor De Las Magnolia FLOR MAGNOLIAS, Lurigancho, Lima, Lima, Perú</v>
      </c>
      <c r="Y225" s="22">
        <v>-11.923472800000001</v>
      </c>
      <c r="Z225" s="22">
        <v>-76.680523300000004</v>
      </c>
      <c r="AA225" s="33">
        <f t="shared" si="13"/>
        <v>25.26</v>
      </c>
      <c r="AB225" s="2" t="str">
        <f t="shared" si="14"/>
        <v>🔴 Lejos (&gt;20 km)</v>
      </c>
      <c r="AC225" s="2" t="str" cm="1">
        <f t="array" ref="AC225">INDEX(PARADEROS_VALIDOS!$C$2:$C$68,MATCH(MIN(6371*ACOS(COS(RADIANS(Y225))*COS(RADIANS(PARADEROS_VALIDOS!$E$2:$E$68))*COS(RADIANS(PARADEROS_VALIDOS!$F$2:$F$68)-RADIANS(Z225))+SIN(RADIANS(Y225))*SIN(RADIANS(PARADEROS_VALIDOS!$E$2:$E$68)))),6371*ACOS(COS(RADIANS(Y225))*COS(RADIANS(PARADEROS_VALIDOS!$E$2:$E$68))*COS(RADIANS(PARADEROS_VALIDOS!$F$2:$F$68)-RADIANS(Z225))+SIN(RADIANS(Y225))*SIN(RADIANS(PARADEROS_VALIDOS!$E$2:$E$68))),0))</f>
        <v>Paradero Girasoles - Chaclacayo</v>
      </c>
      <c r="AD225" s="2" t="str">
        <f>IFERROR(INDEX(PARADEROS_VALIDOS!$A$2:$A$68,MATCH(AC225,PARADEROS_VALIDOS!$C$2:$C$68,0)),"")</f>
        <v>RUTA 5A</v>
      </c>
      <c r="AE225" s="33" cm="1">
        <f t="array" ref="AE225">ROUND(MIN(6371*ACOS(COS(RADIANS(Y225))*COS(RADIANS(PARADEROS_VALIDOS!$E$2:$E$68))*COS(RADIANS(PARADEROS_VALIDOS!$F$2:$F$68)-RADIANS(Z225))+SIN(RADIANS(Y225))*SIN(RADIANS(PARADEROS_VALIDOS!$E$2:$E$68)))),2)</f>
        <v>11.61</v>
      </c>
      <c r="AF225" s="2" t="str">
        <f t="shared" si="15"/>
        <v>🔴 Lejos (&gt;5 km)</v>
      </c>
      <c r="AG225" s="2"/>
      <c r="AH225" s="2"/>
      <c r="AI225" s="51">
        <v>-11.997563</v>
      </c>
      <c r="AJ225" s="51">
        <v>-76.900062000000005</v>
      </c>
      <c r="AK225" s="2" t="str">
        <f>IFERROR(VLOOKUP(H225,tdcargo[],2,FALSE),"DESCONOCIDO")</f>
        <v>OPERARIO</v>
      </c>
    </row>
    <row r="226" spans="1:37" x14ac:dyDescent="0.35">
      <c r="A226" s="2" t="s">
        <v>4189</v>
      </c>
      <c r="B226" s="2" t="s">
        <v>4190</v>
      </c>
      <c r="C226" s="2" t="s">
        <v>3328</v>
      </c>
      <c r="D226" s="2" t="s">
        <v>4191</v>
      </c>
      <c r="E226" s="2">
        <v>21</v>
      </c>
      <c r="F226" s="2" t="s">
        <v>3255</v>
      </c>
      <c r="G226" s="2">
        <v>20510979</v>
      </c>
      <c r="H226" s="2" t="s">
        <v>1971</v>
      </c>
      <c r="I226" s="3">
        <v>46055</v>
      </c>
      <c r="J226" s="2" t="s">
        <v>31</v>
      </c>
      <c r="K226" s="3" t="s">
        <v>1968</v>
      </c>
      <c r="L226" s="2" t="s">
        <v>3263</v>
      </c>
      <c r="M226" s="2" t="s">
        <v>3264</v>
      </c>
      <c r="N226" s="2" t="s">
        <v>36</v>
      </c>
      <c r="O226" s="2" t="s">
        <v>4192</v>
      </c>
      <c r="P226" s="2" t="s">
        <v>88</v>
      </c>
      <c r="Q226" s="2" t="s">
        <v>2184</v>
      </c>
      <c r="R226" s="2" t="s">
        <v>3291</v>
      </c>
      <c r="S226" s="2" t="s">
        <v>37</v>
      </c>
      <c r="T226" s="2" t="s">
        <v>37</v>
      </c>
      <c r="U226" s="2" t="s">
        <v>57</v>
      </c>
      <c r="V226" s="3">
        <v>46055</v>
      </c>
      <c r="W226" s="2" t="s">
        <v>135</v>
      </c>
      <c r="X226" s="2" t="str">
        <f t="shared" si="12"/>
        <v>Seda Pal De La P, A.H. Asentamiento Humano P, Ate, Lima, Lima, Perú</v>
      </c>
      <c r="Y226" s="22">
        <v>-12.0435195</v>
      </c>
      <c r="Z226" s="22">
        <v>-76.936425900000003</v>
      </c>
      <c r="AA226" s="33">
        <f t="shared" si="13"/>
        <v>6.46</v>
      </c>
      <c r="AB226" s="2" t="str">
        <f t="shared" si="14"/>
        <v>🟡 Cerca (5-10 km)</v>
      </c>
      <c r="AC226" s="2" t="str" cm="1">
        <f t="array" ref="AC226">INDEX(PARADEROS_VALIDOS!$C$2:$C$68,MATCH(MIN(6371*ACOS(COS(RADIANS(Y226))*COS(RADIANS(PARADEROS_VALIDOS!$E$2:$E$68))*COS(RADIANS(PARADEROS_VALIDOS!$F$2:$F$68)-RADIANS(Z226))+SIN(RADIANS(Y226))*SIN(RADIANS(PARADEROS_VALIDOS!$E$2:$E$68)))),6371*ACOS(COS(RADIANS(Y226))*COS(RADIANS(PARADEROS_VALIDOS!$E$2:$E$68))*COS(RADIANS(PARADEROS_VALIDOS!$F$2:$F$68)-RADIANS(Z226))+SIN(RADIANS(Y226))*SIN(RADIANS(PARADEROS_VALIDOS!$E$2:$E$68))),0))</f>
        <v>Real Plaza Puruchuco (Grifo Primax)</v>
      </c>
      <c r="AD226" s="2" t="str">
        <f>IFERROR(INDEX(PARADEROS_VALIDOS!$A$2:$A$68,MATCH(AC226,PARADEROS_VALIDOS!$C$2:$C$68,0)),"")</f>
        <v>RUTA 4A</v>
      </c>
      <c r="AE226" s="33" cm="1">
        <f t="array" ref="AE226">ROUND(MIN(6371*ACOS(COS(RADIANS(Y226))*COS(RADIANS(PARADEROS_VALIDOS!$E$2:$E$68))*COS(RADIANS(PARADEROS_VALIDOS!$F$2:$F$68)-RADIANS(Z226))+SIN(RADIANS(Y226))*SIN(RADIANS(PARADEROS_VALIDOS!$E$2:$E$68)))),2)</f>
        <v>0.54</v>
      </c>
      <c r="AF226" s="2" t="str">
        <f t="shared" si="15"/>
        <v>🟢 Muy Cerca (0-1 km)</v>
      </c>
      <c r="AG226" s="2"/>
      <c r="AH226" s="2"/>
      <c r="AI226" s="51">
        <v>-11.997563</v>
      </c>
      <c r="AJ226" s="51">
        <v>-76.900062000000005</v>
      </c>
      <c r="AK226" s="2" t="str">
        <f>IFERROR(VLOOKUP(H226,tdcargo[],2,FALSE),"DESCONOCIDO")</f>
        <v>OPERARIO</v>
      </c>
    </row>
    <row r="227" spans="1:37" x14ac:dyDescent="0.35">
      <c r="A227" s="2" t="s">
        <v>4193</v>
      </c>
      <c r="B227" s="2" t="s">
        <v>4194</v>
      </c>
      <c r="C227" s="2" t="s">
        <v>4195</v>
      </c>
      <c r="D227" s="2" t="s">
        <v>4196</v>
      </c>
      <c r="E227" s="2">
        <v>29</v>
      </c>
      <c r="F227" s="2" t="s">
        <v>3255</v>
      </c>
      <c r="G227" s="2">
        <v>20508138</v>
      </c>
      <c r="H227" s="2" t="s">
        <v>1971</v>
      </c>
      <c r="I227" s="3">
        <v>46055</v>
      </c>
      <c r="J227" s="2" t="s">
        <v>31</v>
      </c>
      <c r="K227" s="3" t="s">
        <v>1968</v>
      </c>
      <c r="L227" s="2" t="s">
        <v>3287</v>
      </c>
      <c r="M227" s="2" t="s">
        <v>3288</v>
      </c>
      <c r="N227" s="2" t="s">
        <v>36</v>
      </c>
      <c r="O227" s="2" t="s">
        <v>4197</v>
      </c>
      <c r="P227" s="2" t="s">
        <v>88</v>
      </c>
      <c r="Q227" s="2" t="s">
        <v>4198</v>
      </c>
      <c r="R227" s="2" t="s">
        <v>3291</v>
      </c>
      <c r="S227" s="2" t="s">
        <v>37</v>
      </c>
      <c r="T227" s="2" t="s">
        <v>37</v>
      </c>
      <c r="U227" s="2" t="s">
        <v>57</v>
      </c>
      <c r="V227" s="3">
        <v>46055</v>
      </c>
      <c r="W227" s="2" t="s">
        <v>135</v>
      </c>
      <c r="X227" s="2" t="str">
        <f t="shared" si="12"/>
        <v>A.A. H.H. San Pedro, A.H. Asentamiento Humano MZ. K LT. 3, Ate, Lima, Lima, Perú</v>
      </c>
      <c r="Y227" s="22">
        <v>-12.0984471</v>
      </c>
      <c r="Z227" s="22">
        <v>-76.962494800000002</v>
      </c>
      <c r="AA227" s="33">
        <f t="shared" si="13"/>
        <v>13.11</v>
      </c>
      <c r="AB227" s="2" t="str">
        <f t="shared" si="14"/>
        <v>🟠 Moderada (10-20 km)</v>
      </c>
      <c r="AC227" s="2" t="str" cm="1">
        <f t="array" ref="AC227">INDEX(PARADEROS_VALIDOS!$C$2:$C$68,MATCH(MIN(6371*ACOS(COS(RADIANS(Y227))*COS(RADIANS(PARADEROS_VALIDOS!$E$2:$E$68))*COS(RADIANS(PARADEROS_VALIDOS!$F$2:$F$68)-RADIANS(Z227))+SIN(RADIANS(Y227))*SIN(RADIANS(PARADEROS_VALIDOS!$E$2:$E$68)))),6371*ACOS(COS(RADIANS(Y227))*COS(RADIANS(PARADEROS_VALIDOS!$E$2:$E$68))*COS(RADIANS(PARADEROS_VALIDOS!$F$2:$F$68)-RADIANS(Z227))+SIN(RADIANS(Y227))*SIN(RADIANS(PARADEROS_VALIDOS!$E$2:$E$68))),0))</f>
        <v>Paradero Pte. Peatonal Primavera</v>
      </c>
      <c r="AD227" s="2" t="str">
        <f>IFERROR(INDEX(PARADEROS_VALIDOS!$A$2:$A$68,MATCH(AC227,PARADEROS_VALIDOS!$C$2:$C$68,0)),"")</f>
        <v>RUTA 8</v>
      </c>
      <c r="AE227" s="33" cm="1">
        <f t="array" ref="AE227">ROUND(MIN(6371*ACOS(COS(RADIANS(Y227))*COS(RADIANS(PARADEROS_VALIDOS!$E$2:$E$68))*COS(RADIANS(PARADEROS_VALIDOS!$F$2:$F$68)-RADIANS(Z227))+SIN(RADIANS(Y227))*SIN(RADIANS(PARADEROS_VALIDOS!$E$2:$E$68)))),2)</f>
        <v>2.17</v>
      </c>
      <c r="AF227" s="2" t="str">
        <f t="shared" si="15"/>
        <v>🟡 Cerca (1-3 km)</v>
      </c>
      <c r="AG227" s="2"/>
      <c r="AH227" s="2"/>
      <c r="AI227" s="51">
        <v>-11.997563</v>
      </c>
      <c r="AJ227" s="51">
        <v>-76.900062000000005</v>
      </c>
      <c r="AK227" s="2" t="str">
        <f>IFERROR(VLOOKUP(H227,tdcargo[],2,FALSE),"DESCONOCIDO")</f>
        <v>OPERARIO</v>
      </c>
    </row>
    <row r="228" spans="1:37" x14ac:dyDescent="0.35">
      <c r="A228" s="2" t="s">
        <v>4199</v>
      </c>
      <c r="B228" s="2" t="s">
        <v>1680</v>
      </c>
      <c r="C228" s="2" t="s">
        <v>87</v>
      </c>
      <c r="D228" s="2" t="s">
        <v>370</v>
      </c>
      <c r="E228" s="2">
        <v>28</v>
      </c>
      <c r="F228" s="2" t="s">
        <v>3255</v>
      </c>
      <c r="G228" s="2">
        <v>20511992</v>
      </c>
      <c r="H228" s="2" t="s">
        <v>1971</v>
      </c>
      <c r="I228" s="3">
        <v>46055</v>
      </c>
      <c r="J228" s="2" t="s">
        <v>31</v>
      </c>
      <c r="K228" s="3" t="s">
        <v>1968</v>
      </c>
      <c r="L228" s="2" t="s">
        <v>3256</v>
      </c>
      <c r="M228" s="2" t="s">
        <v>3257</v>
      </c>
      <c r="N228" s="2" t="s">
        <v>36</v>
      </c>
      <c r="O228" s="2" t="s">
        <v>4200</v>
      </c>
      <c r="P228" s="2" t="s">
        <v>186</v>
      </c>
      <c r="Q228" s="2" t="s">
        <v>4201</v>
      </c>
      <c r="R228" s="2" t="s">
        <v>3260</v>
      </c>
      <c r="S228" s="2" t="s">
        <v>37</v>
      </c>
      <c r="T228" s="2" t="s">
        <v>37</v>
      </c>
      <c r="U228" s="2" t="s">
        <v>38</v>
      </c>
      <c r="V228" s="3">
        <v>46055</v>
      </c>
      <c r="W228" s="2" t="s">
        <v>135</v>
      </c>
      <c r="X228" s="2" t="str">
        <f t="shared" si="12"/>
        <v>Coyllur, Urb. Urbanización ZARATE, San Juan De Lurigancho, Lima, Lima, Perú</v>
      </c>
      <c r="Y228" s="22">
        <v>-12.0242576</v>
      </c>
      <c r="Z228" s="22">
        <v>-76.983819600000004</v>
      </c>
      <c r="AA228" s="33">
        <f t="shared" si="13"/>
        <v>9.58</v>
      </c>
      <c r="AB228" s="2" t="str">
        <f t="shared" si="14"/>
        <v>🟡 Cerca (5-10 km)</v>
      </c>
      <c r="AC228" s="2" t="str" cm="1">
        <f t="array" ref="AC228">INDEX(PARADEROS_VALIDOS!$C$2:$C$68,MATCH(MIN(6371*ACOS(COS(RADIANS(Y228))*COS(RADIANS(PARADEROS_VALIDOS!$E$2:$E$68))*COS(RADIANS(PARADEROS_VALIDOS!$F$2:$F$68)-RADIANS(Z228))+SIN(RADIANS(Y228))*SIN(RADIANS(PARADEROS_VALIDOS!$E$2:$E$68)))),6371*ACOS(COS(RADIANS(Y228))*COS(RADIANS(PARADEROS_VALIDOS!$E$2:$E$68))*COS(RADIANS(PARADEROS_VALIDOS!$F$2:$F$68)-RADIANS(Z228))+SIN(RADIANS(Y228))*SIN(RADIANS(PARADEROS_VALIDOS!$E$2:$E$68))),0))</f>
        <v>Paradero Pajatén (Pajatén/Av. Malecón Checa)</v>
      </c>
      <c r="AD228" s="2" t="str">
        <f>IFERROR(INDEX(PARADEROS_VALIDOS!$A$2:$A$68,MATCH(AC228,PARADEROS_VALIDOS!$C$2:$C$68,0)),"")</f>
        <v>RUTA 6C</v>
      </c>
      <c r="AE228" s="33" cm="1">
        <f t="array" ref="AE228">ROUND(MIN(6371*ACOS(COS(RADIANS(Y228))*COS(RADIANS(PARADEROS_VALIDOS!$E$2:$E$68))*COS(RADIANS(PARADEROS_VALIDOS!$F$2:$F$68)-RADIANS(Z228))+SIN(RADIANS(Y228))*SIN(RADIANS(PARADEROS_VALIDOS!$E$2:$E$68)))),2)</f>
        <v>0.39</v>
      </c>
      <c r="AF228" s="2" t="str">
        <f t="shared" si="15"/>
        <v>🟢 Muy Cerca (0-1 km)</v>
      </c>
      <c r="AG228" s="2"/>
      <c r="AH228" s="2"/>
      <c r="AI228" s="51">
        <v>-11.997563</v>
      </c>
      <c r="AJ228" s="51">
        <v>-76.900062000000005</v>
      </c>
      <c r="AK228" s="2" t="str">
        <f>IFERROR(VLOOKUP(H228,tdcargo[],2,FALSE),"DESCONOCIDO")</f>
        <v>OPERARIO</v>
      </c>
    </row>
    <row r="229" spans="1:37" x14ac:dyDescent="0.35">
      <c r="A229" s="2" t="s">
        <v>4202</v>
      </c>
      <c r="B229" s="2" t="s">
        <v>4203</v>
      </c>
      <c r="C229" s="2" t="s">
        <v>363</v>
      </c>
      <c r="D229" s="2" t="s">
        <v>242</v>
      </c>
      <c r="E229" s="2">
        <v>50</v>
      </c>
      <c r="F229" s="2" t="s">
        <v>3255</v>
      </c>
      <c r="G229" s="2">
        <v>20508057</v>
      </c>
      <c r="H229" s="2" t="s">
        <v>1971</v>
      </c>
      <c r="I229" s="3">
        <v>42754</v>
      </c>
      <c r="J229" s="2" t="s">
        <v>31</v>
      </c>
      <c r="K229" s="3" t="s">
        <v>1968</v>
      </c>
      <c r="L229" s="2" t="s">
        <v>3299</v>
      </c>
      <c r="M229" s="2" t="s">
        <v>3300</v>
      </c>
      <c r="N229" s="2" t="s">
        <v>36</v>
      </c>
      <c r="O229" s="2" t="s">
        <v>4204</v>
      </c>
      <c r="P229" s="2" t="s">
        <v>88</v>
      </c>
      <c r="Q229" s="2" t="s">
        <v>4204</v>
      </c>
      <c r="R229" s="2" t="s">
        <v>3291</v>
      </c>
      <c r="S229" s="2" t="s">
        <v>37</v>
      </c>
      <c r="T229" s="2" t="s">
        <v>37</v>
      </c>
      <c r="U229" s="2" t="s">
        <v>57</v>
      </c>
      <c r="V229" s="3">
        <v>42754</v>
      </c>
      <c r="W229" s="2" t="s">
        <v>48</v>
      </c>
      <c r="X229" s="2" t="str">
        <f t="shared" si="12"/>
        <v>Ucv 156, A.H. Asentamiento Humano Ucv 156, Ate, Lima, Lima, Perú</v>
      </c>
      <c r="Y229" s="22">
        <v>-12.010109</v>
      </c>
      <c r="Z229" s="22">
        <v>-76.827872200000002</v>
      </c>
      <c r="AA229" s="33">
        <f t="shared" si="13"/>
        <v>7.97</v>
      </c>
      <c r="AB229" s="2" t="str">
        <f t="shared" si="14"/>
        <v>🟡 Cerca (5-10 km)</v>
      </c>
      <c r="AC229" s="2" t="str" cm="1">
        <f t="array" ref="AC229">INDEX(PARADEROS_VALIDOS!$C$2:$C$68,MATCH(MIN(6371*ACOS(COS(RADIANS(Y229))*COS(RADIANS(PARADEROS_VALIDOS!$E$2:$E$68))*COS(RADIANS(PARADEROS_VALIDOS!$F$2:$F$68)-RADIANS(Z229))+SIN(RADIANS(Y229))*SIN(RADIANS(PARADEROS_VALIDOS!$E$2:$E$68)))),6371*ACOS(COS(RADIANS(Y229))*COS(RADIANS(PARADEROS_VALIDOS!$E$2:$E$68))*COS(RADIANS(PARADEROS_VALIDOS!$F$2:$F$68)-RADIANS(Z229))+SIN(RADIANS(Y229))*SIN(RADIANS(PARADEROS_VALIDOS!$E$2:$E$68))),0))</f>
        <v>Entrada Horacio</v>
      </c>
      <c r="AD229" s="2" t="str">
        <f>IFERROR(INDEX(PARADEROS_VALIDOS!$A$2:$A$68,MATCH(AC229,PARADEROS_VALIDOS!$C$2:$C$68,0)),"")</f>
        <v>RUTA 5B</v>
      </c>
      <c r="AE229" s="33" cm="1">
        <f t="array" ref="AE229">ROUND(MIN(6371*ACOS(COS(RADIANS(Y229))*COS(RADIANS(PARADEROS_VALIDOS!$E$2:$E$68))*COS(RADIANS(PARADEROS_VALIDOS!$F$2:$F$68)-RADIANS(Z229))+SIN(RADIANS(Y229))*SIN(RADIANS(PARADEROS_VALIDOS!$E$2:$E$68)))),2)</f>
        <v>1.55</v>
      </c>
      <c r="AF229" s="2" t="str">
        <f t="shared" si="15"/>
        <v>🟡 Cerca (1-3 km)</v>
      </c>
      <c r="AG229" s="2"/>
      <c r="AH229" s="2"/>
      <c r="AI229" s="51">
        <v>-11.997563</v>
      </c>
      <c r="AJ229" s="51">
        <v>-76.900062000000005</v>
      </c>
      <c r="AK229" s="2" t="str">
        <f>IFERROR(VLOOKUP(H229,tdcargo[],2,FALSE),"DESCONOCIDO")</f>
        <v>OPERARIO</v>
      </c>
    </row>
    <row r="230" spans="1:37" x14ac:dyDescent="0.35">
      <c r="A230" s="2" t="s">
        <v>4205</v>
      </c>
      <c r="B230" s="2" t="s">
        <v>4206</v>
      </c>
      <c r="C230" s="2" t="s">
        <v>4207</v>
      </c>
      <c r="D230" s="2" t="s">
        <v>192</v>
      </c>
      <c r="E230" s="2">
        <v>30</v>
      </c>
      <c r="F230" s="2" t="s">
        <v>3255</v>
      </c>
      <c r="G230" s="2">
        <v>20508084</v>
      </c>
      <c r="H230" s="2" t="s">
        <v>1971</v>
      </c>
      <c r="I230" s="3">
        <v>45117</v>
      </c>
      <c r="J230" s="2" t="s">
        <v>31</v>
      </c>
      <c r="K230" s="3" t="s">
        <v>1968</v>
      </c>
      <c r="L230" s="2" t="s">
        <v>3299</v>
      </c>
      <c r="M230" s="2" t="s">
        <v>3300</v>
      </c>
      <c r="N230" s="2" t="s">
        <v>34</v>
      </c>
      <c r="O230" s="2" t="s">
        <v>196</v>
      </c>
      <c r="P230" s="2" t="s">
        <v>36</v>
      </c>
      <c r="Q230" s="2" t="s">
        <v>4208</v>
      </c>
      <c r="R230" s="2" t="s">
        <v>3291</v>
      </c>
      <c r="S230" s="2" t="s">
        <v>37</v>
      </c>
      <c r="T230" s="2" t="s">
        <v>37</v>
      </c>
      <c r="U230" s="2" t="s">
        <v>57</v>
      </c>
      <c r="V230" s="3">
        <v>45117</v>
      </c>
      <c r="W230" s="2" t="s">
        <v>48</v>
      </c>
      <c r="X230" s="2" t="str">
        <f t="shared" si="12"/>
        <v>Avenida San Antonio Saracoto, Ate, Lima, Lima, Perú</v>
      </c>
      <c r="Y230" s="22">
        <v>-12.039412199999999</v>
      </c>
      <c r="Z230" s="22">
        <v>-76.900890599999997</v>
      </c>
      <c r="AA230" s="33">
        <f t="shared" si="13"/>
        <v>4.6500000000000004</v>
      </c>
      <c r="AB230" s="2" t="str">
        <f t="shared" si="14"/>
        <v>🟢 Muy Cerca (0-5 km)</v>
      </c>
      <c r="AC230" s="2" t="str" cm="1">
        <f t="array" ref="AC230">INDEX(PARADEROS_VALIDOS!$C$2:$C$68,MATCH(MIN(6371*ACOS(COS(RADIANS(Y230))*COS(RADIANS(PARADEROS_VALIDOS!$E$2:$E$68))*COS(RADIANS(PARADEROS_VALIDOS!$F$2:$F$68)-RADIANS(Z230))+SIN(RADIANS(Y230))*SIN(RADIANS(PARADEROS_VALIDOS!$E$2:$E$68)))),6371*ACOS(COS(RADIANS(Y230))*COS(RADIANS(PARADEROS_VALIDOS!$E$2:$E$68))*COS(RADIANS(PARADEROS_VALIDOS!$F$2:$F$68)-RADIANS(Z230))+SIN(RADIANS(Y230))*SIN(RADIANS(PARADEROS_VALIDOS!$E$2:$E$68))),0))</f>
        <v>Paradero Esperanza</v>
      </c>
      <c r="AD230" s="2" t="str">
        <f>IFERROR(INDEX(PARADEROS_VALIDOS!$A$2:$A$68,MATCH(AC230,PARADEROS_VALIDOS!$C$2:$C$68,0)),"")</f>
        <v>RUTA 4B</v>
      </c>
      <c r="AE230" s="33" cm="1">
        <f t="array" ref="AE230">ROUND(MIN(6371*ACOS(COS(RADIANS(Y230))*COS(RADIANS(PARADEROS_VALIDOS!$E$2:$E$68))*COS(RADIANS(PARADEROS_VALIDOS!$F$2:$F$68)-RADIANS(Z230))+SIN(RADIANS(Y230))*SIN(RADIANS(PARADEROS_VALIDOS!$E$2:$E$68)))),2)</f>
        <v>2.0699999999999998</v>
      </c>
      <c r="AF230" s="2" t="str">
        <f t="shared" si="15"/>
        <v>🟡 Cerca (1-3 km)</v>
      </c>
      <c r="AG230" s="2"/>
      <c r="AH230" s="2"/>
      <c r="AI230" s="51">
        <v>-11.997563</v>
      </c>
      <c r="AJ230" s="51">
        <v>-76.900062000000005</v>
      </c>
      <c r="AK230" s="2" t="str">
        <f>IFERROR(VLOOKUP(H230,tdcargo[],2,FALSE),"DESCONOCIDO")</f>
        <v>OPERARIO</v>
      </c>
    </row>
    <row r="231" spans="1:37" x14ac:dyDescent="0.35">
      <c r="A231" s="2" t="s">
        <v>4209</v>
      </c>
      <c r="B231" s="2" t="s">
        <v>1604</v>
      </c>
      <c r="C231" s="2" t="s">
        <v>4210</v>
      </c>
      <c r="D231" s="2" t="s">
        <v>4211</v>
      </c>
      <c r="E231" s="2">
        <v>46</v>
      </c>
      <c r="F231" s="2" t="s">
        <v>3255</v>
      </c>
      <c r="G231" s="2">
        <v>20508129</v>
      </c>
      <c r="H231" s="2" t="s">
        <v>3747</v>
      </c>
      <c r="I231" s="3">
        <v>45320</v>
      </c>
      <c r="J231" s="2" t="s">
        <v>31</v>
      </c>
      <c r="K231" s="3" t="s">
        <v>1968</v>
      </c>
      <c r="L231" s="2" t="s">
        <v>3413</v>
      </c>
      <c r="M231" s="2" t="s">
        <v>3305</v>
      </c>
      <c r="N231" s="2" t="s">
        <v>82</v>
      </c>
      <c r="O231" s="2" t="s">
        <v>4212</v>
      </c>
      <c r="P231" s="2" t="s">
        <v>36</v>
      </c>
      <c r="Q231" s="2" t="s">
        <v>46</v>
      </c>
      <c r="R231" s="2" t="s">
        <v>3416</v>
      </c>
      <c r="S231" s="2" t="s">
        <v>37</v>
      </c>
      <c r="T231" s="2" t="s">
        <v>37</v>
      </c>
      <c r="U231" s="2" t="s">
        <v>37</v>
      </c>
      <c r="V231" s="3">
        <v>45320</v>
      </c>
      <c r="W231" s="2" t="s">
        <v>48</v>
      </c>
      <c r="X231" s="2" t="str">
        <f t="shared" si="12"/>
        <v>Calle Poblado Alto Trujillo Barrio, Lima, Lima, Lima, Perú</v>
      </c>
      <c r="Y231" s="22">
        <v>-12.0315409</v>
      </c>
      <c r="Z231" s="22">
        <v>-76.998538100000005</v>
      </c>
      <c r="AA231" s="33">
        <f t="shared" si="13"/>
        <v>11.36</v>
      </c>
      <c r="AB231" s="2" t="str">
        <f t="shared" si="14"/>
        <v>🟠 Moderada (10-20 km)</v>
      </c>
      <c r="AC231" s="2" t="str" cm="1">
        <f t="array" ref="AC231">INDEX(PARADEROS_VALIDOS!$C$2:$C$68,MATCH(MIN(6371*ACOS(COS(RADIANS(Y231))*COS(RADIANS(PARADEROS_VALIDOS!$E$2:$E$68))*COS(RADIANS(PARADEROS_VALIDOS!$F$2:$F$68)-RADIANS(Z231))+SIN(RADIANS(Y231))*SIN(RADIANS(PARADEROS_VALIDOS!$E$2:$E$68)))),6371*ACOS(COS(RADIANS(Y231))*COS(RADIANS(PARADEROS_VALIDOS!$E$2:$E$68))*COS(RADIANS(PARADEROS_VALIDOS!$F$2:$F$68)-RADIANS(Z231))+SIN(RADIANS(Y231))*SIN(RADIANS(PARADEROS_VALIDOS!$E$2:$E$68))),0))</f>
        <v>Puente Nuevo (Av. Chinchaysuyo &amp; Av. Malecón Checa)</v>
      </c>
      <c r="AD231" s="2" t="str">
        <f>IFERROR(INDEX(PARADEROS_VALIDOS!$A$2:$A$68,MATCH(AC231,PARADEROS_VALIDOS!$C$2:$C$68,0)),"")</f>
        <v>RUTA 6C</v>
      </c>
      <c r="AE231" s="33" cm="1">
        <f t="array" ref="AE231">ROUND(MIN(6371*ACOS(COS(RADIANS(Y231))*COS(RADIANS(PARADEROS_VALIDOS!$E$2:$E$68))*COS(RADIANS(PARADEROS_VALIDOS!$F$2:$F$68)-RADIANS(Z231))+SIN(RADIANS(Y231))*SIN(RADIANS(PARADEROS_VALIDOS!$E$2:$E$68)))),2)</f>
        <v>0.62</v>
      </c>
      <c r="AF231" s="2" t="str">
        <f t="shared" si="15"/>
        <v>🟢 Muy Cerca (0-1 km)</v>
      </c>
      <c r="AG231" s="2"/>
      <c r="AH231" s="2"/>
      <c r="AI231" s="51">
        <v>-11.997563</v>
      </c>
      <c r="AJ231" s="51">
        <v>-76.900062000000005</v>
      </c>
      <c r="AK231" s="2" t="str">
        <f>IFERROR(VLOOKUP(H231,tdcargo[],2,FALSE),"DESCONOCIDO")</f>
        <v>OPERARIO</v>
      </c>
    </row>
    <row r="232" spans="1:37" x14ac:dyDescent="0.35">
      <c r="A232" s="2" t="s">
        <v>4213</v>
      </c>
      <c r="B232" s="2" t="s">
        <v>4214</v>
      </c>
      <c r="C232" s="2" t="s">
        <v>1211</v>
      </c>
      <c r="D232" s="2" t="s">
        <v>4215</v>
      </c>
      <c r="E232" s="2">
        <v>38</v>
      </c>
      <c r="F232" s="2" t="s">
        <v>3255</v>
      </c>
      <c r="G232" s="2">
        <v>20515056</v>
      </c>
      <c r="H232" s="2" t="s">
        <v>1971</v>
      </c>
      <c r="I232" s="3">
        <v>45964</v>
      </c>
      <c r="J232" s="2" t="s">
        <v>31</v>
      </c>
      <c r="K232" s="3" t="s">
        <v>1968</v>
      </c>
      <c r="L232" s="2" t="s">
        <v>3271</v>
      </c>
      <c r="M232" s="2" t="s">
        <v>3272</v>
      </c>
      <c r="N232" s="2" t="s">
        <v>82</v>
      </c>
      <c r="O232" s="2" t="s">
        <v>4216</v>
      </c>
      <c r="P232" s="2" t="s">
        <v>36</v>
      </c>
      <c r="Q232" s="2" t="s">
        <v>4216</v>
      </c>
      <c r="R232" s="2" t="s">
        <v>3291</v>
      </c>
      <c r="S232" s="2" t="s">
        <v>37</v>
      </c>
      <c r="T232" s="2" t="s">
        <v>37</v>
      </c>
      <c r="U232" s="2" t="s">
        <v>57</v>
      </c>
      <c r="V232" s="3">
        <v>45964</v>
      </c>
      <c r="W232" s="2" t="s">
        <v>39</v>
      </c>
      <c r="X232" s="2" t="str">
        <f t="shared" si="12"/>
        <v>Calle 5 Zona 5 Zona, Ate, Lima, Lima, Perú</v>
      </c>
      <c r="Y232" s="22">
        <v>-12.1887813</v>
      </c>
      <c r="Z232" s="22">
        <v>-76.9441451</v>
      </c>
      <c r="AA232" s="33">
        <f t="shared" si="13"/>
        <v>21.8</v>
      </c>
      <c r="AB232" s="2" t="str">
        <f t="shared" si="14"/>
        <v>🔴 Lejos (&gt;20 km)</v>
      </c>
      <c r="AC232" s="2" t="str" cm="1">
        <f t="array" ref="AC232">INDEX(PARADEROS_VALIDOS!$C$2:$C$68,MATCH(MIN(6371*ACOS(COS(RADIANS(Y232))*COS(RADIANS(PARADEROS_VALIDOS!$E$2:$E$68))*COS(RADIANS(PARADEROS_VALIDOS!$F$2:$F$68)-RADIANS(Z232))+SIN(RADIANS(Y232))*SIN(RADIANS(PARADEROS_VALIDOS!$E$2:$E$68)))),6371*ACOS(COS(RADIANS(Y232))*COS(RADIANS(PARADEROS_VALIDOS!$E$2:$E$68))*COS(RADIANS(PARADEROS_VALIDOS!$F$2:$F$68)-RADIANS(Z232))+SIN(RADIANS(Y232))*SIN(RADIANS(PARADEROS_VALIDOS!$E$2:$E$68))),0))</f>
        <v>Villa El Salvador (Cruce Av. 1ro de Mayo con ruta C)</v>
      </c>
      <c r="AD232" s="2" t="str">
        <f>IFERROR(INDEX(PARADEROS_VALIDOS!$A$2:$A$68,MATCH(AC232,PARADEROS_VALIDOS!$C$2:$C$68,0)),"")</f>
        <v>RUTA 7</v>
      </c>
      <c r="AE232" s="33" cm="1">
        <f t="array" ref="AE232">ROUND(MIN(6371*ACOS(COS(RADIANS(Y232))*COS(RADIANS(PARADEROS_VALIDOS!$E$2:$E$68))*COS(RADIANS(PARADEROS_VALIDOS!$F$2:$F$68)-RADIANS(Z232))+SIN(RADIANS(Y232))*SIN(RADIANS(PARADEROS_VALIDOS!$E$2:$E$68)))),2)</f>
        <v>1.79</v>
      </c>
      <c r="AF232" s="2" t="str">
        <f t="shared" si="15"/>
        <v>🟡 Cerca (1-3 km)</v>
      </c>
      <c r="AG232" s="2"/>
      <c r="AH232" s="2"/>
      <c r="AI232" s="51">
        <v>-11.997563</v>
      </c>
      <c r="AJ232" s="51">
        <v>-76.900062000000005</v>
      </c>
      <c r="AK232" s="2" t="str">
        <f>IFERROR(VLOOKUP(H232,tdcargo[],2,FALSE),"DESCONOCIDO")</f>
        <v>OPERARIO</v>
      </c>
    </row>
    <row r="233" spans="1:37" x14ac:dyDescent="0.35">
      <c r="A233" s="2" t="s">
        <v>4217</v>
      </c>
      <c r="B233" s="2" t="s">
        <v>4218</v>
      </c>
      <c r="C233" s="2" t="s">
        <v>4219</v>
      </c>
      <c r="D233" s="2" t="s">
        <v>4220</v>
      </c>
      <c r="E233" s="2">
        <v>33</v>
      </c>
      <c r="F233" s="2" t="s">
        <v>3255</v>
      </c>
      <c r="G233" s="2">
        <v>20507980</v>
      </c>
      <c r="H233" s="2" t="s">
        <v>1971</v>
      </c>
      <c r="I233" s="3">
        <v>45138</v>
      </c>
      <c r="J233" s="2" t="s">
        <v>31</v>
      </c>
      <c r="K233" s="3" t="s">
        <v>1968</v>
      </c>
      <c r="L233" s="2" t="s">
        <v>3373</v>
      </c>
      <c r="M233" s="2" t="s">
        <v>3374</v>
      </c>
      <c r="N233" s="2" t="s">
        <v>34</v>
      </c>
      <c r="O233" s="2" t="s">
        <v>1017</v>
      </c>
      <c r="P233" s="2" t="s">
        <v>36</v>
      </c>
      <c r="Q233" s="2" t="s">
        <v>1803</v>
      </c>
      <c r="R233" s="2" t="s">
        <v>3274</v>
      </c>
      <c r="S233" s="2" t="s">
        <v>37</v>
      </c>
      <c r="T233" s="2" t="s">
        <v>37</v>
      </c>
      <c r="U233" s="2" t="s">
        <v>76</v>
      </c>
      <c r="V233" s="3">
        <v>45138</v>
      </c>
      <c r="W233" s="2" t="s">
        <v>48</v>
      </c>
      <c r="X233" s="2" t="str">
        <f t="shared" si="12"/>
        <v>Avenida Cajamarquilla Chambala, Lurigancho, Lima, Lima, Perú</v>
      </c>
      <c r="Y233" s="22">
        <v>-11.9979636</v>
      </c>
      <c r="Z233" s="22">
        <v>-76.907537099999999</v>
      </c>
      <c r="AA233" s="33">
        <f t="shared" si="13"/>
        <v>0.81</v>
      </c>
      <c r="AB233" s="2" t="str">
        <f t="shared" si="14"/>
        <v>🟢 Muy Cerca (0-5 km)</v>
      </c>
      <c r="AC233" s="2" t="str" cm="1">
        <f t="array" ref="AC233">INDEX(PARADEROS_VALIDOS!$C$2:$C$68,MATCH(MIN(6371*ACOS(COS(RADIANS(Y233))*COS(RADIANS(PARADEROS_VALIDOS!$E$2:$E$68))*COS(RADIANS(PARADEROS_VALIDOS!$F$2:$F$68)-RADIANS(Z233))+SIN(RADIANS(Y233))*SIN(RADIANS(PARADEROS_VALIDOS!$E$2:$E$68)))),6371*ACOS(COS(RADIANS(Y233))*COS(RADIANS(PARADEROS_VALIDOS!$E$2:$E$68))*COS(RADIANS(PARADEROS_VALIDOS!$F$2:$F$68)-RADIANS(Z233))+SIN(RADIANS(Y233))*SIN(RADIANS(PARADEROS_VALIDOS!$E$2:$E$68))),0))</f>
        <v>Paradero Arco San Antonio</v>
      </c>
      <c r="AD233" s="2" t="str">
        <f>IFERROR(INDEX(PARADEROS_VALIDOS!$A$2:$A$68,MATCH(AC233,PARADEROS_VALIDOS!$C$2:$C$68,0)),"")</f>
        <v>RUTA 2</v>
      </c>
      <c r="AE233" s="33" cm="1">
        <f t="array" ref="AE233">ROUND(MIN(6371*ACOS(COS(RADIANS(Y233))*COS(RADIANS(PARADEROS_VALIDOS!$E$2:$E$68))*COS(RADIANS(PARADEROS_VALIDOS!$F$2:$F$68)-RADIANS(Z233))+SIN(RADIANS(Y233))*SIN(RADIANS(PARADEROS_VALIDOS!$E$2:$E$68)))),2)</f>
        <v>0.69</v>
      </c>
      <c r="AF233" s="2" t="str">
        <f t="shared" si="15"/>
        <v>🟢 Muy Cerca (0-1 km)</v>
      </c>
      <c r="AG233" s="2"/>
      <c r="AH233" s="2"/>
      <c r="AI233" s="51">
        <v>-11.997563</v>
      </c>
      <c r="AJ233" s="51">
        <v>-76.900062000000005</v>
      </c>
      <c r="AK233" s="2" t="str">
        <f>IFERROR(VLOOKUP(H233,tdcargo[],2,FALSE),"DESCONOCIDO")</f>
        <v>OPERARIO</v>
      </c>
    </row>
    <row r="234" spans="1:37" x14ac:dyDescent="0.35">
      <c r="A234" s="2" t="s">
        <v>4221</v>
      </c>
      <c r="B234" s="2" t="s">
        <v>4222</v>
      </c>
      <c r="C234" s="2" t="s">
        <v>4223</v>
      </c>
      <c r="D234" s="2" t="s">
        <v>4224</v>
      </c>
      <c r="E234" s="2">
        <v>44</v>
      </c>
      <c r="F234" s="2" t="s">
        <v>3255</v>
      </c>
      <c r="G234" s="2">
        <v>20508120</v>
      </c>
      <c r="H234" s="2" t="s">
        <v>2001</v>
      </c>
      <c r="I234" s="3">
        <v>42628</v>
      </c>
      <c r="J234" s="2" t="s">
        <v>31</v>
      </c>
      <c r="K234" s="3" t="s">
        <v>1968</v>
      </c>
      <c r="L234" s="2" t="s">
        <v>3271</v>
      </c>
      <c r="M234" s="2" t="s">
        <v>3272</v>
      </c>
      <c r="N234" s="2" t="s">
        <v>82</v>
      </c>
      <c r="O234" s="2" t="s">
        <v>4225</v>
      </c>
      <c r="P234" s="2" t="s">
        <v>88</v>
      </c>
      <c r="Q234" s="2" t="s">
        <v>117</v>
      </c>
      <c r="R234" s="2" t="s">
        <v>3282</v>
      </c>
      <c r="S234" s="2" t="s">
        <v>37</v>
      </c>
      <c r="T234" s="2" t="s">
        <v>37</v>
      </c>
      <c r="U234" s="2" t="s">
        <v>118</v>
      </c>
      <c r="V234" s="3">
        <v>42628</v>
      </c>
      <c r="W234" s="2" t="s">
        <v>48</v>
      </c>
      <c r="X234" s="2" t="str">
        <f t="shared" si="12"/>
        <v>Calle Loas Amancaes, A.H. Asentamiento Humano Virgen De Fatima De Moron, Chaclacayo, Lima, Lima, Perú</v>
      </c>
      <c r="Y234" s="22">
        <v>-11.9778488</v>
      </c>
      <c r="Z234" s="22">
        <v>-76.782338199999998</v>
      </c>
      <c r="AA234" s="33">
        <f t="shared" si="13"/>
        <v>12.99</v>
      </c>
      <c r="AB234" s="2" t="str">
        <f t="shared" si="14"/>
        <v>🟠 Moderada (10-20 km)</v>
      </c>
      <c r="AC234" s="2" t="str" cm="1">
        <f t="array" ref="AC234">INDEX(PARADEROS_VALIDOS!$C$2:$C$68,MATCH(MIN(6371*ACOS(COS(RADIANS(Y234))*COS(RADIANS(PARADEROS_VALIDOS!$E$2:$E$68))*COS(RADIANS(PARADEROS_VALIDOS!$F$2:$F$68)-RADIANS(Z234))+SIN(RADIANS(Y234))*SIN(RADIANS(PARADEROS_VALIDOS!$E$2:$E$68)))),6371*ACOS(COS(RADIANS(Y234))*COS(RADIANS(PARADEROS_VALIDOS!$E$2:$E$68))*COS(RADIANS(PARADEROS_VALIDOS!$F$2:$F$68)-RADIANS(Z234))+SIN(RADIANS(Y234))*SIN(RADIANS(PARADEROS_VALIDOS!$E$2:$E$68))),0))</f>
        <v>Mercado Ramiro Prialé</v>
      </c>
      <c r="AD234" s="2" t="str">
        <f>IFERROR(INDEX(PARADEROS_VALIDOS!$A$2:$A$68,MATCH(AC234,PARADEROS_VALIDOS!$C$2:$C$68,0)),"")</f>
        <v>RUTA 5A</v>
      </c>
      <c r="AE234" s="33" cm="1">
        <f t="array" ref="AE234">ROUND(MIN(6371*ACOS(COS(RADIANS(Y234))*COS(RADIANS(PARADEROS_VALIDOS!$E$2:$E$68))*COS(RADIANS(PARADEROS_VALIDOS!$F$2:$F$68)-RADIANS(Z234))+SIN(RADIANS(Y234))*SIN(RADIANS(PARADEROS_VALIDOS!$E$2:$E$68)))),2)</f>
        <v>0.47</v>
      </c>
      <c r="AF234" s="2" t="str">
        <f t="shared" si="15"/>
        <v>🟢 Muy Cerca (0-1 km)</v>
      </c>
      <c r="AG234" s="2"/>
      <c r="AH234" s="2"/>
      <c r="AI234" s="51">
        <v>-11.997563</v>
      </c>
      <c r="AJ234" s="51">
        <v>-76.900062000000005</v>
      </c>
      <c r="AK234" s="2" t="str">
        <f>IFERROR(VLOOKUP(H234,tdcargo[],2,FALSE),"DESCONOCIDO")</f>
        <v>OPERARIO</v>
      </c>
    </row>
    <row r="235" spans="1:37" x14ac:dyDescent="0.35">
      <c r="A235" s="2" t="s">
        <v>4226</v>
      </c>
      <c r="B235" s="2" t="s">
        <v>4227</v>
      </c>
      <c r="C235" s="2" t="s">
        <v>377</v>
      </c>
      <c r="D235" s="2" t="s">
        <v>363</v>
      </c>
      <c r="E235" s="2">
        <v>41</v>
      </c>
      <c r="F235" s="2" t="s">
        <v>3255</v>
      </c>
      <c r="G235" s="2">
        <v>20511217</v>
      </c>
      <c r="H235" s="2" t="s">
        <v>1971</v>
      </c>
      <c r="I235" s="3">
        <v>45810</v>
      </c>
      <c r="J235" s="2" t="s">
        <v>31</v>
      </c>
      <c r="K235" s="3" t="s">
        <v>1968</v>
      </c>
      <c r="L235" s="2" t="s">
        <v>3256</v>
      </c>
      <c r="M235" s="2" t="s">
        <v>3257</v>
      </c>
      <c r="N235" s="2" t="s">
        <v>82</v>
      </c>
      <c r="O235" s="2" t="s">
        <v>2547</v>
      </c>
      <c r="P235" s="2" t="s">
        <v>36</v>
      </c>
      <c r="Q235" s="2" t="s">
        <v>4228</v>
      </c>
      <c r="R235" s="2" t="s">
        <v>3274</v>
      </c>
      <c r="S235" s="2" t="s">
        <v>37</v>
      </c>
      <c r="T235" s="2" t="s">
        <v>37</v>
      </c>
      <c r="U235" s="2" t="s">
        <v>76</v>
      </c>
      <c r="V235" s="3">
        <v>45810</v>
      </c>
      <c r="W235" s="2" t="s">
        <v>39</v>
      </c>
      <c r="X235" s="2" t="str">
        <f t="shared" si="12"/>
        <v>Calle Las Magnolias Asoc .La Florida, Lurigancho, Lima, Lima, Perú</v>
      </c>
      <c r="Y235" s="22">
        <v>-12.009696699999999</v>
      </c>
      <c r="Z235" s="22">
        <v>-76.905361299999996</v>
      </c>
      <c r="AA235" s="33">
        <f t="shared" si="13"/>
        <v>1.47</v>
      </c>
      <c r="AB235" s="2" t="str">
        <f t="shared" si="14"/>
        <v>🟢 Muy Cerca (0-5 km)</v>
      </c>
      <c r="AC235" s="2" t="str" cm="1">
        <f t="array" ref="AC235">INDEX(PARADEROS_VALIDOS!$C$2:$C$68,MATCH(MIN(6371*ACOS(COS(RADIANS(Y235))*COS(RADIANS(PARADEROS_VALIDOS!$E$2:$E$68))*COS(RADIANS(PARADEROS_VALIDOS!$F$2:$F$68)-RADIANS(Z235))+SIN(RADIANS(Y235))*SIN(RADIANS(PARADEROS_VALIDOS!$E$2:$E$68)))),6371*ACOS(COS(RADIANS(Y235))*COS(RADIANS(PARADEROS_VALIDOS!$E$2:$E$68))*COS(RADIANS(PARADEROS_VALIDOS!$F$2:$F$68)-RADIANS(Z235))+SIN(RADIANS(Y235))*SIN(RADIANS(PARADEROS_VALIDOS!$E$2:$E$68))),0))</f>
        <v>Tottus Huachipa</v>
      </c>
      <c r="AD235" s="2" t="str">
        <f>IFERROR(INDEX(PARADEROS_VALIDOS!$A$2:$A$68,MATCH(AC235,PARADEROS_VALIDOS!$C$2:$C$68,0)),"")</f>
        <v>RUTA 1</v>
      </c>
      <c r="AE235" s="33" cm="1">
        <f t="array" ref="AE235">ROUND(MIN(6371*ACOS(COS(RADIANS(Y235))*COS(RADIANS(PARADEROS_VALIDOS!$E$2:$E$68))*COS(RADIANS(PARADEROS_VALIDOS!$F$2:$F$68)-RADIANS(Z235))+SIN(RADIANS(Y235))*SIN(RADIANS(PARADEROS_VALIDOS!$E$2:$E$68)))),2)</f>
        <v>1.18</v>
      </c>
      <c r="AF235" s="2" t="str">
        <f t="shared" si="15"/>
        <v>🟡 Cerca (1-3 km)</v>
      </c>
      <c r="AG235" s="2"/>
      <c r="AH235" s="2"/>
      <c r="AI235" s="51">
        <v>-11.997563</v>
      </c>
      <c r="AJ235" s="51">
        <v>-76.900062000000005</v>
      </c>
      <c r="AK235" s="2" t="str">
        <f>IFERROR(VLOOKUP(H235,tdcargo[],2,FALSE),"DESCONOCIDO")</f>
        <v>OPERARIO</v>
      </c>
    </row>
    <row r="236" spans="1:37" x14ac:dyDescent="0.35">
      <c r="A236" s="2" t="s">
        <v>4229</v>
      </c>
      <c r="B236" s="2" t="s">
        <v>4230</v>
      </c>
      <c r="C236" s="2" t="s">
        <v>355</v>
      </c>
      <c r="D236" s="2" t="s">
        <v>1129</v>
      </c>
      <c r="E236" s="2">
        <v>33</v>
      </c>
      <c r="F236" s="2" t="s">
        <v>3255</v>
      </c>
      <c r="G236" s="2">
        <v>20511211</v>
      </c>
      <c r="H236" s="2" t="s">
        <v>1971</v>
      </c>
      <c r="I236" s="3">
        <v>45996</v>
      </c>
      <c r="J236" s="2" t="s">
        <v>31</v>
      </c>
      <c r="K236" s="3" t="s">
        <v>1968</v>
      </c>
      <c r="L236" s="2" t="s">
        <v>3256</v>
      </c>
      <c r="M236" s="2" t="s">
        <v>3257</v>
      </c>
      <c r="N236" s="2" t="s">
        <v>36</v>
      </c>
      <c r="O236" s="2" t="s">
        <v>705</v>
      </c>
      <c r="P236" s="2" t="s">
        <v>36</v>
      </c>
      <c r="Q236" s="2" t="s">
        <v>674</v>
      </c>
      <c r="R236" s="2" t="s">
        <v>3291</v>
      </c>
      <c r="S236" s="2" t="s">
        <v>37</v>
      </c>
      <c r="T236" s="2" t="s">
        <v>37</v>
      </c>
      <c r="U236" s="2" t="s">
        <v>57</v>
      </c>
      <c r="V236" s="3">
        <v>45996</v>
      </c>
      <c r="W236" s="2" t="s">
        <v>135</v>
      </c>
      <c r="X236" s="2" t="str">
        <f t="shared" si="12"/>
        <v>Huaycan Zona R, Ate, Lima, Lima, Perú</v>
      </c>
      <c r="Y236" s="22">
        <v>-12.033041000000001</v>
      </c>
      <c r="Z236" s="22">
        <v>-76.823802400000005</v>
      </c>
      <c r="AA236" s="33">
        <f t="shared" si="13"/>
        <v>9.18</v>
      </c>
      <c r="AB236" s="2" t="str">
        <f t="shared" si="14"/>
        <v>🟡 Cerca (5-10 km)</v>
      </c>
      <c r="AC236" s="2" t="str" cm="1">
        <f t="array" ref="AC236">INDEX(PARADEROS_VALIDOS!$C$2:$C$68,MATCH(MIN(6371*ACOS(COS(RADIANS(Y236))*COS(RADIANS(PARADEROS_VALIDOS!$E$2:$E$68))*COS(RADIANS(PARADEROS_VALIDOS!$F$2:$F$68)-RADIANS(Z236))+SIN(RADIANS(Y236))*SIN(RADIANS(PARADEROS_VALIDOS!$E$2:$E$68)))),6371*ACOS(COS(RADIANS(Y236))*COS(RADIANS(PARADEROS_VALIDOS!$E$2:$E$68))*COS(RADIANS(PARADEROS_VALIDOS!$F$2:$F$68)-RADIANS(Z236))+SIN(RADIANS(Y236))*SIN(RADIANS(PARADEROS_VALIDOS!$E$2:$E$68))),0))</f>
        <v>Paradero Aurora</v>
      </c>
      <c r="AD236" s="2" t="str">
        <f>IFERROR(INDEX(PARADEROS_VALIDOS!$A$2:$A$68,MATCH(AC236,PARADEROS_VALIDOS!$C$2:$C$68,0)),"")</f>
        <v>RUTA 3</v>
      </c>
      <c r="AE236" s="33" cm="1">
        <f t="array" ref="AE236">ROUND(MIN(6371*ACOS(COS(RADIANS(Y236))*COS(RADIANS(PARADEROS_VALIDOS!$E$2:$E$68))*COS(RADIANS(PARADEROS_VALIDOS!$F$2:$F$68)-RADIANS(Z236))+SIN(RADIANS(Y236))*SIN(RADIANS(PARADEROS_VALIDOS!$E$2:$E$68)))),2)</f>
        <v>0.81</v>
      </c>
      <c r="AF236" s="2" t="str">
        <f t="shared" si="15"/>
        <v>🟢 Muy Cerca (0-1 km)</v>
      </c>
      <c r="AG236" s="2"/>
      <c r="AH236" s="2"/>
      <c r="AI236" s="51">
        <v>-11.997563</v>
      </c>
      <c r="AJ236" s="51">
        <v>-76.900062000000005</v>
      </c>
      <c r="AK236" s="2" t="str">
        <f>IFERROR(VLOOKUP(H236,tdcargo[],2,FALSE),"DESCONOCIDO")</f>
        <v>OPERARIO</v>
      </c>
    </row>
  </sheetData>
  <conditionalFormatting sqref="A2:A236">
    <cfRule type="duplicateValues" dxfId="1" priority="3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DDD71-57E3-4126-96CE-9CD3DD2BAF9F}">
  <dimension ref="A1:AK386"/>
  <sheetViews>
    <sheetView zoomScale="115" zoomScaleNormal="115" workbookViewId="0">
      <selection activeCell="E1" sqref="E1"/>
    </sheetView>
  </sheetViews>
  <sheetFormatPr baseColWidth="10" defaultRowHeight="14.5" x14ac:dyDescent="0.35"/>
  <cols>
    <col min="1" max="1" width="9.7265625" bestFit="1" customWidth="1"/>
    <col min="2" max="2" width="17.1796875" bestFit="1" customWidth="1"/>
    <col min="3" max="3" width="14.1796875" bestFit="1" customWidth="1"/>
    <col min="4" max="4" width="15.26953125" bestFit="1" customWidth="1"/>
    <col min="5" max="5" width="8.08984375" bestFit="1" customWidth="1"/>
    <col min="6" max="6" width="17.54296875" bestFit="1" customWidth="1"/>
    <col min="7" max="7" width="17.90625" bestFit="1" customWidth="1"/>
    <col min="8" max="8" width="16.36328125" bestFit="1" customWidth="1"/>
    <col min="9" max="9" width="24.90625" bestFit="1" customWidth="1"/>
    <col min="10" max="10" width="15.08984375" bestFit="1" customWidth="1"/>
    <col min="11" max="11" width="17.08984375" bestFit="1" customWidth="1"/>
    <col min="12" max="12" width="18.81640625" bestFit="1" customWidth="1"/>
    <col min="13" max="13" width="17" bestFit="1" customWidth="1"/>
    <col min="14" max="14" width="11.54296875" bestFit="1" customWidth="1"/>
    <col min="15" max="15" width="32.81640625" bestFit="1" customWidth="1"/>
    <col min="16" max="16" width="17" bestFit="1" customWidth="1"/>
    <col min="17" max="17" width="25.7265625" bestFit="1" customWidth="1"/>
    <col min="18" max="18" width="13.1796875" bestFit="1" customWidth="1"/>
    <col min="19" max="19" width="13.7265625" bestFit="1" customWidth="1"/>
    <col min="20" max="20" width="10.7265625" bestFit="1" customWidth="1"/>
    <col min="21" max="21" width="14.36328125" bestFit="1" customWidth="1"/>
    <col min="22" max="22" width="15.1796875" bestFit="1" customWidth="1"/>
    <col min="23" max="23" width="19.453125" bestFit="1" customWidth="1"/>
    <col min="24" max="24" width="63.6328125" customWidth="1"/>
    <col min="25" max="26" width="18.1796875" customWidth="1"/>
    <col min="27" max="27" width="15.453125" customWidth="1"/>
    <col min="28" max="28" width="27.26953125" customWidth="1"/>
    <col min="29" max="29" width="36.36328125" customWidth="1"/>
    <col min="30" max="30" width="16.36328125" customWidth="1"/>
    <col min="31" max="31" width="20" customWidth="1"/>
    <col min="32" max="32" width="27.26953125" customWidth="1"/>
    <col min="33" max="33" width="18.1796875" customWidth="1"/>
    <col min="34" max="34" width="23.6328125" customWidth="1"/>
  </cols>
  <sheetData>
    <row r="1" spans="1:37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21" t="s">
        <v>4231</v>
      </c>
      <c r="Y1" s="21" t="s">
        <v>4232</v>
      </c>
      <c r="Z1" s="21" t="s">
        <v>4233</v>
      </c>
      <c r="AA1" s="21" t="s">
        <v>4355</v>
      </c>
      <c r="AB1" s="21" t="s">
        <v>4356</v>
      </c>
      <c r="AC1" s="21" t="s">
        <v>4357</v>
      </c>
      <c r="AD1" s="21" t="s">
        <v>4358</v>
      </c>
      <c r="AE1" s="21" t="s">
        <v>4359</v>
      </c>
      <c r="AF1" s="21" t="s">
        <v>4360</v>
      </c>
      <c r="AG1" s="21" t="s">
        <v>4451</v>
      </c>
      <c r="AH1" s="21" t="s">
        <v>4457</v>
      </c>
      <c r="AI1" s="21" t="s">
        <v>4469</v>
      </c>
      <c r="AJ1" s="21" t="s">
        <v>4470</v>
      </c>
      <c r="AK1" s="1" t="s">
        <v>4537</v>
      </c>
    </row>
    <row r="2" spans="1:37" x14ac:dyDescent="0.35">
      <c r="A2" s="2" t="s">
        <v>24</v>
      </c>
      <c r="B2" s="2" t="s">
        <v>25</v>
      </c>
      <c r="C2" s="2" t="s">
        <v>26</v>
      </c>
      <c r="D2" s="2" t="s">
        <v>27</v>
      </c>
      <c r="E2" s="2">
        <v>28</v>
      </c>
      <c r="F2" s="2" t="s">
        <v>28</v>
      </c>
      <c r="G2" s="2" t="s">
        <v>29</v>
      </c>
      <c r="H2" s="2">
        <v>20513833</v>
      </c>
      <c r="I2" s="2" t="s">
        <v>30</v>
      </c>
      <c r="J2" s="3">
        <v>45856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>
        <v>1456</v>
      </c>
      <c r="R2" s="2">
        <v>15401</v>
      </c>
      <c r="S2" s="2" t="s">
        <v>37</v>
      </c>
      <c r="T2" s="2" t="s">
        <v>37</v>
      </c>
      <c r="U2" s="2" t="s">
        <v>38</v>
      </c>
      <c r="V2" s="3">
        <v>45856</v>
      </c>
      <c r="W2" s="2" t="s">
        <v>39</v>
      </c>
      <c r="X2" s="2" t="str">
        <f t="shared" ref="X2:X65" si="0">_xlfn.LET(_xlpm.parte1,TRIM(IF(OR(N2="Otros / No aplica",N2=""),"",N2&amp;" ")&amp;O2&amp;IF(AND(P2&lt;&gt;"",P2&lt;&gt;"Otros / No aplica"),", "&amp;P2,"")&amp;IF(AND(Q2&lt;&gt;"",Q2&lt;&gt;"Nd",Q2&lt;&gt;0,Q2&lt;&gt;"0")," "&amp;Q2,"")),_xlpm.parte2,U2&amp;", "&amp;T2&amp;", "&amp;S2&amp;", Perú",IF(LEFT(_xlpm.parte1,1)=",",TRIM(MID(_xlpm.parte1,2,255))&amp;", "&amp;_xlpm.parte2,IF(_xlpm.parte1="",_xlpm.parte2,_xlpm.parte1&amp;", "&amp;_xlpm.parte2)))</f>
        <v>Avenida Las Flores 21, Casuarinas De Martires 1456, San Juan De Lurigancho, Lima, Lima, Perú</v>
      </c>
      <c r="Y2" s="22">
        <v>-11.986062499999999</v>
      </c>
      <c r="Z2" s="22">
        <v>-77.018623300000002</v>
      </c>
      <c r="AA2" s="33">
        <f t="shared" ref="AA2:AA65" si="1">ROUND(6371*ACOS(COS(RADIANS(-11.997563))*COS(RADIANS(Y2))*COS(RADIANS(Z2)-RADIANS(-76.900062))+SIN(RADIANS(-11.997563))*SIN(RADIANS(Y2))),2)</f>
        <v>12.96</v>
      </c>
      <c r="AB2" s="2" t="str">
        <f t="shared" ref="AB2:AB65" si="2">IF(AA2&lt;=5,"🟢 Muy Cerca (0-5 km)",IF(AA2&lt;=10,"🟡 Cerca (5-10 km)",IF(AA2&lt;=20,"🟠 Moderada (10-20 km)","🔴 Lejos (&gt;20 km)")))</f>
        <v>🟠 Moderada (10-20 km)</v>
      </c>
      <c r="AC2" s="2" t="str" cm="1">
        <f t="array" ref="AC2">INDEX(PARADEROS_VALIDOS!$C$2:$C$68,MATCH(MIN(6371*ACOS(COS(RADIANS(Y2))*COS(RADIANS(PARADEROS_VALIDOS!$E$2:$E$68))*COS(RADIANS(PARADEROS_VALIDOS!$F$2:$F$68)-RADIANS(Z2))+SIN(RADIANS(Y2))*SIN(RADIANS(PARADEROS_VALIDOS!$E$2:$E$68)))),6371*ACOS(COS(RADIANS(Y2))*COS(RADIANS(PARADEROS_VALIDOS!$E$2:$E$68))*COS(RADIANS(PARADEROS_VALIDOS!$F$2:$F$68)-RADIANS(Z2))+SIN(RADIANS(Y2))*SIN(RADIANS(PARADEROS_VALIDOS!$E$2:$E$68))),0))</f>
        <v>Paradero San Carlos</v>
      </c>
      <c r="AD2" s="2" t="str">
        <f>IFERROR(INDEX(PARADEROS_VALIDOS!$A$2:$A$68,MATCH(AC2,PARADEROS_VALIDOS!$C$2:$C$68,0)),"")</f>
        <v>RUTA 6B</v>
      </c>
      <c r="AE2" s="33" cm="1">
        <f t="array" ref="AE2">ROUND(MIN(6371*ACOS(COS(RADIANS(Y2))*COS(RADIANS(PARADEROS_VALIDOS!$E$2:$E$68))*COS(RADIANS(PARADEROS_VALIDOS!$F$2:$F$68)-RADIANS(Z2))+SIN(RADIANS(Y2))*SIN(RADIANS(PARADEROS_VALIDOS!$E$2:$E$68)))),2)</f>
        <v>0.92</v>
      </c>
      <c r="AF2" s="2" t="str">
        <f t="shared" ref="AF2:AF65" si="3">IF(AE2&lt;=1,"🟢 Muy Cerca (0-1 km)",IF(AE2&lt;=3,"🟡 Cerca (1-3 km)",IF(AE2&lt;=5,"🟠 Moderada (3-5 km)","🔴 Lejos (&gt;5 km)")))</f>
        <v>🟢 Muy Cerca (0-1 km)</v>
      </c>
      <c r="AG2" s="2"/>
      <c r="AH2" s="2"/>
      <c r="AI2" s="51">
        <v>-11.997563</v>
      </c>
      <c r="AJ2" s="51">
        <v>-76.900062000000005</v>
      </c>
      <c r="AK2" s="2" t="str">
        <f>IFERROR(VLOOKUP(I2,tdcargo[],2,FALSE),"DESCONOCIDO")</f>
        <v>OPERARIO</v>
      </c>
    </row>
    <row r="3" spans="1:37" x14ac:dyDescent="0.35">
      <c r="A3" s="2" t="s">
        <v>40</v>
      </c>
      <c r="B3" s="2" t="s">
        <v>41</v>
      </c>
      <c r="C3" s="2" t="s">
        <v>42</v>
      </c>
      <c r="D3" s="2" t="s">
        <v>43</v>
      </c>
      <c r="E3" s="2">
        <v>43</v>
      </c>
      <c r="F3" s="2" t="s">
        <v>28</v>
      </c>
      <c r="G3" s="2" t="s">
        <v>29</v>
      </c>
      <c r="H3" s="2">
        <v>20508885</v>
      </c>
      <c r="I3" s="2" t="s">
        <v>44</v>
      </c>
      <c r="J3" s="3">
        <v>43157</v>
      </c>
      <c r="K3" s="2" t="s">
        <v>31</v>
      </c>
      <c r="L3" s="2" t="s">
        <v>32</v>
      </c>
      <c r="M3" s="2" t="s">
        <v>33</v>
      </c>
      <c r="N3" s="2" t="s">
        <v>36</v>
      </c>
      <c r="O3" s="2" t="s">
        <v>45</v>
      </c>
      <c r="P3" s="2" t="s">
        <v>36</v>
      </c>
      <c r="Q3" s="2" t="s">
        <v>46</v>
      </c>
      <c r="R3" s="2">
        <v>15113</v>
      </c>
      <c r="S3" s="2" t="s">
        <v>37</v>
      </c>
      <c r="T3" s="2" t="s">
        <v>37</v>
      </c>
      <c r="U3" s="2" t="s">
        <v>47</v>
      </c>
      <c r="V3" s="3">
        <v>43157</v>
      </c>
      <c r="W3" s="2" t="s">
        <v>48</v>
      </c>
      <c r="X3" s="2" t="str">
        <f t="shared" si="0"/>
        <v>Zapallal, Puente Piedra, Lima, Lima, Perú</v>
      </c>
      <c r="Y3" s="22">
        <v>-11.8436103</v>
      </c>
      <c r="Z3" s="22">
        <v>-77.098728699999995</v>
      </c>
      <c r="AA3" s="33">
        <f t="shared" si="1"/>
        <v>27.57</v>
      </c>
      <c r="AB3" s="2" t="str">
        <f t="shared" si="2"/>
        <v>🔴 Lejos (&gt;20 km)</v>
      </c>
      <c r="AC3" s="2" t="str" cm="1">
        <f t="array" ref="AC3">INDEX(PARADEROS_VALIDOS!$C$2:$C$68,MATCH(MIN(6371*ACOS(COS(RADIANS(Y3))*COS(RADIANS(PARADEROS_VALIDOS!$E$2:$E$68))*COS(RADIANS(PARADEROS_VALIDOS!$F$2:$F$68)-RADIANS(Z3))+SIN(RADIANS(Y3))*SIN(RADIANS(PARADEROS_VALIDOS!$E$2:$E$68)))),6371*ACOS(COS(RADIANS(Y3))*COS(RADIANS(PARADEROS_VALIDOS!$E$2:$E$68))*COS(RADIANS(PARADEROS_VALIDOS!$F$2:$F$68)-RADIANS(Z3))+SIN(RADIANS(Y3))*SIN(RADIANS(PARADEROS_VALIDOS!$E$2:$E$68))),0))</f>
        <v>Paradero Cesar Vallejo</v>
      </c>
      <c r="AD3" s="2" t="str">
        <f>IFERROR(INDEX(PARADEROS_VALIDOS!$A$2:$A$68,MATCH(AC3,PARADEROS_VALIDOS!$C$2:$C$68,0)),"")</f>
        <v>RUTA 4B</v>
      </c>
      <c r="AE3" s="33" cm="1">
        <f t="array" ref="AE3">ROUND(MIN(6371*ACOS(COS(RADIANS(Y3))*COS(RADIANS(PARADEROS_VALIDOS!$E$2:$E$68))*COS(RADIANS(PARADEROS_VALIDOS!$F$2:$F$68)-RADIANS(Z3))+SIN(RADIANS(Y3))*SIN(RADIANS(PARADEROS_VALIDOS!$E$2:$E$68)))),2)</f>
        <v>10.71</v>
      </c>
      <c r="AF3" s="2" t="str">
        <f t="shared" si="3"/>
        <v>🔴 Lejos (&gt;5 km)</v>
      </c>
      <c r="AG3" s="2"/>
      <c r="AH3" s="2"/>
      <c r="AI3" s="51">
        <v>-11.997563</v>
      </c>
      <c r="AJ3" s="51">
        <v>-76.900062000000005</v>
      </c>
      <c r="AK3" s="2" t="str">
        <f>IFERROR(VLOOKUP(I3,tdcargo[],2,FALSE),"DESCONOCIDO")</f>
        <v>OPERARIO</v>
      </c>
    </row>
    <row r="4" spans="1:37" x14ac:dyDescent="0.35">
      <c r="A4" s="2" t="s">
        <v>49</v>
      </c>
      <c r="B4" s="2" t="s">
        <v>50</v>
      </c>
      <c r="C4" s="2" t="s">
        <v>51</v>
      </c>
      <c r="D4" s="2" t="s">
        <v>52</v>
      </c>
      <c r="E4" s="2">
        <v>34</v>
      </c>
      <c r="F4" s="2" t="s">
        <v>28</v>
      </c>
      <c r="G4" s="2" t="s">
        <v>29</v>
      </c>
      <c r="H4" s="2">
        <v>20508937</v>
      </c>
      <c r="I4" s="2" t="s">
        <v>44</v>
      </c>
      <c r="J4" s="3">
        <v>43213</v>
      </c>
      <c r="K4" s="2" t="s">
        <v>31</v>
      </c>
      <c r="L4" s="2" t="s">
        <v>32</v>
      </c>
      <c r="M4" s="2" t="s">
        <v>33</v>
      </c>
      <c r="N4" s="2" t="s">
        <v>53</v>
      </c>
      <c r="O4" s="2" t="s">
        <v>54</v>
      </c>
      <c r="P4" s="2" t="s">
        <v>55</v>
      </c>
      <c r="Q4" s="2" t="s">
        <v>56</v>
      </c>
      <c r="R4" s="2">
        <v>15004</v>
      </c>
      <c r="S4" s="2" t="s">
        <v>37</v>
      </c>
      <c r="T4" s="2" t="s">
        <v>37</v>
      </c>
      <c r="U4" s="2" t="s">
        <v>57</v>
      </c>
      <c r="V4" s="3">
        <v>43213</v>
      </c>
      <c r="W4" s="2" t="s">
        <v>48</v>
      </c>
      <c r="X4" s="2" t="str">
        <f t="shared" si="0"/>
        <v>Jirón Simon Bolivar, Coo. Cooperativa Santa Elena Santa Clara|, Ate, Lima, Lima, Perú</v>
      </c>
      <c r="Y4" s="22">
        <v>-12.020550399999999</v>
      </c>
      <c r="Z4" s="22">
        <v>-76.884346699999995</v>
      </c>
      <c r="AA4" s="33">
        <f t="shared" si="1"/>
        <v>3.07</v>
      </c>
      <c r="AB4" s="2" t="str">
        <f t="shared" si="2"/>
        <v>🟢 Muy Cerca (0-5 km)</v>
      </c>
      <c r="AC4" s="2" t="str" cm="1">
        <f t="array" ref="AC4">INDEX(PARADEROS_VALIDOS!$C$2:$C$68,MATCH(MIN(6371*ACOS(COS(RADIANS(Y4))*COS(RADIANS(PARADEROS_VALIDOS!$E$2:$E$68))*COS(RADIANS(PARADEROS_VALIDOS!$F$2:$F$68)-RADIANS(Z4))+SIN(RADIANS(Y4))*SIN(RADIANS(PARADEROS_VALIDOS!$E$2:$E$68)))),6371*ACOS(COS(RADIANS(Y4))*COS(RADIANS(PARADEROS_VALIDOS!$E$2:$E$68))*COS(RADIANS(PARADEROS_VALIDOS!$F$2:$F$68)-RADIANS(Z4))+SIN(RADIANS(Y4))*SIN(RADIANS(PARADEROS_VALIDOS!$E$2:$E$68))),0))</f>
        <v>Paradero Sta. Clara</v>
      </c>
      <c r="AD4" s="2" t="str">
        <f>IFERROR(INDEX(PARADEROS_VALIDOS!$A$2:$A$68,MATCH(AC4,PARADEROS_VALIDOS!$C$2:$C$68,0)),"")</f>
        <v>RUTA 5C</v>
      </c>
      <c r="AE4" s="33" cm="1">
        <f t="array" ref="AE4">ROUND(MIN(6371*ACOS(COS(RADIANS(Y4))*COS(RADIANS(PARADEROS_VALIDOS!$E$2:$E$68))*COS(RADIANS(PARADEROS_VALIDOS!$F$2:$F$68)-RADIANS(Z4))+SIN(RADIANS(Y4))*SIN(RADIANS(PARADEROS_VALIDOS!$E$2:$E$68)))),2)</f>
        <v>0.65</v>
      </c>
      <c r="AF4" s="2" t="str">
        <f t="shared" si="3"/>
        <v>🟢 Muy Cerca (0-1 km)</v>
      </c>
      <c r="AG4" s="2"/>
      <c r="AH4" s="2"/>
      <c r="AI4" s="51">
        <v>-11.997563</v>
      </c>
      <c r="AJ4" s="51">
        <v>-76.900062000000005</v>
      </c>
      <c r="AK4" s="2" t="str">
        <f>IFERROR(VLOOKUP(I4,tdcargo[],2,FALSE),"DESCONOCIDO")</f>
        <v>OPERARIO</v>
      </c>
    </row>
    <row r="5" spans="1:37" x14ac:dyDescent="0.35">
      <c r="A5" s="2" t="s">
        <v>58</v>
      </c>
      <c r="B5" s="2" t="s">
        <v>59</v>
      </c>
      <c r="C5" s="2" t="s">
        <v>60</v>
      </c>
      <c r="D5" s="2" t="s">
        <v>61</v>
      </c>
      <c r="E5" s="2">
        <v>42</v>
      </c>
      <c r="F5" s="2" t="s">
        <v>28</v>
      </c>
      <c r="G5" s="2" t="s">
        <v>29</v>
      </c>
      <c r="H5" s="2">
        <v>20508989</v>
      </c>
      <c r="I5" s="2" t="s">
        <v>62</v>
      </c>
      <c r="J5" s="3">
        <v>43055</v>
      </c>
      <c r="K5" s="2" t="s">
        <v>31</v>
      </c>
      <c r="L5" s="2" t="s">
        <v>63</v>
      </c>
      <c r="M5" s="2" t="s">
        <v>64</v>
      </c>
      <c r="N5" s="2" t="s">
        <v>34</v>
      </c>
      <c r="O5" s="2" t="s">
        <v>65</v>
      </c>
      <c r="P5" s="2" t="s">
        <v>66</v>
      </c>
      <c r="Q5" s="2" t="s">
        <v>67</v>
      </c>
      <c r="R5" s="2">
        <v>15401</v>
      </c>
      <c r="S5" s="2" t="s">
        <v>37</v>
      </c>
      <c r="T5" s="2" t="s">
        <v>37</v>
      </c>
      <c r="U5" s="2" t="s">
        <v>38</v>
      </c>
      <c r="V5" s="3">
        <v>43055</v>
      </c>
      <c r="W5" s="2" t="s">
        <v>48</v>
      </c>
      <c r="X5" s="2" t="str">
        <f t="shared" si="0"/>
        <v>Avenida Tusilagos Este, U.V. Unidad Vecinal Inca Manco Capac, San Juan De Lurigancho, Lima, Lima, Perú</v>
      </c>
      <c r="Y5" s="22">
        <v>-12.011976199999999</v>
      </c>
      <c r="Z5" s="22">
        <v>-76.999577799999997</v>
      </c>
      <c r="AA5" s="33">
        <f t="shared" si="1"/>
        <v>10.94</v>
      </c>
      <c r="AB5" s="2" t="str">
        <f t="shared" si="2"/>
        <v>🟠 Moderada (10-20 km)</v>
      </c>
      <c r="AC5" s="2" t="str" cm="1">
        <f t="array" ref="AC5">INDEX(PARADEROS_VALIDOS!$C$2:$C$68,MATCH(MIN(6371*ACOS(COS(RADIANS(Y5))*COS(RADIANS(PARADEROS_VALIDOS!$E$2:$E$68))*COS(RADIANS(PARADEROS_VALIDOS!$F$2:$F$68)-RADIANS(Z5))+SIN(RADIANS(Y5))*SIN(RADIANS(PARADEROS_VALIDOS!$E$2:$E$68)))),6371*ACOS(COS(RADIANS(Y5))*COS(RADIANS(PARADEROS_VALIDOS!$E$2:$E$68))*COS(RADIANS(PARADEROS_VALIDOS!$F$2:$F$68)-RADIANS(Z5))+SIN(RADIANS(Y5))*SIN(RADIANS(PARADEROS_VALIDOS!$E$2:$E$68))),0))</f>
        <v>Paradero Celima</v>
      </c>
      <c r="AD5" s="2" t="str">
        <f>IFERROR(INDEX(PARADEROS_VALIDOS!$A$2:$A$68,MATCH(AC5,PARADEROS_VALIDOS!$C$2:$C$68,0)),"")</f>
        <v>RUTA 6C</v>
      </c>
      <c r="AE5" s="33" cm="1">
        <f t="array" ref="AE5">ROUND(MIN(6371*ACOS(COS(RADIANS(Y5))*COS(RADIANS(PARADEROS_VALIDOS!$E$2:$E$68))*COS(RADIANS(PARADEROS_VALIDOS!$F$2:$F$68)-RADIANS(Z5))+SIN(RADIANS(Y5))*SIN(RADIANS(PARADEROS_VALIDOS!$E$2:$E$68)))),2)</f>
        <v>0.27</v>
      </c>
      <c r="AF5" s="2" t="str">
        <f t="shared" si="3"/>
        <v>🟢 Muy Cerca (0-1 km)</v>
      </c>
      <c r="AG5" s="2"/>
      <c r="AH5" s="2"/>
      <c r="AI5" s="51">
        <v>-11.997563</v>
      </c>
      <c r="AJ5" s="51">
        <v>-76.900062000000005</v>
      </c>
      <c r="AK5" s="2" t="str">
        <f>IFERROR(VLOOKUP(I5,tdcargo[],2,FALSE),"DESCONOCIDO")</f>
        <v>OPERARIO</v>
      </c>
    </row>
    <row r="6" spans="1:37" x14ac:dyDescent="0.35">
      <c r="A6" s="2" t="s">
        <v>68</v>
      </c>
      <c r="B6" s="2" t="s">
        <v>69</v>
      </c>
      <c r="C6" s="2" t="s">
        <v>70</v>
      </c>
      <c r="D6" s="2" t="s">
        <v>71</v>
      </c>
      <c r="E6" s="2">
        <v>25</v>
      </c>
      <c r="F6" s="2" t="s">
        <v>28</v>
      </c>
      <c r="G6" s="2" t="s">
        <v>29</v>
      </c>
      <c r="H6" s="2">
        <v>20508746</v>
      </c>
      <c r="I6" s="2" t="s">
        <v>30</v>
      </c>
      <c r="J6" s="3">
        <v>45748</v>
      </c>
      <c r="K6" s="2" t="s">
        <v>31</v>
      </c>
      <c r="L6" s="2" t="s">
        <v>72</v>
      </c>
      <c r="M6" s="2" t="s">
        <v>73</v>
      </c>
      <c r="N6" s="2" t="s">
        <v>36</v>
      </c>
      <c r="O6" s="2" t="s">
        <v>74</v>
      </c>
      <c r="P6" s="2" t="s">
        <v>36</v>
      </c>
      <c r="Q6" s="2" t="s">
        <v>75</v>
      </c>
      <c r="R6" s="2">
        <v>15457</v>
      </c>
      <c r="S6" s="2" t="s">
        <v>37</v>
      </c>
      <c r="T6" s="2" t="s">
        <v>37</v>
      </c>
      <c r="U6" s="2" t="s">
        <v>76</v>
      </c>
      <c r="V6" s="3">
        <v>45748</v>
      </c>
      <c r="W6" s="2" t="s">
        <v>77</v>
      </c>
      <c r="X6" s="2" t="str">
        <f t="shared" si="0"/>
        <v>La Campiã‘A Casa Huerta La Campiã‘A Sector B, Lurigancho, Lima, Lima, Perú</v>
      </c>
      <c r="Y6" s="22">
        <v>-11.976007299999999</v>
      </c>
      <c r="Z6" s="22">
        <v>-76.9174893</v>
      </c>
      <c r="AA6" s="33">
        <f t="shared" si="1"/>
        <v>3.06</v>
      </c>
      <c r="AB6" s="2" t="str">
        <f t="shared" si="2"/>
        <v>🟢 Muy Cerca (0-5 km)</v>
      </c>
      <c r="AC6" s="2" t="str" cm="1">
        <f t="array" ref="AC6">INDEX(PARADEROS_VALIDOS!$C$2:$C$68,MATCH(MIN(6371*ACOS(COS(RADIANS(Y6))*COS(RADIANS(PARADEROS_VALIDOS!$E$2:$E$68))*COS(RADIANS(PARADEROS_VALIDOS!$F$2:$F$68)-RADIANS(Z6))+SIN(RADIANS(Y6))*SIN(RADIANS(PARADEROS_VALIDOS!$E$2:$E$68)))),6371*ACOS(COS(RADIANS(Y6))*COS(RADIANS(PARADEROS_VALIDOS!$E$2:$E$68))*COS(RADIANS(PARADEROS_VALIDOS!$F$2:$F$68)-RADIANS(Z6))+SIN(RADIANS(Y6))*SIN(RADIANS(PARADEROS_VALIDOS!$E$2:$E$68))),0))</f>
        <v>Paradero Arco San Antonio</v>
      </c>
      <c r="AD6" s="2" t="str">
        <f>IFERROR(INDEX(PARADEROS_VALIDOS!$A$2:$A$68,MATCH(AC6,PARADEROS_VALIDOS!$C$2:$C$68,0)),"")</f>
        <v>RUTA 2</v>
      </c>
      <c r="AE6" s="33" cm="1">
        <f t="array" ref="AE6">ROUND(MIN(6371*ACOS(COS(RADIANS(Y6))*COS(RADIANS(PARADEROS_VALIDOS!$E$2:$E$68))*COS(RADIANS(PARADEROS_VALIDOS!$F$2:$F$68)-RADIANS(Z6))+SIN(RADIANS(Y6))*SIN(RADIANS(PARADEROS_VALIDOS!$E$2:$E$68)))),2)</f>
        <v>2.5</v>
      </c>
      <c r="AF6" s="2" t="str">
        <f t="shared" si="3"/>
        <v>🟡 Cerca (1-3 km)</v>
      </c>
      <c r="AG6" s="2"/>
      <c r="AH6" s="2"/>
      <c r="AI6" s="51">
        <v>-11.997563</v>
      </c>
      <c r="AJ6" s="51">
        <v>-76.900062000000005</v>
      </c>
      <c r="AK6" s="2" t="str">
        <f>IFERROR(VLOOKUP(I6,tdcargo[],2,FALSE),"DESCONOCIDO")</f>
        <v>OPERARIO</v>
      </c>
    </row>
    <row r="7" spans="1:37" x14ac:dyDescent="0.35">
      <c r="A7" s="2" t="s">
        <v>78</v>
      </c>
      <c r="B7" s="2" t="s">
        <v>79</v>
      </c>
      <c r="C7" s="2" t="s">
        <v>80</v>
      </c>
      <c r="D7" s="2" t="s">
        <v>81</v>
      </c>
      <c r="E7" s="2">
        <v>38</v>
      </c>
      <c r="F7" s="2" t="s">
        <v>28</v>
      </c>
      <c r="G7" s="2" t="s">
        <v>29</v>
      </c>
      <c r="H7" s="2">
        <v>20508762</v>
      </c>
      <c r="I7" s="2" t="s">
        <v>30</v>
      </c>
      <c r="J7" s="3">
        <v>45456</v>
      </c>
      <c r="K7" s="2" t="s">
        <v>31</v>
      </c>
      <c r="L7" s="2" t="s">
        <v>72</v>
      </c>
      <c r="M7" s="2" t="s">
        <v>73</v>
      </c>
      <c r="N7" s="2" t="s">
        <v>82</v>
      </c>
      <c r="O7" s="2" t="s">
        <v>83</v>
      </c>
      <c r="P7" s="2" t="s">
        <v>36</v>
      </c>
      <c r="Q7" s="2" t="s">
        <v>83</v>
      </c>
      <c r="R7" s="2">
        <v>15457</v>
      </c>
      <c r="S7" s="2" t="s">
        <v>37</v>
      </c>
      <c r="T7" s="2" t="s">
        <v>37</v>
      </c>
      <c r="U7" s="2" t="s">
        <v>76</v>
      </c>
      <c r="V7" s="3">
        <v>45456</v>
      </c>
      <c r="W7" s="2" t="s">
        <v>48</v>
      </c>
      <c r="X7" s="2" t="str">
        <f t="shared" si="0"/>
        <v>Calle Los Rosales Los Rosales, Lurigancho, Lima, Lima, Perú</v>
      </c>
      <c r="Y7" s="22">
        <v>-12.014084199999999</v>
      </c>
      <c r="Z7" s="22">
        <v>-76.916252400000005</v>
      </c>
      <c r="AA7" s="33">
        <f t="shared" si="1"/>
        <v>2.54</v>
      </c>
      <c r="AB7" s="2" t="str">
        <f t="shared" si="2"/>
        <v>🟢 Muy Cerca (0-5 km)</v>
      </c>
      <c r="AC7" s="2" t="str" cm="1">
        <f t="array" ref="AC7">INDEX(PARADEROS_VALIDOS!$C$2:$C$68,MATCH(MIN(6371*ACOS(COS(RADIANS(Y7))*COS(RADIANS(PARADEROS_VALIDOS!$E$2:$E$68))*COS(RADIANS(PARADEROS_VALIDOS!$F$2:$F$68)-RADIANS(Z7))+SIN(RADIANS(Y7))*SIN(RADIANS(PARADEROS_VALIDOS!$E$2:$E$68)))),6371*ACOS(COS(RADIANS(Y7))*COS(RADIANS(PARADEROS_VALIDOS!$E$2:$E$68))*COS(RADIANS(PARADEROS_VALIDOS!$F$2:$F$68)-RADIANS(Z7))+SIN(RADIANS(Y7))*SIN(RADIANS(PARADEROS_VALIDOS!$E$2:$E$68))),0))</f>
        <v>Estadio Huachipa</v>
      </c>
      <c r="AD7" s="2" t="str">
        <f>IFERROR(INDEX(PARADEROS_VALIDOS!$A$2:$A$68,MATCH(AC7,PARADEROS_VALIDOS!$C$2:$C$68,0)),"")</f>
        <v>RUTA 5C</v>
      </c>
      <c r="AE7" s="33" cm="1">
        <f t="array" ref="AE7">ROUND(MIN(6371*ACOS(COS(RADIANS(Y7))*COS(RADIANS(PARADEROS_VALIDOS!$E$2:$E$68))*COS(RADIANS(PARADEROS_VALIDOS!$F$2:$F$68)-RADIANS(Z7))+SIN(RADIANS(Y7))*SIN(RADIANS(PARADEROS_VALIDOS!$E$2:$E$68)))),2)</f>
        <v>0.01</v>
      </c>
      <c r="AF7" s="2" t="str">
        <f t="shared" si="3"/>
        <v>🟢 Muy Cerca (0-1 km)</v>
      </c>
      <c r="AG7" s="2"/>
      <c r="AH7" s="2"/>
      <c r="AI7" s="51">
        <v>-11.997563</v>
      </c>
      <c r="AJ7" s="51">
        <v>-76.900062000000005</v>
      </c>
      <c r="AK7" s="2" t="str">
        <f>IFERROR(VLOOKUP(I7,tdcargo[],2,FALSE),"DESCONOCIDO")</f>
        <v>OPERARIO</v>
      </c>
    </row>
    <row r="8" spans="1:37" x14ac:dyDescent="0.35">
      <c r="A8" s="2" t="s">
        <v>84</v>
      </c>
      <c r="B8" s="2" t="s">
        <v>85</v>
      </c>
      <c r="C8" s="2" t="s">
        <v>86</v>
      </c>
      <c r="D8" s="2" t="s">
        <v>87</v>
      </c>
      <c r="E8" s="2">
        <v>39</v>
      </c>
      <c r="F8" s="2" t="s">
        <v>28</v>
      </c>
      <c r="G8" s="2" t="s">
        <v>29</v>
      </c>
      <c r="H8" s="2">
        <v>20508784</v>
      </c>
      <c r="I8" s="2" t="s">
        <v>30</v>
      </c>
      <c r="J8" s="3">
        <v>45105</v>
      </c>
      <c r="K8" s="2" t="s">
        <v>31</v>
      </c>
      <c r="L8" s="2" t="s">
        <v>72</v>
      </c>
      <c r="M8" s="2" t="s">
        <v>73</v>
      </c>
      <c r="N8" s="2" t="s">
        <v>36</v>
      </c>
      <c r="O8" s="2" t="s">
        <v>46</v>
      </c>
      <c r="P8" s="2" t="s">
        <v>88</v>
      </c>
      <c r="Q8" s="2" t="s">
        <v>89</v>
      </c>
      <c r="R8" s="2">
        <v>15401</v>
      </c>
      <c r="S8" s="2" t="s">
        <v>37</v>
      </c>
      <c r="T8" s="2" t="s">
        <v>37</v>
      </c>
      <c r="U8" s="2" t="s">
        <v>38</v>
      </c>
      <c r="V8" s="3">
        <v>45105</v>
      </c>
      <c r="W8" s="2" t="s">
        <v>48</v>
      </c>
      <c r="X8" s="2" t="str">
        <f t="shared" si="0"/>
        <v>Nd, A.H. Asentamiento Humano Agru Familiar El Amanecer Nuevo Progreso, San Juan De Lurigancho, Lima, Lima, Perú</v>
      </c>
      <c r="Y8" s="22">
        <v>-12.0272889</v>
      </c>
      <c r="Z8" s="22">
        <v>-77.005764499999998</v>
      </c>
      <c r="AA8" s="33">
        <f t="shared" si="1"/>
        <v>11.96</v>
      </c>
      <c r="AB8" s="2" t="str">
        <f t="shared" si="2"/>
        <v>🟠 Moderada (10-20 km)</v>
      </c>
      <c r="AC8" s="2" t="str" cm="1">
        <f t="array" ref="AC8">INDEX(PARADEROS_VALIDOS!$C$2:$C$68,MATCH(MIN(6371*ACOS(COS(RADIANS(Y8))*COS(RADIANS(PARADEROS_VALIDOS!$E$2:$E$68))*COS(RADIANS(PARADEROS_VALIDOS!$F$2:$F$68)-RADIANS(Z8))+SIN(RADIANS(Y8))*SIN(RADIANS(PARADEROS_VALIDOS!$E$2:$E$68)))),6371*ACOS(COS(RADIANS(Y8))*COS(RADIANS(PARADEROS_VALIDOS!$E$2:$E$68))*COS(RADIANS(PARADEROS_VALIDOS!$F$2:$F$68)-RADIANS(Z8))+SIN(RADIANS(Y8))*SIN(RADIANS(PARADEROS_VALIDOS!$E$2:$E$68))),0))</f>
        <v>Puente Nuevo (Av. Chinchaysuyo &amp; Av. Malecón Checa)</v>
      </c>
      <c r="AD8" s="2" t="str">
        <f>IFERROR(INDEX(PARADEROS_VALIDOS!$A$2:$A$68,MATCH(AC8,PARADEROS_VALIDOS!$C$2:$C$68,0)),"")</f>
        <v>RUTA 6C</v>
      </c>
      <c r="AE8" s="33" cm="1">
        <f t="array" ref="AE8">ROUND(MIN(6371*ACOS(COS(RADIANS(Y8))*COS(RADIANS(PARADEROS_VALIDOS!$E$2:$E$68))*COS(RADIANS(PARADEROS_VALIDOS!$F$2:$F$68)-RADIANS(Z8))+SIN(RADIANS(Y8))*SIN(RADIANS(PARADEROS_VALIDOS!$E$2:$E$68)))),2)</f>
        <v>1.32</v>
      </c>
      <c r="AF8" s="2" t="str">
        <f t="shared" si="3"/>
        <v>🟡 Cerca (1-3 km)</v>
      </c>
      <c r="AG8" s="2"/>
      <c r="AH8" s="2"/>
      <c r="AI8" s="51">
        <v>-11.997563</v>
      </c>
      <c r="AJ8" s="51">
        <v>-76.900062000000005</v>
      </c>
      <c r="AK8" s="2" t="str">
        <f>IFERROR(VLOOKUP(I8,tdcargo[],2,FALSE),"DESCONOCIDO")</f>
        <v>OPERARIO</v>
      </c>
    </row>
    <row r="9" spans="1:37" x14ac:dyDescent="0.35">
      <c r="A9" s="2" t="s">
        <v>90</v>
      </c>
      <c r="B9" s="2" t="s">
        <v>91</v>
      </c>
      <c r="C9" s="2" t="s">
        <v>92</v>
      </c>
      <c r="D9" s="2" t="s">
        <v>93</v>
      </c>
      <c r="E9" s="2">
        <v>23</v>
      </c>
      <c r="F9" s="2" t="s">
        <v>28</v>
      </c>
      <c r="G9" s="2" t="s">
        <v>29</v>
      </c>
      <c r="H9" s="2">
        <v>20510592</v>
      </c>
      <c r="I9" s="2" t="s">
        <v>30</v>
      </c>
      <c r="J9" s="3">
        <v>45544</v>
      </c>
      <c r="K9" s="2" t="s">
        <v>31</v>
      </c>
      <c r="L9" s="2" t="s">
        <v>72</v>
      </c>
      <c r="M9" s="2" t="s">
        <v>73</v>
      </c>
      <c r="N9" s="2" t="s">
        <v>82</v>
      </c>
      <c r="O9" s="2" t="s">
        <v>94</v>
      </c>
      <c r="P9" s="2" t="s">
        <v>36</v>
      </c>
      <c r="Q9" s="2" t="s">
        <v>95</v>
      </c>
      <c r="R9" s="2">
        <v>15001</v>
      </c>
      <c r="S9" s="2" t="s">
        <v>37</v>
      </c>
      <c r="T9" s="2" t="s">
        <v>37</v>
      </c>
      <c r="U9" s="2" t="s">
        <v>37</v>
      </c>
      <c r="V9" s="3">
        <v>45544</v>
      </c>
      <c r="W9" s="2" t="s">
        <v>48</v>
      </c>
      <c r="X9" s="2" t="str">
        <f t="shared" si="0"/>
        <v>Calle Cajamarquilla Los Aviadores Lurigancho Chosica Los Aviadores, Lima, Lima, Lima, Perú</v>
      </c>
      <c r="Y9" s="22">
        <v>-11.982670199999999</v>
      </c>
      <c r="Z9" s="22">
        <v>-76.895008300000001</v>
      </c>
      <c r="AA9" s="33">
        <f t="shared" si="1"/>
        <v>1.74</v>
      </c>
      <c r="AB9" s="2" t="str">
        <f t="shared" si="2"/>
        <v>🟢 Muy Cerca (0-5 km)</v>
      </c>
      <c r="AC9" s="2" t="str" cm="1">
        <f t="array" ref="AC9">INDEX(PARADEROS_VALIDOS!$C$2:$C$68,MATCH(MIN(6371*ACOS(COS(RADIANS(Y9))*COS(RADIANS(PARADEROS_VALIDOS!$E$2:$E$68))*COS(RADIANS(PARADEROS_VALIDOS!$F$2:$F$68)-RADIANS(Z9))+SIN(RADIANS(Y9))*SIN(RADIANS(PARADEROS_VALIDOS!$E$2:$E$68)))),6371*ACOS(COS(RADIANS(Y9))*COS(RADIANS(PARADEROS_VALIDOS!$E$2:$E$68))*COS(RADIANS(PARADEROS_VALIDOS!$F$2:$F$68)-RADIANS(Z9))+SIN(RADIANS(Y9))*SIN(RADIANS(PARADEROS_VALIDOS!$E$2:$E$68))),0))</f>
        <v>Paradero Arco San Antonio</v>
      </c>
      <c r="AD9" s="2" t="str">
        <f>IFERROR(INDEX(PARADEROS_VALIDOS!$A$2:$A$68,MATCH(AC9,PARADEROS_VALIDOS!$C$2:$C$68,0)),"")</f>
        <v>RUTA 2</v>
      </c>
      <c r="AE9" s="33" cm="1">
        <f t="array" ref="AE9">ROUND(MIN(6371*ACOS(COS(RADIANS(Y9))*COS(RADIANS(PARADEROS_VALIDOS!$E$2:$E$68))*COS(RADIANS(PARADEROS_VALIDOS!$F$2:$F$68)-RADIANS(Z9))+SIN(RADIANS(Y9))*SIN(RADIANS(PARADEROS_VALIDOS!$E$2:$E$68)))),2)</f>
        <v>1.49</v>
      </c>
      <c r="AF9" s="2" t="str">
        <f t="shared" si="3"/>
        <v>🟡 Cerca (1-3 km)</v>
      </c>
      <c r="AG9" s="2"/>
      <c r="AH9" s="2"/>
      <c r="AI9" s="51">
        <v>-11.997563</v>
      </c>
      <c r="AJ9" s="51">
        <v>-76.900062000000005</v>
      </c>
      <c r="AK9" s="2" t="str">
        <f>IFERROR(VLOOKUP(I9,tdcargo[],2,FALSE),"DESCONOCIDO")</f>
        <v>OPERARIO</v>
      </c>
    </row>
    <row r="10" spans="1:37" x14ac:dyDescent="0.35">
      <c r="A10" s="2" t="s">
        <v>96</v>
      </c>
      <c r="B10" s="2" t="s">
        <v>97</v>
      </c>
      <c r="C10" s="2" t="s">
        <v>98</v>
      </c>
      <c r="D10" s="2" t="s">
        <v>99</v>
      </c>
      <c r="E10" s="2">
        <v>33</v>
      </c>
      <c r="F10" s="2" t="s">
        <v>28</v>
      </c>
      <c r="G10" s="2" t="s">
        <v>29</v>
      </c>
      <c r="H10" s="2">
        <v>20508737</v>
      </c>
      <c r="I10" s="2" t="s">
        <v>62</v>
      </c>
      <c r="J10" s="3">
        <v>44378</v>
      </c>
      <c r="K10" s="2" t="s">
        <v>31</v>
      </c>
      <c r="L10" s="2" t="s">
        <v>100</v>
      </c>
      <c r="M10" s="2" t="s">
        <v>101</v>
      </c>
      <c r="N10" s="2" t="s">
        <v>82</v>
      </c>
      <c r="O10" s="2" t="s">
        <v>102</v>
      </c>
      <c r="P10" s="2" t="s">
        <v>66</v>
      </c>
      <c r="Q10" s="2" t="s">
        <v>103</v>
      </c>
      <c r="R10" s="2">
        <v>15457</v>
      </c>
      <c r="S10" s="2" t="s">
        <v>37</v>
      </c>
      <c r="T10" s="2" t="s">
        <v>37</v>
      </c>
      <c r="U10" s="2" t="s">
        <v>76</v>
      </c>
      <c r="V10" s="3">
        <v>44378</v>
      </c>
      <c r="W10" s="2" t="s">
        <v>48</v>
      </c>
      <c r="X10" s="2" t="str">
        <f t="shared" si="0"/>
        <v>Calle Esperanza, U.V. Unidad Vecinal Sector Oeste, Lurigancho, Lima, Lima, Perú</v>
      </c>
      <c r="Y10" s="22">
        <v>-12.120415700000001</v>
      </c>
      <c r="Z10" s="22">
        <v>-77.026739599999999</v>
      </c>
      <c r="AA10" s="33">
        <f t="shared" si="1"/>
        <v>19.399999999999999</v>
      </c>
      <c r="AB10" s="2" t="str">
        <f t="shared" si="2"/>
        <v>🟠 Moderada (10-20 km)</v>
      </c>
      <c r="AC10" s="2" t="str" cm="1">
        <f t="array" ref="AC10">INDEX(PARADEROS_VALIDOS!$C$2:$C$68,MATCH(MIN(6371*ACOS(COS(RADIANS(Y10))*COS(RADIANS(PARADEROS_VALIDOS!$E$2:$E$68))*COS(RADIANS(PARADEROS_VALIDOS!$F$2:$F$68)-RADIANS(Z10))+SIN(RADIANS(Y10))*SIN(RADIANS(PARADEROS_VALIDOS!$E$2:$E$68)))),6371*ACOS(COS(RADIANS(Y10))*COS(RADIANS(PARADEROS_VALIDOS!$E$2:$E$68))*COS(RADIANS(PARADEROS_VALIDOS!$F$2:$F$68)-RADIANS(Z10))+SIN(RADIANS(Y10))*SIN(RADIANS(PARADEROS_VALIDOS!$E$2:$E$68))),0))</f>
        <v>Paradero Berlín con Javier prado (cruzando el semáforo) aplica solo al ingreso.</v>
      </c>
      <c r="AD10" s="2" t="str">
        <f>IFERROR(INDEX(PARADEROS_VALIDOS!$A$2:$A$68,MATCH(AC10,PARADEROS_VALIDOS!$C$2:$C$68,0)),"")</f>
        <v>RUTA 4A</v>
      </c>
      <c r="AE10" s="33" cm="1">
        <f t="array" ref="AE10">ROUND(MIN(6371*ACOS(COS(RADIANS(Y10))*COS(RADIANS(PARADEROS_VALIDOS!$E$2:$E$68))*COS(RADIANS(PARADEROS_VALIDOS!$F$2:$F$68)-RADIANS(Z10))+SIN(RADIANS(Y10))*SIN(RADIANS(PARADEROS_VALIDOS!$E$2:$E$68)))),2)</f>
        <v>3.51</v>
      </c>
      <c r="AF10" s="2" t="str">
        <f t="shared" si="3"/>
        <v>🟠 Moderada (3-5 km)</v>
      </c>
      <c r="AG10" s="2"/>
      <c r="AH10" s="2"/>
      <c r="AI10" s="51">
        <v>-11.997563</v>
      </c>
      <c r="AJ10" s="51">
        <v>-76.900062000000005</v>
      </c>
      <c r="AK10" s="2" t="str">
        <f>IFERROR(VLOOKUP(I10,tdcargo[],2,FALSE),"DESCONOCIDO")</f>
        <v>OPERARIO</v>
      </c>
    </row>
    <row r="11" spans="1:37" x14ac:dyDescent="0.35">
      <c r="A11" s="2" t="s">
        <v>104</v>
      </c>
      <c r="B11" s="2" t="s">
        <v>105</v>
      </c>
      <c r="C11" s="2" t="s">
        <v>106</v>
      </c>
      <c r="D11" s="2" t="s">
        <v>107</v>
      </c>
      <c r="E11" s="2">
        <v>40</v>
      </c>
      <c r="F11" s="2" t="s">
        <v>28</v>
      </c>
      <c r="G11" s="2" t="s">
        <v>29</v>
      </c>
      <c r="H11" s="2">
        <v>20510600</v>
      </c>
      <c r="I11" s="2" t="s">
        <v>62</v>
      </c>
      <c r="J11" s="3">
        <v>43197</v>
      </c>
      <c r="K11" s="2" t="s">
        <v>31</v>
      </c>
      <c r="L11" s="2" t="s">
        <v>108</v>
      </c>
      <c r="M11" s="2" t="s">
        <v>109</v>
      </c>
      <c r="N11" s="2" t="s">
        <v>53</v>
      </c>
      <c r="O11" s="2" t="s">
        <v>110</v>
      </c>
      <c r="P11" s="2" t="s">
        <v>66</v>
      </c>
      <c r="Q11" s="2" t="s">
        <v>111</v>
      </c>
      <c r="R11" s="2">
        <v>15004</v>
      </c>
      <c r="S11" s="2" t="s">
        <v>37</v>
      </c>
      <c r="T11" s="2" t="s">
        <v>37</v>
      </c>
      <c r="U11" s="2" t="s">
        <v>57</v>
      </c>
      <c r="V11" s="3">
        <v>43197</v>
      </c>
      <c r="W11" s="2" t="s">
        <v>48</v>
      </c>
      <c r="X11" s="2" t="str">
        <f t="shared" si="0"/>
        <v>Jirón La Raucana O Tulipanes, U.V. Unidad Vecinal La Raucana, Ate, Lima, Lima, Perú</v>
      </c>
      <c r="Y11" s="22">
        <v>-12.030068699999999</v>
      </c>
      <c r="Z11" s="22">
        <v>-76.903564599999996</v>
      </c>
      <c r="AA11" s="33">
        <f t="shared" si="1"/>
        <v>3.63</v>
      </c>
      <c r="AB11" s="2" t="str">
        <f t="shared" si="2"/>
        <v>🟢 Muy Cerca (0-5 km)</v>
      </c>
      <c r="AC11" s="2" t="str" cm="1">
        <f t="array" ref="AC11">INDEX(PARADEROS_VALIDOS!$C$2:$C$68,MATCH(MIN(6371*ACOS(COS(RADIANS(Y11))*COS(RADIANS(PARADEROS_VALIDOS!$E$2:$E$68))*COS(RADIANS(PARADEROS_VALIDOS!$F$2:$F$68)-RADIANS(Z11))+SIN(RADIANS(Y11))*SIN(RADIANS(PARADEROS_VALIDOS!$E$2:$E$68)))),6371*ACOS(COS(RADIANS(Y11))*COS(RADIANS(PARADEROS_VALIDOS!$E$2:$E$68))*COS(RADIANS(PARADEROS_VALIDOS!$F$2:$F$68)-RADIANS(Z11))+SIN(RADIANS(Y11))*SIN(RADIANS(PARADEROS_VALIDOS!$E$2:$E$68))),0))</f>
        <v>Paradero Esperanza</v>
      </c>
      <c r="AD11" s="2" t="str">
        <f>IFERROR(INDEX(PARADEROS_VALIDOS!$A$2:$A$68,MATCH(AC11,PARADEROS_VALIDOS!$C$2:$C$68,0)),"")</f>
        <v>RUTA 4B</v>
      </c>
      <c r="AE11" s="33" cm="1">
        <f t="array" ref="AE11">ROUND(MIN(6371*ACOS(COS(RADIANS(Y11))*COS(RADIANS(PARADEROS_VALIDOS!$E$2:$E$68))*COS(RADIANS(PARADEROS_VALIDOS!$F$2:$F$68)-RADIANS(Z11))+SIN(RADIANS(Y11))*SIN(RADIANS(PARADEROS_VALIDOS!$E$2:$E$68)))),2)</f>
        <v>0.99</v>
      </c>
      <c r="AF11" s="2" t="str">
        <f t="shared" si="3"/>
        <v>🟢 Muy Cerca (0-1 km)</v>
      </c>
      <c r="AG11" s="2"/>
      <c r="AH11" s="2"/>
      <c r="AI11" s="51">
        <v>-11.997563</v>
      </c>
      <c r="AJ11" s="51">
        <v>-76.900062000000005</v>
      </c>
      <c r="AK11" s="2" t="str">
        <f>IFERROR(VLOOKUP(I11,tdcargo[],2,FALSE),"DESCONOCIDO")</f>
        <v>OPERARIO</v>
      </c>
    </row>
    <row r="12" spans="1:37" x14ac:dyDescent="0.35">
      <c r="A12" s="2" t="s">
        <v>112</v>
      </c>
      <c r="B12" s="2" t="s">
        <v>113</v>
      </c>
      <c r="C12" s="2" t="s">
        <v>114</v>
      </c>
      <c r="D12" s="2" t="s">
        <v>115</v>
      </c>
      <c r="E12" s="2">
        <v>25</v>
      </c>
      <c r="F12" s="2" t="s">
        <v>28</v>
      </c>
      <c r="G12" s="2" t="s">
        <v>29</v>
      </c>
      <c r="H12" s="2">
        <v>20508798</v>
      </c>
      <c r="I12" s="2" t="s">
        <v>62</v>
      </c>
      <c r="J12" s="3">
        <v>45378</v>
      </c>
      <c r="K12" s="2" t="s">
        <v>31</v>
      </c>
      <c r="L12" s="2" t="s">
        <v>72</v>
      </c>
      <c r="M12" s="2" t="s">
        <v>73</v>
      </c>
      <c r="N12" s="2" t="s">
        <v>82</v>
      </c>
      <c r="O12" s="2" t="s">
        <v>116</v>
      </c>
      <c r="P12" s="2" t="s">
        <v>36</v>
      </c>
      <c r="Q12" s="2" t="s">
        <v>117</v>
      </c>
      <c r="R12" s="2">
        <v>15472</v>
      </c>
      <c r="S12" s="2" t="s">
        <v>37</v>
      </c>
      <c r="T12" s="2" t="s">
        <v>37</v>
      </c>
      <c r="U12" s="2" t="s">
        <v>118</v>
      </c>
      <c r="V12" s="3">
        <v>45378</v>
      </c>
      <c r="W12" s="2" t="s">
        <v>48</v>
      </c>
      <c r="X12" s="2" t="str">
        <f t="shared" si="0"/>
        <v>Calle Los Olivos Virgen De Fatima De Moron, Chaclacayo, Lima, Lima, Perú</v>
      </c>
      <c r="Y12" s="22">
        <v>-11.9809014</v>
      </c>
      <c r="Z12" s="22">
        <v>-76.779341900000006</v>
      </c>
      <c r="AA12" s="33">
        <f t="shared" si="1"/>
        <v>13.26</v>
      </c>
      <c r="AB12" s="2" t="str">
        <f t="shared" si="2"/>
        <v>🟠 Moderada (10-20 km)</v>
      </c>
      <c r="AC12" s="2" t="str" cm="1">
        <f t="array" ref="AC12">INDEX(PARADEROS_VALIDOS!$C$2:$C$68,MATCH(MIN(6371*ACOS(COS(RADIANS(Y12))*COS(RADIANS(PARADEROS_VALIDOS!$E$2:$E$68))*COS(RADIANS(PARADEROS_VALIDOS!$F$2:$F$68)-RADIANS(Z12))+SIN(RADIANS(Y12))*SIN(RADIANS(PARADEROS_VALIDOS!$E$2:$E$68)))),6371*ACOS(COS(RADIANS(Y12))*COS(RADIANS(PARADEROS_VALIDOS!$E$2:$E$68))*COS(RADIANS(PARADEROS_VALIDOS!$F$2:$F$68)-RADIANS(Z12))+SIN(RADIANS(Y12))*SIN(RADIANS(PARADEROS_VALIDOS!$E$2:$E$68))),0))</f>
        <v>Mercado Ramiro Prialé</v>
      </c>
      <c r="AD12" s="2" t="str">
        <f>IFERROR(INDEX(PARADEROS_VALIDOS!$A$2:$A$68,MATCH(AC12,PARADEROS_VALIDOS!$C$2:$C$68,0)),"")</f>
        <v>RUTA 5A</v>
      </c>
      <c r="AE12" s="33" cm="1">
        <f t="array" ref="AE12">ROUND(MIN(6371*ACOS(COS(RADIANS(Y12))*COS(RADIANS(PARADEROS_VALIDOS!$E$2:$E$68))*COS(RADIANS(PARADEROS_VALIDOS!$F$2:$F$68)-RADIANS(Z12))+SIN(RADIANS(Y12))*SIN(RADIANS(PARADEROS_VALIDOS!$E$2:$E$68)))),2)</f>
        <v>0.4</v>
      </c>
      <c r="AF12" s="2" t="str">
        <f t="shared" si="3"/>
        <v>🟢 Muy Cerca (0-1 km)</v>
      </c>
      <c r="AG12" s="2"/>
      <c r="AH12" s="2"/>
      <c r="AI12" s="51">
        <v>-11.997563</v>
      </c>
      <c r="AJ12" s="51">
        <v>-76.900062000000005</v>
      </c>
      <c r="AK12" s="2" t="str">
        <f>IFERROR(VLOOKUP(I12,tdcargo[],2,FALSE),"DESCONOCIDO")</f>
        <v>OPERARIO</v>
      </c>
    </row>
    <row r="13" spans="1:37" x14ac:dyDescent="0.35">
      <c r="A13" s="2" t="s">
        <v>119</v>
      </c>
      <c r="B13" s="2" t="s">
        <v>120</v>
      </c>
      <c r="C13" s="2" t="s">
        <v>121</v>
      </c>
      <c r="D13" s="2" t="s">
        <v>122</v>
      </c>
      <c r="E13" s="2">
        <v>31</v>
      </c>
      <c r="F13" s="2" t="s">
        <v>28</v>
      </c>
      <c r="G13" s="2" t="s">
        <v>29</v>
      </c>
      <c r="H13" s="2">
        <v>20508729</v>
      </c>
      <c r="I13" s="2" t="s">
        <v>123</v>
      </c>
      <c r="J13" s="3">
        <v>45222</v>
      </c>
      <c r="K13" s="2" t="s">
        <v>31</v>
      </c>
      <c r="L13" s="2" t="s">
        <v>124</v>
      </c>
      <c r="M13" s="2" t="s">
        <v>125</v>
      </c>
      <c r="N13" s="2" t="s">
        <v>53</v>
      </c>
      <c r="O13" s="2" t="s">
        <v>126</v>
      </c>
      <c r="P13" s="2" t="s">
        <v>36</v>
      </c>
      <c r="Q13" s="2" t="s">
        <v>126</v>
      </c>
      <c r="R13" s="2">
        <v>15082</v>
      </c>
      <c r="S13" s="2" t="s">
        <v>37</v>
      </c>
      <c r="T13" s="2" t="s">
        <v>37</v>
      </c>
      <c r="U13" s="2" t="s">
        <v>127</v>
      </c>
      <c r="V13" s="3">
        <v>45222</v>
      </c>
      <c r="W13" s="2" t="s">
        <v>48</v>
      </c>
      <c r="X13" s="2" t="str">
        <f t="shared" si="0"/>
        <v>Jirón Huancabamba Huancabamba, Brena, Lima, Lima, Perú</v>
      </c>
      <c r="Y13" s="22">
        <v>-12.0592577</v>
      </c>
      <c r="Z13" s="22">
        <v>-77.051901099999995</v>
      </c>
      <c r="AA13" s="33">
        <f t="shared" si="1"/>
        <v>17.88</v>
      </c>
      <c r="AB13" s="2" t="str">
        <f t="shared" si="2"/>
        <v>🟠 Moderada (10-20 km)</v>
      </c>
      <c r="AC13" s="2" t="str" cm="1">
        <f t="array" ref="AC13">INDEX(PARADEROS_VALIDOS!$C$2:$C$68,MATCH(MIN(6371*ACOS(COS(RADIANS(Y13))*COS(RADIANS(PARADEROS_VALIDOS!$E$2:$E$68))*COS(RADIANS(PARADEROS_VALIDOS!$F$2:$F$68)-RADIANS(Z13))+SIN(RADIANS(Y13))*SIN(RADIANS(PARADEROS_VALIDOS!$E$2:$E$68)))),6371*ACOS(COS(RADIANS(Y13))*COS(RADIANS(PARADEROS_VALIDOS!$E$2:$E$68))*COS(RADIANS(PARADEROS_VALIDOS!$F$2:$F$68)-RADIANS(Z13))+SIN(RADIANS(Y13))*SIN(RADIANS(PARADEROS_VALIDOS!$E$2:$E$68))),0))</f>
        <v>Paradero Rompemuelle</v>
      </c>
      <c r="AD13" s="2" t="str">
        <f>IFERROR(INDEX(PARADEROS_VALIDOS!$A$2:$A$68,MATCH(AC13,PARADEROS_VALIDOS!$C$2:$C$68,0)),"")</f>
        <v>RUTA 3</v>
      </c>
      <c r="AE13" s="33" cm="1">
        <f t="array" ref="AE13">ROUND(MIN(6371*ACOS(COS(RADIANS(Y13))*COS(RADIANS(PARADEROS_VALIDOS!$E$2:$E$68))*COS(RADIANS(PARADEROS_VALIDOS!$F$2:$F$68)-RADIANS(Z13))+SIN(RADIANS(Y13))*SIN(RADIANS(PARADEROS_VALIDOS!$E$2:$E$68)))),2)</f>
        <v>1.69</v>
      </c>
      <c r="AF13" s="2" t="str">
        <f t="shared" si="3"/>
        <v>🟡 Cerca (1-3 km)</v>
      </c>
      <c r="AG13" s="2"/>
      <c r="AH13" s="2"/>
      <c r="AI13" s="51">
        <v>-11.997563</v>
      </c>
      <c r="AJ13" s="51">
        <v>-76.900062000000005</v>
      </c>
      <c r="AK13" s="2" t="str">
        <f>IFERROR(VLOOKUP(I13,tdcargo[],2,FALSE),"DESCONOCIDO")</f>
        <v>STAFF</v>
      </c>
    </row>
    <row r="14" spans="1:37" x14ac:dyDescent="0.35">
      <c r="A14" s="2" t="s">
        <v>128</v>
      </c>
      <c r="B14" s="2" t="s">
        <v>129</v>
      </c>
      <c r="C14" s="2" t="s">
        <v>130</v>
      </c>
      <c r="D14" s="2" t="s">
        <v>131</v>
      </c>
      <c r="E14" s="2">
        <v>21</v>
      </c>
      <c r="F14" s="2" t="s">
        <v>28</v>
      </c>
      <c r="G14" s="2" t="s">
        <v>29</v>
      </c>
      <c r="H14" s="2">
        <v>20515036</v>
      </c>
      <c r="I14" s="2" t="s">
        <v>30</v>
      </c>
      <c r="J14" s="3">
        <v>46034</v>
      </c>
      <c r="K14" s="2" t="s">
        <v>31</v>
      </c>
      <c r="L14" s="2" t="s">
        <v>132</v>
      </c>
      <c r="M14" s="2" t="s">
        <v>133</v>
      </c>
      <c r="N14" s="2" t="s">
        <v>82</v>
      </c>
      <c r="O14" s="2" t="s">
        <v>134</v>
      </c>
      <c r="P14" s="2" t="s">
        <v>36</v>
      </c>
      <c r="Q14" s="2"/>
      <c r="R14" s="2">
        <v>15004</v>
      </c>
      <c r="S14" s="2" t="s">
        <v>37</v>
      </c>
      <c r="T14" s="2" t="s">
        <v>37</v>
      </c>
      <c r="U14" s="2" t="s">
        <v>57</v>
      </c>
      <c r="V14" s="3">
        <v>46034</v>
      </c>
      <c r="W14" s="2" t="s">
        <v>135</v>
      </c>
      <c r="X14" s="2" t="str">
        <f t="shared" si="0"/>
        <v>Calle San German, Ate, Lima, Lima, Perú</v>
      </c>
      <c r="Y14" s="22">
        <v>-12.0346811</v>
      </c>
      <c r="Z14" s="22">
        <v>-77.033843200000007</v>
      </c>
      <c r="AA14" s="33">
        <f t="shared" si="1"/>
        <v>15.12</v>
      </c>
      <c r="AB14" s="2" t="str">
        <f t="shared" si="2"/>
        <v>🟠 Moderada (10-20 km)</v>
      </c>
      <c r="AC14" s="2" t="str" cm="1">
        <f t="array" ref="AC14">INDEX(PARADEROS_VALIDOS!$C$2:$C$68,MATCH(MIN(6371*ACOS(COS(RADIANS(Y14))*COS(RADIANS(PARADEROS_VALIDOS!$E$2:$E$68))*COS(RADIANS(PARADEROS_VALIDOS!$F$2:$F$68)-RADIANS(Z14))+SIN(RADIANS(Y14))*SIN(RADIANS(PARADEROS_VALIDOS!$E$2:$E$68)))),6371*ACOS(COS(RADIANS(Y14))*COS(RADIANS(PARADEROS_VALIDOS!$E$2:$E$68))*COS(RADIANS(PARADEROS_VALIDOS!$F$2:$F$68)-RADIANS(Z14))+SIN(RADIANS(Y14))*SIN(RADIANS(PARADEROS_VALIDOS!$E$2:$E$68))),0))</f>
        <v>Paradero Pte. Trujillo</v>
      </c>
      <c r="AD14" s="2" t="str">
        <f>IFERROR(INDEX(PARADEROS_VALIDOS!$A$2:$A$68,MATCH(AC14,PARADEROS_VALIDOS!$C$2:$C$68,0)),"")</f>
        <v>RUTA 8</v>
      </c>
      <c r="AE14" s="33" cm="1">
        <f t="array" ref="AE14">ROUND(MIN(6371*ACOS(COS(RADIANS(Y14))*COS(RADIANS(PARADEROS_VALIDOS!$E$2:$E$68))*COS(RADIANS(PARADEROS_VALIDOS!$F$2:$F$68)-RADIANS(Z14))+SIN(RADIANS(Y14))*SIN(RADIANS(PARADEROS_VALIDOS!$E$2:$E$68)))),2)</f>
        <v>0.74</v>
      </c>
      <c r="AF14" s="2" t="str">
        <f t="shared" si="3"/>
        <v>🟢 Muy Cerca (0-1 km)</v>
      </c>
      <c r="AG14" s="2"/>
      <c r="AH14" s="2"/>
      <c r="AI14" s="51">
        <v>-11.997563</v>
      </c>
      <c r="AJ14" s="51">
        <v>-76.900062000000005</v>
      </c>
      <c r="AK14" s="2" t="str">
        <f>IFERROR(VLOOKUP(I14,tdcargo[],2,FALSE),"DESCONOCIDO")</f>
        <v>OPERARIO</v>
      </c>
    </row>
    <row r="15" spans="1:37" x14ac:dyDescent="0.35">
      <c r="A15" s="2" t="s">
        <v>136</v>
      </c>
      <c r="B15" s="2" t="s">
        <v>137</v>
      </c>
      <c r="C15" s="2" t="s">
        <v>138</v>
      </c>
      <c r="D15" s="2" t="s">
        <v>139</v>
      </c>
      <c r="E15" s="2">
        <v>25</v>
      </c>
      <c r="F15" s="2" t="s">
        <v>28</v>
      </c>
      <c r="G15" s="2" t="s">
        <v>29</v>
      </c>
      <c r="H15" s="2">
        <v>20508831</v>
      </c>
      <c r="I15" s="2" t="s">
        <v>30</v>
      </c>
      <c r="J15" s="3">
        <v>46097</v>
      </c>
      <c r="K15" s="2" t="s">
        <v>31</v>
      </c>
      <c r="L15" s="2" t="s">
        <v>108</v>
      </c>
      <c r="M15" s="2" t="s">
        <v>109</v>
      </c>
      <c r="N15" s="2" t="s">
        <v>36</v>
      </c>
      <c r="O15" s="2" t="s">
        <v>140</v>
      </c>
      <c r="P15" s="2" t="s">
        <v>36</v>
      </c>
      <c r="Q15" s="2" t="s">
        <v>141</v>
      </c>
      <c r="R15" s="2">
        <v>15401</v>
      </c>
      <c r="S15" s="2" t="s">
        <v>37</v>
      </c>
      <c r="T15" s="2" t="s">
        <v>37</v>
      </c>
      <c r="U15" s="2" t="s">
        <v>38</v>
      </c>
      <c r="V15" s="3">
        <v>46097</v>
      </c>
      <c r="W15" s="2" t="s">
        <v>135</v>
      </c>
      <c r="X15" s="2" t="str">
        <f t="shared" si="0"/>
        <v>Jose Leal MARISCAL CACERES, San Juan De Lurigancho, Lima, Lima, Perú</v>
      </c>
      <c r="Y15" s="22">
        <v>-11.9541989</v>
      </c>
      <c r="Z15" s="22">
        <v>-76.984852399999994</v>
      </c>
      <c r="AA15" s="33">
        <f t="shared" si="1"/>
        <v>10.41</v>
      </c>
      <c r="AB15" s="2" t="str">
        <f t="shared" si="2"/>
        <v>🟠 Moderada (10-20 km)</v>
      </c>
      <c r="AC15" s="2" t="str" cm="1">
        <f t="array" ref="AC15">INDEX(PARADEROS_VALIDOS!$C$2:$C$68,MATCH(MIN(6371*ACOS(COS(RADIANS(Y15))*COS(RADIANS(PARADEROS_VALIDOS!$E$2:$E$68))*COS(RADIANS(PARADEROS_VALIDOS!$F$2:$F$68)-RADIANS(Z15))+SIN(RADIANS(Y15))*SIN(RADIANS(PARADEROS_VALIDOS!$E$2:$E$68)))),6371*ACOS(COS(RADIANS(Y15))*COS(RADIANS(PARADEROS_VALIDOS!$E$2:$E$68))*COS(RADIANS(PARADEROS_VALIDOS!$F$2:$F$68)-RADIANS(Z15))+SIN(RADIANS(Y15))*SIN(RADIANS(PARADEROS_VALIDOS!$E$2:$E$68))),0))</f>
        <v>Paradero San Martin</v>
      </c>
      <c r="AD15" s="2" t="str">
        <f>IFERROR(INDEX(PARADEROS_VALIDOS!$A$2:$A$68,MATCH(AC15,PARADEROS_VALIDOS!$C$2:$C$68,0)),"")</f>
        <v>RUTA 6A</v>
      </c>
      <c r="AE15" s="33" cm="1">
        <f t="array" ref="AE15">ROUND(MIN(6371*ACOS(COS(RADIANS(Y15))*COS(RADIANS(PARADEROS_VALIDOS!$E$2:$E$68))*COS(RADIANS(PARADEROS_VALIDOS!$F$2:$F$68)-RADIANS(Z15))+SIN(RADIANS(Y15))*SIN(RADIANS(PARADEROS_VALIDOS!$E$2:$E$68)))),2)</f>
        <v>2.85</v>
      </c>
      <c r="AF15" s="2" t="str">
        <f t="shared" si="3"/>
        <v>🟡 Cerca (1-3 km)</v>
      </c>
      <c r="AG15" s="2"/>
      <c r="AH15" s="2"/>
      <c r="AI15" s="51">
        <v>-11.997563</v>
      </c>
      <c r="AJ15" s="51">
        <v>-76.900062000000005</v>
      </c>
      <c r="AK15" s="2" t="str">
        <f>IFERROR(VLOOKUP(I15,tdcargo[],2,FALSE),"DESCONOCIDO")</f>
        <v>OPERARIO</v>
      </c>
    </row>
    <row r="16" spans="1:37" x14ac:dyDescent="0.35">
      <c r="A16" s="2" t="s">
        <v>142</v>
      </c>
      <c r="B16" s="2" t="s">
        <v>143</v>
      </c>
      <c r="C16" s="2" t="s">
        <v>144</v>
      </c>
      <c r="D16" s="2" t="s">
        <v>145</v>
      </c>
      <c r="E16" s="2">
        <v>20</v>
      </c>
      <c r="F16" s="2" t="s">
        <v>28</v>
      </c>
      <c r="G16" s="2" t="s">
        <v>29</v>
      </c>
      <c r="H16" s="2">
        <v>20509020</v>
      </c>
      <c r="I16" s="2" t="s">
        <v>30</v>
      </c>
      <c r="J16" s="3">
        <v>46097</v>
      </c>
      <c r="K16" s="2" t="s">
        <v>31</v>
      </c>
      <c r="L16" s="2" t="s">
        <v>146</v>
      </c>
      <c r="M16" s="2" t="s">
        <v>147</v>
      </c>
      <c r="N16" s="2" t="s">
        <v>148</v>
      </c>
      <c r="O16" s="2" t="s">
        <v>149</v>
      </c>
      <c r="P16" s="2" t="s">
        <v>36</v>
      </c>
      <c r="Q16" s="2" t="s">
        <v>150</v>
      </c>
      <c r="R16" s="2">
        <v>15401</v>
      </c>
      <c r="S16" s="2" t="s">
        <v>37</v>
      </c>
      <c r="T16" s="2" t="s">
        <v>37</v>
      </c>
      <c r="U16" s="2" t="s">
        <v>38</v>
      </c>
      <c r="V16" s="3">
        <v>46097</v>
      </c>
      <c r="W16" s="2" t="s">
        <v>135</v>
      </c>
      <c r="X16" s="2" t="str">
        <f t="shared" si="0"/>
        <v>Pasaje Los Jazmines VILLA LOS ANDES, San Juan De Lurigancho, Lima, Lima, Perú</v>
      </c>
      <c r="Y16" s="22">
        <v>-12.017118</v>
      </c>
      <c r="Z16" s="22">
        <v>-76.958263000000002</v>
      </c>
      <c r="AA16" s="33">
        <f t="shared" si="1"/>
        <v>6.69</v>
      </c>
      <c r="AB16" s="2" t="str">
        <f t="shared" si="2"/>
        <v>🟡 Cerca (5-10 km)</v>
      </c>
      <c r="AC16" s="2" t="str" cm="1">
        <f t="array" ref="AC16">INDEX(PARADEROS_VALIDOS!$C$2:$C$68,MATCH(MIN(6371*ACOS(COS(RADIANS(Y16))*COS(RADIANS(PARADEROS_VALIDOS!$E$2:$E$68))*COS(RADIANS(PARADEROS_VALIDOS!$F$2:$F$68)-RADIANS(Z16))+SIN(RADIANS(Y16))*SIN(RADIANS(PARADEROS_VALIDOS!$E$2:$E$68)))),6371*ACOS(COS(RADIANS(Y16))*COS(RADIANS(PARADEROS_VALIDOS!$E$2:$E$68))*COS(RADIANS(PARADEROS_VALIDOS!$F$2:$F$68)-RADIANS(Z16))+SIN(RADIANS(Y16))*SIN(RADIANS(PARADEROS_VALIDOS!$E$2:$E$68))),0))</f>
        <v>Paradero Bayóvar</v>
      </c>
      <c r="AD16" s="2" t="str">
        <f>IFERROR(INDEX(PARADEROS_VALIDOS!$A$2:$A$68,MATCH(AC16,PARADEROS_VALIDOS!$C$2:$C$68,0)),"")</f>
        <v>RUTA 6A</v>
      </c>
      <c r="AE16" s="33" cm="1">
        <f t="array" ref="AE16">ROUND(MIN(6371*ACOS(COS(RADIANS(Y16))*COS(RADIANS(PARADEROS_VALIDOS!$E$2:$E$68))*COS(RADIANS(PARADEROS_VALIDOS!$F$2:$F$68)-RADIANS(Z16))+SIN(RADIANS(Y16))*SIN(RADIANS(PARADEROS_VALIDOS!$E$2:$E$68)))),2)</f>
        <v>1.46</v>
      </c>
      <c r="AF16" s="2" t="str">
        <f t="shared" si="3"/>
        <v>🟡 Cerca (1-3 km)</v>
      </c>
      <c r="AG16" s="2"/>
      <c r="AH16" s="2"/>
      <c r="AI16" s="51">
        <v>-11.997563</v>
      </c>
      <c r="AJ16" s="51">
        <v>-76.900062000000005</v>
      </c>
      <c r="AK16" s="2" t="str">
        <f>IFERROR(VLOOKUP(I16,tdcargo[],2,FALSE),"DESCONOCIDO")</f>
        <v>OPERARIO</v>
      </c>
    </row>
    <row r="17" spans="1:37" x14ac:dyDescent="0.35">
      <c r="A17" s="2" t="s">
        <v>151</v>
      </c>
      <c r="B17" s="2" t="s">
        <v>152</v>
      </c>
      <c r="C17" s="2" t="s">
        <v>153</v>
      </c>
      <c r="D17" s="2" t="s">
        <v>154</v>
      </c>
      <c r="E17" s="2">
        <v>28</v>
      </c>
      <c r="F17" s="2" t="s">
        <v>28</v>
      </c>
      <c r="G17" s="2" t="s">
        <v>29</v>
      </c>
      <c r="H17" s="2">
        <v>20509007</v>
      </c>
      <c r="I17" s="2" t="s">
        <v>155</v>
      </c>
      <c r="J17" s="3">
        <v>45050</v>
      </c>
      <c r="K17" s="2" t="s">
        <v>31</v>
      </c>
      <c r="L17" s="2" t="s">
        <v>156</v>
      </c>
      <c r="M17" s="2" t="s">
        <v>157</v>
      </c>
      <c r="N17" s="2" t="s">
        <v>36</v>
      </c>
      <c r="O17" s="2" t="s">
        <v>158</v>
      </c>
      <c r="P17" s="2" t="s">
        <v>66</v>
      </c>
      <c r="Q17" s="2" t="s">
        <v>159</v>
      </c>
      <c r="R17" s="2">
        <v>15004</v>
      </c>
      <c r="S17" s="2" t="s">
        <v>37</v>
      </c>
      <c r="T17" s="2" t="s">
        <v>37</v>
      </c>
      <c r="U17" s="2" t="s">
        <v>57</v>
      </c>
      <c r="V17" s="3">
        <v>45050</v>
      </c>
      <c r="W17" s="2" t="s">
        <v>48</v>
      </c>
      <c r="X17" s="2" t="str">
        <f t="shared" si="0"/>
        <v>Asoc. Valle Del Mantaro Mz F Lt 5 - Ate Vitarte, U.V. Unidad Vecinal Valle Del Mantaro, Ate, Lima, Lima, Perú</v>
      </c>
      <c r="Y17" s="22">
        <v>-12.0415156</v>
      </c>
      <c r="Z17" s="22">
        <v>-76.921034199999994</v>
      </c>
      <c r="AA17" s="33">
        <f t="shared" si="1"/>
        <v>5.39</v>
      </c>
      <c r="AB17" s="2" t="str">
        <f t="shared" si="2"/>
        <v>🟡 Cerca (5-10 km)</v>
      </c>
      <c r="AC17" s="2" t="str" cm="1">
        <f t="array" ref="AC17">INDEX(PARADEROS_VALIDOS!$C$2:$C$68,MATCH(MIN(6371*ACOS(COS(RADIANS(Y17))*COS(RADIANS(PARADEROS_VALIDOS!$E$2:$E$68))*COS(RADIANS(PARADEROS_VALIDOS!$F$2:$F$68)-RADIANS(Z17))+SIN(RADIANS(Y17))*SIN(RADIANS(PARADEROS_VALIDOS!$E$2:$E$68)))),6371*ACOS(COS(RADIANS(Y17))*COS(RADIANS(PARADEROS_VALIDOS!$E$2:$E$68))*COS(RADIANS(PARADEROS_VALIDOS!$F$2:$F$68)-RADIANS(Z17))+SIN(RADIANS(Y17))*SIN(RADIANS(PARADEROS_VALIDOS!$E$2:$E$68))),0))</f>
        <v>Real Plaza Puruchuco (Grifo Primax)</v>
      </c>
      <c r="AD17" s="2" t="str">
        <f>IFERROR(INDEX(PARADEROS_VALIDOS!$A$2:$A$68,MATCH(AC17,PARADEROS_VALIDOS!$C$2:$C$68,0)),"")</f>
        <v>RUTA 4A</v>
      </c>
      <c r="AE17" s="33" cm="1">
        <f t="array" ref="AE17">ROUND(MIN(6371*ACOS(COS(RADIANS(Y17))*COS(RADIANS(PARADEROS_VALIDOS!$E$2:$E$68))*COS(RADIANS(PARADEROS_VALIDOS!$F$2:$F$68)-RADIANS(Z17))+SIN(RADIANS(Y17))*SIN(RADIANS(PARADEROS_VALIDOS!$E$2:$E$68)))),2)</f>
        <v>1.19</v>
      </c>
      <c r="AF17" s="2" t="str">
        <f t="shared" si="3"/>
        <v>🟡 Cerca (1-3 km)</v>
      </c>
      <c r="AG17" s="2"/>
      <c r="AH17" s="2"/>
      <c r="AI17" s="51">
        <v>-11.997563</v>
      </c>
      <c r="AJ17" s="51">
        <v>-76.900062000000005</v>
      </c>
      <c r="AK17" s="2" t="str">
        <f>IFERROR(VLOOKUP(I17,tdcargo[],2,FALSE),"DESCONOCIDO")</f>
        <v>STAFF</v>
      </c>
    </row>
    <row r="18" spans="1:37" x14ac:dyDescent="0.35">
      <c r="A18" s="2" t="s">
        <v>160</v>
      </c>
      <c r="B18" s="2" t="s">
        <v>161</v>
      </c>
      <c r="C18" s="2" t="s">
        <v>162</v>
      </c>
      <c r="D18" s="2" t="s">
        <v>163</v>
      </c>
      <c r="E18" s="2">
        <v>45</v>
      </c>
      <c r="F18" s="2" t="s">
        <v>28</v>
      </c>
      <c r="G18" s="2" t="s">
        <v>29</v>
      </c>
      <c r="H18" s="2">
        <v>20508848</v>
      </c>
      <c r="I18" s="2" t="s">
        <v>62</v>
      </c>
      <c r="J18" s="3">
        <v>43741</v>
      </c>
      <c r="K18" s="2" t="s">
        <v>31</v>
      </c>
      <c r="L18" s="2" t="s">
        <v>164</v>
      </c>
      <c r="M18" s="2" t="s">
        <v>165</v>
      </c>
      <c r="N18" s="2" t="s">
        <v>36</v>
      </c>
      <c r="O18" s="2" t="s">
        <v>166</v>
      </c>
      <c r="P18" s="2" t="s">
        <v>36</v>
      </c>
      <c r="Q18" s="2" t="s">
        <v>167</v>
      </c>
      <c r="R18" s="2">
        <v>15457</v>
      </c>
      <c r="S18" s="2" t="s">
        <v>37</v>
      </c>
      <c r="T18" s="2" t="s">
        <v>37</v>
      </c>
      <c r="U18" s="2" t="s">
        <v>76</v>
      </c>
      <c r="V18" s="3">
        <v>43741</v>
      </c>
      <c r="W18" s="2" t="s">
        <v>48</v>
      </c>
      <c r="X18" s="2" t="str">
        <f t="shared" si="0"/>
        <v>La Campiña B La Campiña, Lurigancho, Lima, Lima, Perú</v>
      </c>
      <c r="Y18" s="22">
        <v>-12.1762306</v>
      </c>
      <c r="Z18" s="22">
        <v>-76.995987200000002</v>
      </c>
      <c r="AA18" s="33">
        <f t="shared" si="1"/>
        <v>22.44</v>
      </c>
      <c r="AB18" s="2" t="str">
        <f t="shared" si="2"/>
        <v>🔴 Lejos (&gt;20 km)</v>
      </c>
      <c r="AC18" s="2" t="str" cm="1">
        <f t="array" ref="AC18">INDEX(PARADEROS_VALIDOS!$C$2:$C$68,MATCH(MIN(6371*ACOS(COS(RADIANS(Y18))*COS(RADIANS(PARADEROS_VALIDOS!$E$2:$E$68))*COS(RADIANS(PARADEROS_VALIDOS!$F$2:$F$68)-RADIANS(Z18))+SIN(RADIANS(Y18))*SIN(RADIANS(PARADEROS_VALIDOS!$E$2:$E$68)))),6371*ACOS(COS(RADIANS(Y18))*COS(RADIANS(PARADEROS_VALIDOS!$E$2:$E$68))*COS(RADIANS(PARADEROS_VALIDOS!$F$2:$F$68)-RADIANS(Z18))+SIN(RADIANS(Y18))*SIN(RADIANS(PARADEROS_VALIDOS!$E$2:$E$68))),0))</f>
        <v>Puente Alipio</v>
      </c>
      <c r="AD18" s="2" t="str">
        <f>IFERROR(INDEX(PARADEROS_VALIDOS!$A$2:$A$68,MATCH(AC18,PARADEROS_VALIDOS!$C$2:$C$68,0)),"")</f>
        <v>RUTA 7</v>
      </c>
      <c r="AE18" s="33" cm="1">
        <f t="array" ref="AE18">ROUND(MIN(6371*ACOS(COS(RADIANS(Y18))*COS(RADIANS(PARADEROS_VALIDOS!$E$2:$E$68))*COS(RADIANS(PARADEROS_VALIDOS!$F$2:$F$68)-RADIANS(Z18))+SIN(RADIANS(Y18))*SIN(RADIANS(PARADEROS_VALIDOS!$E$2:$E$68)))),2)</f>
        <v>2.0099999999999998</v>
      </c>
      <c r="AF18" s="2" t="str">
        <f t="shared" si="3"/>
        <v>🟡 Cerca (1-3 km)</v>
      </c>
      <c r="AG18" s="2"/>
      <c r="AH18" s="2"/>
      <c r="AI18" s="51">
        <v>-11.997563</v>
      </c>
      <c r="AJ18" s="51">
        <v>-76.900062000000005</v>
      </c>
      <c r="AK18" s="2" t="str">
        <f>IFERROR(VLOOKUP(I18,tdcargo[],2,FALSE),"DESCONOCIDO")</f>
        <v>OPERARIO</v>
      </c>
    </row>
    <row r="19" spans="1:37" x14ac:dyDescent="0.35">
      <c r="A19" s="2" t="s">
        <v>168</v>
      </c>
      <c r="B19" s="2" t="s">
        <v>169</v>
      </c>
      <c r="C19" s="2" t="s">
        <v>170</v>
      </c>
      <c r="D19" s="2" t="s">
        <v>171</v>
      </c>
      <c r="E19" s="2">
        <v>25</v>
      </c>
      <c r="F19" s="2" t="s">
        <v>28</v>
      </c>
      <c r="G19" s="2" t="s">
        <v>29</v>
      </c>
      <c r="H19" s="2">
        <v>20508795</v>
      </c>
      <c r="I19" s="2" t="s">
        <v>30</v>
      </c>
      <c r="J19" s="3">
        <v>45918</v>
      </c>
      <c r="K19" s="2" t="s">
        <v>31</v>
      </c>
      <c r="L19" s="2" t="s">
        <v>100</v>
      </c>
      <c r="M19" s="2" t="s">
        <v>101</v>
      </c>
      <c r="N19" s="2" t="s">
        <v>34</v>
      </c>
      <c r="O19" s="2" t="s">
        <v>166</v>
      </c>
      <c r="P19" s="2" t="s">
        <v>36</v>
      </c>
      <c r="Q19" s="2" t="s">
        <v>166</v>
      </c>
      <c r="R19" s="2">
        <v>15457</v>
      </c>
      <c r="S19" s="2" t="s">
        <v>37</v>
      </c>
      <c r="T19" s="2" t="s">
        <v>37</v>
      </c>
      <c r="U19" s="2" t="s">
        <v>76</v>
      </c>
      <c r="V19" s="3">
        <v>45918</v>
      </c>
      <c r="W19" s="2" t="s">
        <v>39</v>
      </c>
      <c r="X19" s="2" t="str">
        <f t="shared" si="0"/>
        <v>Avenida La Campiña La Campiña, Lurigancho, Lima, Lima, Perú</v>
      </c>
      <c r="Y19" s="22">
        <v>-12.009696699999999</v>
      </c>
      <c r="Z19" s="22">
        <v>-76.905361299999996</v>
      </c>
      <c r="AA19" s="33">
        <f t="shared" si="1"/>
        <v>1.47</v>
      </c>
      <c r="AB19" s="2" t="str">
        <f t="shared" si="2"/>
        <v>🟢 Muy Cerca (0-5 km)</v>
      </c>
      <c r="AC19" s="2" t="str" cm="1">
        <f t="array" ref="AC19">INDEX(PARADEROS_VALIDOS!$C$2:$C$68,MATCH(MIN(6371*ACOS(COS(RADIANS(Y19))*COS(RADIANS(PARADEROS_VALIDOS!$E$2:$E$68))*COS(RADIANS(PARADEROS_VALIDOS!$F$2:$F$68)-RADIANS(Z19))+SIN(RADIANS(Y19))*SIN(RADIANS(PARADEROS_VALIDOS!$E$2:$E$68)))),6371*ACOS(COS(RADIANS(Y19))*COS(RADIANS(PARADEROS_VALIDOS!$E$2:$E$68))*COS(RADIANS(PARADEROS_VALIDOS!$F$2:$F$68)-RADIANS(Z19))+SIN(RADIANS(Y19))*SIN(RADIANS(PARADEROS_VALIDOS!$E$2:$E$68))),0))</f>
        <v>Tottus Huachipa</v>
      </c>
      <c r="AD19" s="2" t="str">
        <f>IFERROR(INDEX(PARADEROS_VALIDOS!$A$2:$A$68,MATCH(AC19,PARADEROS_VALIDOS!$C$2:$C$68,0)),"")</f>
        <v>RUTA 1</v>
      </c>
      <c r="AE19" s="33" cm="1">
        <f t="array" ref="AE19">ROUND(MIN(6371*ACOS(COS(RADIANS(Y19))*COS(RADIANS(PARADEROS_VALIDOS!$E$2:$E$68))*COS(RADIANS(PARADEROS_VALIDOS!$F$2:$F$68)-RADIANS(Z19))+SIN(RADIANS(Y19))*SIN(RADIANS(PARADEROS_VALIDOS!$E$2:$E$68)))),2)</f>
        <v>1.18</v>
      </c>
      <c r="AF19" s="2" t="str">
        <f t="shared" si="3"/>
        <v>🟡 Cerca (1-3 km)</v>
      </c>
      <c r="AG19" s="2"/>
      <c r="AH19" s="2"/>
      <c r="AI19" s="51">
        <v>-11.997563</v>
      </c>
      <c r="AJ19" s="51">
        <v>-76.900062000000005</v>
      </c>
      <c r="AK19" s="2" t="str">
        <f>IFERROR(VLOOKUP(I19,tdcargo[],2,FALSE),"DESCONOCIDO")</f>
        <v>OPERARIO</v>
      </c>
    </row>
    <row r="20" spans="1:37" x14ac:dyDescent="0.35">
      <c r="A20" s="2" t="s">
        <v>172</v>
      </c>
      <c r="B20" s="2" t="s">
        <v>173</v>
      </c>
      <c r="C20" s="2" t="s">
        <v>174</v>
      </c>
      <c r="D20" s="2" t="s">
        <v>175</v>
      </c>
      <c r="E20" s="2">
        <v>42</v>
      </c>
      <c r="F20" s="2" t="s">
        <v>28</v>
      </c>
      <c r="G20" s="2" t="s">
        <v>29</v>
      </c>
      <c r="H20" s="2">
        <v>20515638</v>
      </c>
      <c r="I20" s="2" t="s">
        <v>44</v>
      </c>
      <c r="J20" s="3">
        <v>43153</v>
      </c>
      <c r="K20" s="2" t="s">
        <v>31</v>
      </c>
      <c r="L20" s="2" t="s">
        <v>108</v>
      </c>
      <c r="M20" s="2" t="s">
        <v>109</v>
      </c>
      <c r="N20" s="2" t="s">
        <v>36</v>
      </c>
      <c r="O20" s="2" t="s">
        <v>176</v>
      </c>
      <c r="P20" s="2" t="s">
        <v>177</v>
      </c>
      <c r="Q20" s="2" t="s">
        <v>176</v>
      </c>
      <c r="R20" s="2">
        <v>15401</v>
      </c>
      <c r="S20" s="2" t="s">
        <v>37</v>
      </c>
      <c r="T20" s="2" t="s">
        <v>37</v>
      </c>
      <c r="U20" s="2" t="s">
        <v>38</v>
      </c>
      <c r="V20" s="3">
        <v>43153</v>
      </c>
      <c r="W20" s="2" t="s">
        <v>48</v>
      </c>
      <c r="X20" s="2" t="str">
        <f t="shared" si="0"/>
        <v>Mariscal Caceres Ii Sector Piso 2, C.H. Conjunto Habitacional Mariscal Caceres Ii Sector Piso 2, San Juan De Lurigancho, Lima, Lima, Perú</v>
      </c>
      <c r="Y20" s="22">
        <v>-11.947525199999999</v>
      </c>
      <c r="Z20" s="22">
        <v>-76.980099100000004</v>
      </c>
      <c r="AA20" s="33">
        <f t="shared" si="1"/>
        <v>10.33</v>
      </c>
      <c r="AB20" s="2" t="str">
        <f t="shared" si="2"/>
        <v>🟠 Moderada (10-20 km)</v>
      </c>
      <c r="AC20" s="2" t="str" cm="1">
        <f t="array" ref="AC20">INDEX(PARADEROS_VALIDOS!$C$2:$C$68,MATCH(MIN(6371*ACOS(COS(RADIANS(Y20))*COS(RADIANS(PARADEROS_VALIDOS!$E$2:$E$68))*COS(RADIANS(PARADEROS_VALIDOS!$F$2:$F$68)-RADIANS(Z20))+SIN(RADIANS(Y20))*SIN(RADIANS(PARADEROS_VALIDOS!$E$2:$E$68)))),6371*ACOS(COS(RADIANS(Y20))*COS(RADIANS(PARADEROS_VALIDOS!$E$2:$E$68))*COS(RADIANS(PARADEROS_VALIDOS!$F$2:$F$68)-RADIANS(Z20))+SIN(RADIANS(Y20))*SIN(RADIANS(PARADEROS_VALIDOS!$E$2:$E$68))),0))</f>
        <v>Paradero San Martin</v>
      </c>
      <c r="AD20" s="2" t="str">
        <f>IFERROR(INDEX(PARADEROS_VALIDOS!$A$2:$A$68,MATCH(AC20,PARADEROS_VALIDOS!$C$2:$C$68,0)),"")</f>
        <v>RUTA 6A</v>
      </c>
      <c r="AE20" s="33" cm="1">
        <f t="array" ref="AE20">ROUND(MIN(6371*ACOS(COS(RADIANS(Y20))*COS(RADIANS(PARADEROS_VALIDOS!$E$2:$E$68))*COS(RADIANS(PARADEROS_VALIDOS!$F$2:$F$68)-RADIANS(Z20))+SIN(RADIANS(Y20))*SIN(RADIANS(PARADEROS_VALIDOS!$E$2:$E$68)))),2)</f>
        <v>3.75</v>
      </c>
      <c r="AF20" s="2" t="str">
        <f t="shared" si="3"/>
        <v>🟠 Moderada (3-5 km)</v>
      </c>
      <c r="AG20" s="2"/>
      <c r="AH20" s="2"/>
      <c r="AI20" s="51">
        <v>-11.997563</v>
      </c>
      <c r="AJ20" s="51">
        <v>-76.900062000000005</v>
      </c>
      <c r="AK20" s="2" t="str">
        <f>IFERROR(VLOOKUP(I20,tdcargo[],2,FALSE),"DESCONOCIDO")</f>
        <v>OPERARIO</v>
      </c>
    </row>
    <row r="21" spans="1:37" x14ac:dyDescent="0.35">
      <c r="A21" s="2" t="s">
        <v>178</v>
      </c>
      <c r="B21" s="2" t="s">
        <v>179</v>
      </c>
      <c r="C21" s="2" t="s">
        <v>180</v>
      </c>
      <c r="D21" s="2" t="s">
        <v>181</v>
      </c>
      <c r="E21" s="2">
        <v>33</v>
      </c>
      <c r="F21" s="2" t="s">
        <v>28</v>
      </c>
      <c r="G21" s="2" t="s">
        <v>29</v>
      </c>
      <c r="H21" s="2">
        <v>20509000</v>
      </c>
      <c r="I21" s="2" t="s">
        <v>182</v>
      </c>
      <c r="J21" s="3">
        <v>44105</v>
      </c>
      <c r="K21" s="2" t="s">
        <v>31</v>
      </c>
      <c r="L21" s="2" t="s">
        <v>183</v>
      </c>
      <c r="M21" s="2" t="s">
        <v>184</v>
      </c>
      <c r="N21" s="2" t="s">
        <v>34</v>
      </c>
      <c r="O21" s="2" t="s">
        <v>185</v>
      </c>
      <c r="P21" s="2" t="s">
        <v>186</v>
      </c>
      <c r="Q21" s="2" t="s">
        <v>187</v>
      </c>
      <c r="R21" s="2">
        <v>15018</v>
      </c>
      <c r="S21" s="2" t="s">
        <v>37</v>
      </c>
      <c r="T21" s="2" t="s">
        <v>37</v>
      </c>
      <c r="U21" s="2" t="s">
        <v>188</v>
      </c>
      <c r="V21" s="3">
        <v>45907</v>
      </c>
      <c r="W21" s="2" t="s">
        <v>178</v>
      </c>
      <c r="X21" s="2" t="str">
        <f t="shared" si="0"/>
        <v>Avenida Javier Prado Este, Urb. Urbanización Santa Catalina, La Victoria, Lima, Lima, Perú</v>
      </c>
      <c r="Y21" s="22">
        <v>-12.089760800000001</v>
      </c>
      <c r="Z21" s="22">
        <v>-77.015920300000005</v>
      </c>
      <c r="AA21" s="33">
        <f t="shared" si="1"/>
        <v>16.239999999999998</v>
      </c>
      <c r="AB21" s="2" t="str">
        <f t="shared" si="2"/>
        <v>🟠 Moderada (10-20 km)</v>
      </c>
      <c r="AC21" s="2" t="str" cm="1">
        <f t="array" ref="AC21">INDEX(PARADEROS_VALIDOS!$C$2:$C$68,MATCH(MIN(6371*ACOS(COS(RADIANS(Y21))*COS(RADIANS(PARADEROS_VALIDOS!$E$2:$E$68))*COS(RADIANS(PARADEROS_VALIDOS!$F$2:$F$68)-RADIANS(Z21))+SIN(RADIANS(Y21))*SIN(RADIANS(PARADEROS_VALIDOS!$E$2:$E$68)))),6371*ACOS(COS(RADIANS(Y21))*COS(RADIANS(PARADEROS_VALIDOS!$E$2:$E$68))*COS(RADIANS(PARADEROS_VALIDOS!$F$2:$F$68)-RADIANS(Z21))+SIN(RADIANS(Y21))*SIN(RADIANS(PARADEROS_VALIDOS!$E$2:$E$68))),0))</f>
        <v>Paradero Berlín con Javier prado (cruzando el semáforo) aplica solo al ingreso.</v>
      </c>
      <c r="AD21" s="2" t="str">
        <f>IFERROR(INDEX(PARADEROS_VALIDOS!$A$2:$A$68,MATCH(AC21,PARADEROS_VALIDOS!$C$2:$C$68,0)),"")</f>
        <v>RUTA 4A</v>
      </c>
      <c r="AE21" s="33" cm="1">
        <f t="array" ref="AE21">ROUND(MIN(6371*ACOS(COS(RADIANS(Y21))*COS(RADIANS(PARADEROS_VALIDOS!$E$2:$E$68))*COS(RADIANS(PARADEROS_VALIDOS!$F$2:$F$68)-RADIANS(Z21))+SIN(RADIANS(Y21))*SIN(RADIANS(PARADEROS_VALIDOS!$E$2:$E$68)))),2)</f>
        <v>0.16</v>
      </c>
      <c r="AF21" s="2" t="str">
        <f t="shared" si="3"/>
        <v>🟢 Muy Cerca (0-1 km)</v>
      </c>
      <c r="AG21" s="2"/>
      <c r="AH21" s="2"/>
      <c r="AI21" s="51">
        <v>-11.997563</v>
      </c>
      <c r="AJ21" s="51">
        <v>-76.900062000000005</v>
      </c>
      <c r="AK21" s="2" t="str">
        <f>IFERROR(VLOOKUP(I21,tdcargo[],2,FALSE),"DESCONOCIDO")</f>
        <v>STAFF</v>
      </c>
    </row>
    <row r="22" spans="1:37" x14ac:dyDescent="0.35">
      <c r="A22" s="2" t="s">
        <v>189</v>
      </c>
      <c r="B22" s="2" t="s">
        <v>190</v>
      </c>
      <c r="C22" s="2" t="s">
        <v>191</v>
      </c>
      <c r="D22" s="2" t="s">
        <v>192</v>
      </c>
      <c r="E22" s="2">
        <v>21</v>
      </c>
      <c r="F22" s="2" t="s">
        <v>28</v>
      </c>
      <c r="G22" s="2" t="s">
        <v>29</v>
      </c>
      <c r="H22" s="2">
        <v>20514490</v>
      </c>
      <c r="I22" s="2" t="s">
        <v>30</v>
      </c>
      <c r="J22" s="3">
        <v>46055</v>
      </c>
      <c r="K22" s="2" t="s">
        <v>31</v>
      </c>
      <c r="L22" s="2" t="s">
        <v>132</v>
      </c>
      <c r="M22" s="2" t="s">
        <v>133</v>
      </c>
      <c r="N22" s="2" t="s">
        <v>82</v>
      </c>
      <c r="O22" s="2" t="s">
        <v>193</v>
      </c>
      <c r="P22" s="2" t="s">
        <v>36</v>
      </c>
      <c r="Q22" s="2" t="s">
        <v>194</v>
      </c>
      <c r="R22" s="2">
        <v>15510</v>
      </c>
      <c r="S22" s="2" t="s">
        <v>37</v>
      </c>
      <c r="T22" s="2" t="s">
        <v>195</v>
      </c>
      <c r="U22" s="2" t="s">
        <v>196</v>
      </c>
      <c r="V22" s="3">
        <v>46055</v>
      </c>
      <c r="W22" s="2" t="s">
        <v>135</v>
      </c>
      <c r="X22" s="2" t="str">
        <f t="shared" si="0"/>
        <v>Calle Jicamarca Anexo 8 JICAMARCA. ANEXO 8, San Antonio, Huarochiri, Lima, Perú</v>
      </c>
      <c r="Y22" s="22">
        <v>-11.8289311</v>
      </c>
      <c r="Z22" s="22">
        <v>-76.802893299999994</v>
      </c>
      <c r="AA22" s="33">
        <f t="shared" si="1"/>
        <v>21.53</v>
      </c>
      <c r="AB22" s="2" t="str">
        <f t="shared" si="2"/>
        <v>🔴 Lejos (&gt;20 km)</v>
      </c>
      <c r="AC22" s="2" t="str" cm="1">
        <f t="array" ref="AC22">INDEX(PARADEROS_VALIDOS!$C$2:$C$68,MATCH(MIN(6371*ACOS(COS(RADIANS(Y22))*COS(RADIANS(PARADEROS_VALIDOS!$E$2:$E$68))*COS(RADIANS(PARADEROS_VALIDOS!$F$2:$F$68)-RADIANS(Z22))+SIN(RADIANS(Y22))*SIN(RADIANS(PARADEROS_VALIDOS!$E$2:$E$68)))),6371*ACOS(COS(RADIANS(Y22))*COS(RADIANS(PARADEROS_VALIDOS!$E$2:$E$68))*COS(RADIANS(PARADEROS_VALIDOS!$F$2:$F$68)-RADIANS(Z22))+SIN(RADIANS(Y22))*SIN(RADIANS(PARADEROS_VALIDOS!$E$2:$E$68))),0))</f>
        <v>Paradero Girasoles - Chaclacayo</v>
      </c>
      <c r="AD22" s="2" t="str">
        <f>IFERROR(INDEX(PARADEROS_VALIDOS!$A$2:$A$68,MATCH(AC22,PARADEROS_VALIDOS!$C$2:$C$68,0)),"")</f>
        <v>RUTA 5A</v>
      </c>
      <c r="AE22" s="33" cm="1">
        <f t="array" ref="AE22">ROUND(MIN(6371*ACOS(COS(RADIANS(Y22))*COS(RADIANS(PARADEROS_VALIDOS!$E$2:$E$68))*COS(RADIANS(PARADEROS_VALIDOS!$F$2:$F$68)-RADIANS(Z22))+SIN(RADIANS(Y22))*SIN(RADIANS(PARADEROS_VALIDOS!$E$2:$E$68)))),2)</f>
        <v>16.739999999999998</v>
      </c>
      <c r="AF22" s="2" t="str">
        <f t="shared" si="3"/>
        <v>🔴 Lejos (&gt;5 km)</v>
      </c>
      <c r="AG22" s="2"/>
      <c r="AH22" s="2"/>
      <c r="AI22" s="51">
        <v>-11.997563</v>
      </c>
      <c r="AJ22" s="51">
        <v>-76.900062000000005</v>
      </c>
      <c r="AK22" s="2" t="str">
        <f>IFERROR(VLOOKUP(I22,tdcargo[],2,FALSE),"DESCONOCIDO")</f>
        <v>OPERARIO</v>
      </c>
    </row>
    <row r="23" spans="1:37" x14ac:dyDescent="0.35">
      <c r="A23" s="2" t="s">
        <v>197</v>
      </c>
      <c r="B23" s="2" t="s">
        <v>198</v>
      </c>
      <c r="C23" s="2" t="s">
        <v>199</v>
      </c>
      <c r="D23" s="2" t="s">
        <v>200</v>
      </c>
      <c r="E23" s="2">
        <v>30</v>
      </c>
      <c r="F23" s="2" t="s">
        <v>28</v>
      </c>
      <c r="G23" s="2" t="s">
        <v>29</v>
      </c>
      <c r="H23" s="2">
        <v>20509029</v>
      </c>
      <c r="I23" s="2" t="s">
        <v>62</v>
      </c>
      <c r="J23" s="3">
        <v>43197</v>
      </c>
      <c r="K23" s="2" t="s">
        <v>31</v>
      </c>
      <c r="L23" s="2" t="s">
        <v>146</v>
      </c>
      <c r="M23" s="2" t="s">
        <v>147</v>
      </c>
      <c r="N23" s="2" t="s">
        <v>82</v>
      </c>
      <c r="O23" s="2" t="s">
        <v>201</v>
      </c>
      <c r="P23" s="2" t="s">
        <v>36</v>
      </c>
      <c r="Q23" s="2" t="s">
        <v>202</v>
      </c>
      <c r="R23" s="2">
        <v>15593</v>
      </c>
      <c r="S23" s="2" t="s">
        <v>37</v>
      </c>
      <c r="T23" s="2" t="s">
        <v>37</v>
      </c>
      <c r="U23" s="2" t="s">
        <v>203</v>
      </c>
      <c r="V23" s="3">
        <v>43197</v>
      </c>
      <c r="W23" s="2" t="s">
        <v>48</v>
      </c>
      <c r="X23" s="2" t="str">
        <f t="shared" si="0"/>
        <v>Calle 36 F4 10C C.P.R.H Manchay|S L, Pachacamac, Lima, Lima, Perú</v>
      </c>
      <c r="Y23" s="22">
        <v>-12.1010765</v>
      </c>
      <c r="Z23" s="22">
        <v>-76.876239799999993</v>
      </c>
      <c r="AA23" s="33">
        <f t="shared" si="1"/>
        <v>11.8</v>
      </c>
      <c r="AB23" s="2" t="str">
        <f t="shared" si="2"/>
        <v>🟠 Moderada (10-20 km)</v>
      </c>
      <c r="AC23" s="2" t="str" cm="1">
        <f t="array" ref="AC23">INDEX(PARADEROS_VALIDOS!$C$2:$C$68,MATCH(MIN(6371*ACOS(COS(RADIANS(Y23))*COS(RADIANS(PARADEROS_VALIDOS!$E$2:$E$68))*COS(RADIANS(PARADEROS_VALIDOS!$F$2:$F$68)-RADIANS(Z23))+SIN(RADIANS(Y23))*SIN(RADIANS(PARADEROS_VALIDOS!$E$2:$E$68)))),6371*ACOS(COS(RADIANS(Y23))*COS(RADIANS(PARADEROS_VALIDOS!$E$2:$E$68))*COS(RADIANS(PARADEROS_VALIDOS!$F$2:$F$68)-RADIANS(Z23))+SIN(RADIANS(Y23))*SIN(RADIANS(PARADEROS_VALIDOS!$E$2:$E$68))),0))</f>
        <v>Paradero Paraíso</v>
      </c>
      <c r="AD23" s="2" t="str">
        <f>IFERROR(INDEX(PARADEROS_VALIDOS!$A$2:$A$68,MATCH(AC23,PARADEROS_VALIDOS!$C$2:$C$68,0)),"")</f>
        <v>RUTA 2</v>
      </c>
      <c r="AE23" s="33" cm="1">
        <f t="array" ref="AE23">ROUND(MIN(6371*ACOS(COS(RADIANS(Y23))*COS(RADIANS(PARADEROS_VALIDOS!$E$2:$E$68))*COS(RADIANS(PARADEROS_VALIDOS!$F$2:$F$68)-RADIANS(Z23))+SIN(RADIANS(Y23))*SIN(RADIANS(PARADEROS_VALIDOS!$E$2:$E$68)))),2)</f>
        <v>4.3099999999999996</v>
      </c>
      <c r="AF23" s="2" t="str">
        <f t="shared" si="3"/>
        <v>🟠 Moderada (3-5 km)</v>
      </c>
      <c r="AG23" s="2"/>
      <c r="AH23" s="2"/>
      <c r="AI23" s="51">
        <v>-11.997563</v>
      </c>
      <c r="AJ23" s="51">
        <v>-76.900062000000005</v>
      </c>
      <c r="AK23" s="2" t="str">
        <f>IFERROR(VLOOKUP(I23,tdcargo[],2,FALSE),"DESCONOCIDO")</f>
        <v>OPERARIO</v>
      </c>
    </row>
    <row r="24" spans="1:37" x14ac:dyDescent="0.35">
      <c r="A24" s="2" t="s">
        <v>204</v>
      </c>
      <c r="B24" s="2" t="s">
        <v>205</v>
      </c>
      <c r="C24" s="2" t="s">
        <v>206</v>
      </c>
      <c r="D24" s="2" t="s">
        <v>207</v>
      </c>
      <c r="E24" s="2">
        <v>43</v>
      </c>
      <c r="F24" s="2" t="s">
        <v>28</v>
      </c>
      <c r="G24" s="2" t="s">
        <v>29</v>
      </c>
      <c r="H24" s="2">
        <v>20508905</v>
      </c>
      <c r="I24" s="2" t="s">
        <v>30</v>
      </c>
      <c r="J24" s="3">
        <v>45748</v>
      </c>
      <c r="K24" s="2" t="s">
        <v>31</v>
      </c>
      <c r="L24" s="2" t="s">
        <v>132</v>
      </c>
      <c r="M24" s="2" t="s">
        <v>133</v>
      </c>
      <c r="N24" s="2" t="s">
        <v>36</v>
      </c>
      <c r="O24" s="2" t="s">
        <v>208</v>
      </c>
      <c r="P24" s="2" t="s">
        <v>36</v>
      </c>
      <c r="Q24" s="2" t="s">
        <v>209</v>
      </c>
      <c r="R24" s="2">
        <v>15101</v>
      </c>
      <c r="S24" s="2" t="s">
        <v>37</v>
      </c>
      <c r="T24" s="2" t="s">
        <v>37</v>
      </c>
      <c r="U24" s="2" t="s">
        <v>210</v>
      </c>
      <c r="V24" s="3">
        <v>45748</v>
      </c>
      <c r="W24" s="2" t="s">
        <v>77</v>
      </c>
      <c r="X24" s="2" t="str">
        <f t="shared" si="0"/>
        <v>La Florida Peru, San Martin De Porres, Lima, Lima, Perú</v>
      </c>
      <c r="Y24" s="22">
        <v>-11.9911298</v>
      </c>
      <c r="Z24" s="22">
        <v>-77.098534000000001</v>
      </c>
      <c r="AA24" s="33">
        <f t="shared" si="1"/>
        <v>21.6</v>
      </c>
      <c r="AB24" s="2" t="str">
        <f t="shared" si="2"/>
        <v>🔴 Lejos (&gt;20 km)</v>
      </c>
      <c r="AC24" s="2" t="str" cm="1">
        <f t="array" ref="AC24">INDEX(PARADEROS_VALIDOS!$C$2:$C$68,MATCH(MIN(6371*ACOS(COS(RADIANS(Y24))*COS(RADIANS(PARADEROS_VALIDOS!$E$2:$E$68))*COS(RADIANS(PARADEROS_VALIDOS!$F$2:$F$68)-RADIANS(Z24))+SIN(RADIANS(Y24))*SIN(RADIANS(PARADEROS_VALIDOS!$E$2:$E$68)))),6371*ACOS(COS(RADIANS(Y24))*COS(RADIANS(PARADEROS_VALIDOS!$E$2:$E$68))*COS(RADIANS(PARADEROS_VALIDOS!$F$2:$F$68)-RADIANS(Z24))+SIN(RADIANS(Y24))*SIN(RADIANS(PARADEROS_VALIDOS!$E$2:$E$68))),0))</f>
        <v>Paradero panadería/Av. Universitaria</v>
      </c>
      <c r="AD24" s="2" t="str">
        <f>IFERROR(INDEX(PARADEROS_VALIDOS!$A$2:$A$68,MATCH(AC24,PARADEROS_VALIDOS!$C$2:$C$68,0)),"")</f>
        <v>RUTA 9</v>
      </c>
      <c r="AE24" s="33" cm="1">
        <f t="array" ref="AE24">ROUND(MIN(6371*ACOS(COS(RADIANS(Y24))*COS(RADIANS(PARADEROS_VALIDOS!$E$2:$E$68))*COS(RADIANS(PARADEROS_VALIDOS!$F$2:$F$68)-RADIANS(Z24))+SIN(RADIANS(Y24))*SIN(RADIANS(PARADEROS_VALIDOS!$E$2:$E$68)))),2)</f>
        <v>1.46</v>
      </c>
      <c r="AF24" s="2" t="str">
        <f t="shared" si="3"/>
        <v>🟡 Cerca (1-3 km)</v>
      </c>
      <c r="AG24" s="2"/>
      <c r="AH24" s="2"/>
      <c r="AI24" s="51">
        <v>-11.997563</v>
      </c>
      <c r="AJ24" s="51">
        <v>-76.900062000000005</v>
      </c>
      <c r="AK24" s="2" t="str">
        <f>IFERROR(VLOOKUP(I24,tdcargo[],2,FALSE),"DESCONOCIDO")</f>
        <v>OPERARIO</v>
      </c>
    </row>
    <row r="25" spans="1:37" x14ac:dyDescent="0.35">
      <c r="A25" s="2" t="s">
        <v>211</v>
      </c>
      <c r="B25" s="2" t="s">
        <v>212</v>
      </c>
      <c r="C25" s="2" t="s">
        <v>213</v>
      </c>
      <c r="D25" s="2" t="s">
        <v>214</v>
      </c>
      <c r="E25" s="2">
        <v>20</v>
      </c>
      <c r="F25" s="2" t="s">
        <v>28</v>
      </c>
      <c r="G25" s="2" t="s">
        <v>29</v>
      </c>
      <c r="H25" s="2">
        <v>20508927</v>
      </c>
      <c r="I25" s="2" t="s">
        <v>30</v>
      </c>
      <c r="J25" s="3">
        <v>45754</v>
      </c>
      <c r="K25" s="2" t="s">
        <v>31</v>
      </c>
      <c r="L25" s="2" t="s">
        <v>132</v>
      </c>
      <c r="M25" s="2" t="s">
        <v>133</v>
      </c>
      <c r="N25" s="2" t="s">
        <v>36</v>
      </c>
      <c r="O25" s="2" t="s">
        <v>215</v>
      </c>
      <c r="P25" s="2" t="s">
        <v>36</v>
      </c>
      <c r="Q25" s="2" t="s">
        <v>216</v>
      </c>
      <c r="R25" s="2">
        <v>15001</v>
      </c>
      <c r="S25" s="2" t="s">
        <v>37</v>
      </c>
      <c r="T25" s="2" t="s">
        <v>37</v>
      </c>
      <c r="U25" s="2" t="s">
        <v>37</v>
      </c>
      <c r="V25" s="3">
        <v>45754</v>
      </c>
      <c r="W25" s="2" t="s">
        <v>77</v>
      </c>
      <c r="X25" s="2" t="str">
        <f t="shared" si="0"/>
        <v>Jr Los Ceresos Tayacaja, Lima, Lima, Lima, Perú</v>
      </c>
      <c r="Y25" s="22">
        <v>-12.068993900000001</v>
      </c>
      <c r="Z25" s="22">
        <v>-76.961960899999994</v>
      </c>
      <c r="AA25" s="33">
        <f t="shared" si="1"/>
        <v>10.41</v>
      </c>
      <c r="AB25" s="2" t="str">
        <f t="shared" si="2"/>
        <v>🟠 Moderada (10-20 km)</v>
      </c>
      <c r="AC25" s="2" t="str" cm="1">
        <f t="array" ref="AC25">INDEX(PARADEROS_VALIDOS!$C$2:$C$68,MATCH(MIN(6371*ACOS(COS(RADIANS(Y25))*COS(RADIANS(PARADEROS_VALIDOS!$E$2:$E$68))*COS(RADIANS(PARADEROS_VALIDOS!$F$2:$F$68)-RADIANS(Z25))+SIN(RADIANS(Y25))*SIN(RADIANS(PARADEROS_VALIDOS!$E$2:$E$68)))),6371*ACOS(COS(RADIANS(Y25))*COS(RADIANS(PARADEROS_VALIDOS!$E$2:$E$68))*COS(RADIANS(PARADEROS_VALIDOS!$F$2:$F$68)-RADIANS(Z25))+SIN(RADIANS(Y25))*SIN(RADIANS(PARADEROS_VALIDOS!$E$2:$E$68))),0))</f>
        <v>Puente Santa Anita</v>
      </c>
      <c r="AD25" s="2" t="str">
        <f>IFERROR(INDEX(PARADEROS_VALIDOS!$A$2:$A$68,MATCH(AC25,PARADEROS_VALIDOS!$C$2:$C$68,0)),"")</f>
        <v>RUTA 7</v>
      </c>
      <c r="AE25" s="33" cm="1">
        <f t="array" ref="AE25">ROUND(MIN(6371*ACOS(COS(RADIANS(Y25))*COS(RADIANS(PARADEROS_VALIDOS!$E$2:$E$68))*COS(RADIANS(PARADEROS_VALIDOS!$F$2:$F$68)-RADIANS(Z25))+SIN(RADIANS(Y25))*SIN(RADIANS(PARADEROS_VALIDOS!$E$2:$E$68)))),2)</f>
        <v>1.79</v>
      </c>
      <c r="AF25" s="2" t="str">
        <f t="shared" si="3"/>
        <v>🟡 Cerca (1-3 km)</v>
      </c>
      <c r="AG25" s="2"/>
      <c r="AH25" s="2"/>
      <c r="AI25" s="51">
        <v>-11.997563</v>
      </c>
      <c r="AJ25" s="51">
        <v>-76.900062000000005</v>
      </c>
      <c r="AK25" s="2" t="str">
        <f>IFERROR(VLOOKUP(I25,tdcargo[],2,FALSE),"DESCONOCIDO")</f>
        <v>OPERARIO</v>
      </c>
    </row>
    <row r="26" spans="1:37" x14ac:dyDescent="0.35">
      <c r="A26" s="2" t="s">
        <v>217</v>
      </c>
      <c r="B26" s="2" t="s">
        <v>218</v>
      </c>
      <c r="C26" s="2" t="s">
        <v>80</v>
      </c>
      <c r="D26" s="2" t="s">
        <v>219</v>
      </c>
      <c r="E26" s="2">
        <v>39</v>
      </c>
      <c r="F26" s="2" t="s">
        <v>28</v>
      </c>
      <c r="G26" s="2" t="s">
        <v>29</v>
      </c>
      <c r="H26" s="2">
        <v>20508967</v>
      </c>
      <c r="I26" s="2" t="s">
        <v>30</v>
      </c>
      <c r="J26" s="3">
        <v>45537</v>
      </c>
      <c r="K26" s="2" t="s">
        <v>31</v>
      </c>
      <c r="L26" s="2" t="s">
        <v>132</v>
      </c>
      <c r="M26" s="2" t="s">
        <v>133</v>
      </c>
      <c r="N26" s="2" t="s">
        <v>82</v>
      </c>
      <c r="O26" s="2" t="s">
        <v>220</v>
      </c>
      <c r="P26" s="2" t="s">
        <v>36</v>
      </c>
      <c r="Q26" s="2" t="s">
        <v>221</v>
      </c>
      <c r="R26" s="2">
        <v>15457</v>
      </c>
      <c r="S26" s="2" t="s">
        <v>37</v>
      </c>
      <c r="T26" s="2" t="s">
        <v>37</v>
      </c>
      <c r="U26" s="2" t="s">
        <v>76</v>
      </c>
      <c r="V26" s="3">
        <v>45537</v>
      </c>
      <c r="W26" s="2" t="s">
        <v>48</v>
      </c>
      <c r="X26" s="2" t="str">
        <f t="shared" si="0"/>
        <v>Calle Santa Cruz De Cajamarquilla Libertadores Los G -12-A.H Santa Cruz, Lurigancho, Lima, Lima, Perú</v>
      </c>
      <c r="Y26" s="22">
        <v>-11.9810269</v>
      </c>
      <c r="Z26" s="22">
        <v>-76.910819900000007</v>
      </c>
      <c r="AA26" s="33">
        <f t="shared" si="1"/>
        <v>2.1800000000000002</v>
      </c>
      <c r="AB26" s="2" t="str">
        <f t="shared" si="2"/>
        <v>🟢 Muy Cerca (0-5 km)</v>
      </c>
      <c r="AC26" s="2" t="str" cm="1">
        <f t="array" ref="AC26">INDEX(PARADEROS_VALIDOS!$C$2:$C$68,MATCH(MIN(6371*ACOS(COS(RADIANS(Y26))*COS(RADIANS(PARADEROS_VALIDOS!$E$2:$E$68))*COS(RADIANS(PARADEROS_VALIDOS!$F$2:$F$68)-RADIANS(Z26))+SIN(RADIANS(Y26))*SIN(RADIANS(PARADEROS_VALIDOS!$E$2:$E$68)))),6371*ACOS(COS(RADIANS(Y26))*COS(RADIANS(PARADEROS_VALIDOS!$E$2:$E$68))*COS(RADIANS(PARADEROS_VALIDOS!$F$2:$F$68)-RADIANS(Z26))+SIN(RADIANS(Y26))*SIN(RADIANS(PARADEROS_VALIDOS!$E$2:$E$68))),0))</f>
        <v>Paradero Arco San Antonio</v>
      </c>
      <c r="AD26" s="2" t="str">
        <f>IFERROR(INDEX(PARADEROS_VALIDOS!$A$2:$A$68,MATCH(AC26,PARADEROS_VALIDOS!$C$2:$C$68,0)),"")</f>
        <v>RUTA 2</v>
      </c>
      <c r="AE26" s="33" cm="1">
        <f t="array" ref="AE26">ROUND(MIN(6371*ACOS(COS(RADIANS(Y26))*COS(RADIANS(PARADEROS_VALIDOS!$E$2:$E$68))*COS(RADIANS(PARADEROS_VALIDOS!$F$2:$F$68)-RADIANS(Z26))+SIN(RADIANS(Y26))*SIN(RADIANS(PARADEROS_VALIDOS!$E$2:$E$68)))),2)</f>
        <v>1.62</v>
      </c>
      <c r="AF26" s="2" t="str">
        <f t="shared" si="3"/>
        <v>🟡 Cerca (1-3 km)</v>
      </c>
      <c r="AG26" s="2"/>
      <c r="AH26" s="2"/>
      <c r="AI26" s="51">
        <v>-11.997563</v>
      </c>
      <c r="AJ26" s="51">
        <v>-76.900062000000005</v>
      </c>
      <c r="AK26" s="2" t="str">
        <f>IFERROR(VLOOKUP(I26,tdcargo[],2,FALSE),"DESCONOCIDO")</f>
        <v>OPERARIO</v>
      </c>
    </row>
    <row r="27" spans="1:37" x14ac:dyDescent="0.35">
      <c r="A27" s="2" t="s">
        <v>222</v>
      </c>
      <c r="B27" s="2" t="s">
        <v>223</v>
      </c>
      <c r="C27" s="2" t="s">
        <v>224</v>
      </c>
      <c r="D27" s="2" t="s">
        <v>225</v>
      </c>
      <c r="E27" s="2">
        <v>34</v>
      </c>
      <c r="F27" s="2" t="s">
        <v>28</v>
      </c>
      <c r="G27" s="2" t="s">
        <v>29</v>
      </c>
      <c r="H27" s="2">
        <v>20511570</v>
      </c>
      <c r="I27" s="2" t="s">
        <v>30</v>
      </c>
      <c r="J27" s="3">
        <v>45748</v>
      </c>
      <c r="K27" s="2" t="s">
        <v>31</v>
      </c>
      <c r="L27" s="2" t="s">
        <v>132</v>
      </c>
      <c r="M27" s="2" t="s">
        <v>133</v>
      </c>
      <c r="N27" s="2" t="s">
        <v>36</v>
      </c>
      <c r="O27" s="2" t="s">
        <v>226</v>
      </c>
      <c r="P27" s="2" t="s">
        <v>36</v>
      </c>
      <c r="Q27" s="2" t="s">
        <v>227</v>
      </c>
      <c r="R27" s="2">
        <v>15457</v>
      </c>
      <c r="S27" s="2" t="s">
        <v>37</v>
      </c>
      <c r="T27" s="2" t="s">
        <v>37</v>
      </c>
      <c r="U27" s="2" t="s">
        <v>76</v>
      </c>
      <c r="V27" s="3">
        <v>45748</v>
      </c>
      <c r="W27" s="2" t="s">
        <v>77</v>
      </c>
      <c r="X27" s="2" t="str">
        <f t="shared" si="0"/>
        <v>Asoc.Las Flores De Nieveria Huachipa, Lurigancho, Lima, Lima, Perú</v>
      </c>
      <c r="Y27" s="22">
        <v>-11.9852966</v>
      </c>
      <c r="Z27" s="22">
        <v>-76.925593500000005</v>
      </c>
      <c r="AA27" s="33">
        <f t="shared" si="1"/>
        <v>3.09</v>
      </c>
      <c r="AB27" s="2" t="str">
        <f t="shared" si="2"/>
        <v>🟢 Muy Cerca (0-5 km)</v>
      </c>
      <c r="AC27" s="2" t="str" cm="1">
        <f t="array" ref="AC27">INDEX(PARADEROS_VALIDOS!$C$2:$C$68,MATCH(MIN(6371*ACOS(COS(RADIANS(Y27))*COS(RADIANS(PARADEROS_VALIDOS!$E$2:$E$68))*COS(RADIANS(PARADEROS_VALIDOS!$F$2:$F$68)-RADIANS(Z27))+SIN(RADIANS(Y27))*SIN(RADIANS(PARADEROS_VALIDOS!$E$2:$E$68)))),6371*ACOS(COS(RADIANS(Y27))*COS(RADIANS(PARADEROS_VALIDOS!$E$2:$E$68))*COS(RADIANS(PARADEROS_VALIDOS!$F$2:$F$68)-RADIANS(Z27))+SIN(RADIANS(Y27))*SIN(RADIANS(PARADEROS_VALIDOS!$E$2:$E$68))),0))</f>
        <v>Paradero Arco San Antonio</v>
      </c>
      <c r="AD27" s="2" t="str">
        <f>IFERROR(INDEX(PARADEROS_VALIDOS!$A$2:$A$68,MATCH(AC27,PARADEROS_VALIDOS!$C$2:$C$68,0)),"")</f>
        <v>RUTA 2</v>
      </c>
      <c r="AE27" s="33" cm="1">
        <f t="array" ref="AE27">ROUND(MIN(6371*ACOS(COS(RADIANS(Y27))*COS(RADIANS(PARADEROS_VALIDOS!$E$2:$E$68))*COS(RADIANS(PARADEROS_VALIDOS!$F$2:$F$68)-RADIANS(Z27))+SIN(RADIANS(Y27))*SIN(RADIANS(PARADEROS_VALIDOS!$E$2:$E$68)))),2)</f>
        <v>2.61</v>
      </c>
      <c r="AF27" s="2" t="str">
        <f t="shared" si="3"/>
        <v>🟡 Cerca (1-3 km)</v>
      </c>
      <c r="AG27" s="2"/>
      <c r="AH27" s="2"/>
      <c r="AI27" s="51">
        <v>-11.997563</v>
      </c>
      <c r="AJ27" s="51">
        <v>-76.900062000000005</v>
      </c>
      <c r="AK27" s="2" t="str">
        <f>IFERROR(VLOOKUP(I27,tdcargo[],2,FALSE),"DESCONOCIDO")</f>
        <v>OPERARIO</v>
      </c>
    </row>
    <row r="28" spans="1:37" x14ac:dyDescent="0.35">
      <c r="A28" s="2" t="s">
        <v>228</v>
      </c>
      <c r="B28" s="2" t="s">
        <v>229</v>
      </c>
      <c r="C28" s="2" t="s">
        <v>230</v>
      </c>
      <c r="D28" s="2" t="s">
        <v>99</v>
      </c>
      <c r="E28" s="2">
        <v>24</v>
      </c>
      <c r="F28" s="2" t="s">
        <v>28</v>
      </c>
      <c r="G28" s="2" t="s">
        <v>29</v>
      </c>
      <c r="H28" s="2">
        <v>20508735</v>
      </c>
      <c r="I28" s="2" t="s">
        <v>62</v>
      </c>
      <c r="J28" s="3">
        <v>44480</v>
      </c>
      <c r="K28" s="2" t="s">
        <v>31</v>
      </c>
      <c r="L28" s="2" t="s">
        <v>72</v>
      </c>
      <c r="M28" s="2" t="s">
        <v>73</v>
      </c>
      <c r="N28" s="2" t="s">
        <v>36</v>
      </c>
      <c r="O28" s="2" t="s">
        <v>231</v>
      </c>
      <c r="P28" s="2" t="s">
        <v>88</v>
      </c>
      <c r="Q28" s="2" t="s">
        <v>232</v>
      </c>
      <c r="R28" s="2">
        <v>15457</v>
      </c>
      <c r="S28" s="2" t="s">
        <v>37</v>
      </c>
      <c r="T28" s="2" t="s">
        <v>37</v>
      </c>
      <c r="U28" s="2" t="s">
        <v>76</v>
      </c>
      <c r="V28" s="3">
        <v>44480</v>
      </c>
      <c r="W28" s="2" t="s">
        <v>48</v>
      </c>
      <c r="X28" s="2" t="str">
        <f t="shared" si="0"/>
        <v>Calle Las Casuarinas, A.H. Asentamiento Humano Cerro San Martin De Porres, Lurigancho, Lima, Lima, Perú</v>
      </c>
      <c r="Y28" s="22">
        <v>-11.959972199999999</v>
      </c>
      <c r="Z28" s="22">
        <v>-77.097044699999998</v>
      </c>
      <c r="AA28" s="33">
        <f t="shared" si="1"/>
        <v>21.83</v>
      </c>
      <c r="AB28" s="2" t="str">
        <f t="shared" si="2"/>
        <v>🔴 Lejos (&gt;20 km)</v>
      </c>
      <c r="AC28" s="2" t="str" cm="1">
        <f t="array" ref="AC28">INDEX(PARADEROS_VALIDOS!$C$2:$C$68,MATCH(MIN(6371*ACOS(COS(RADIANS(Y28))*COS(RADIANS(PARADEROS_VALIDOS!$E$2:$E$68))*COS(RADIANS(PARADEROS_VALIDOS!$F$2:$F$68)-RADIANS(Z28))+SIN(RADIANS(Y28))*SIN(RADIANS(PARADEROS_VALIDOS!$E$2:$E$68)))),6371*ACOS(COS(RADIANS(Y28))*COS(RADIANS(PARADEROS_VALIDOS!$E$2:$E$68))*COS(RADIANS(PARADEROS_VALIDOS!$F$2:$F$68)-RADIANS(Z28))+SIN(RADIANS(Y28))*SIN(RADIANS(PARADEROS_VALIDOS!$E$2:$E$68))),0))</f>
        <v>Paradero Ferretería</v>
      </c>
      <c r="AD28" s="2" t="str">
        <f>IFERROR(INDEX(PARADEROS_VALIDOS!$A$2:$A$68,MATCH(AC28,PARADEROS_VALIDOS!$C$2:$C$68,0)),"")</f>
        <v>RUTA 1</v>
      </c>
      <c r="AE28" s="33" cm="1">
        <f t="array" ref="AE28">ROUND(MIN(6371*ACOS(COS(RADIANS(Y28))*COS(RADIANS(PARADEROS_VALIDOS!$E$2:$E$68))*COS(RADIANS(PARADEROS_VALIDOS!$F$2:$F$68)-RADIANS(Z28))+SIN(RADIANS(Y28))*SIN(RADIANS(PARADEROS_VALIDOS!$E$2:$E$68)))),2)</f>
        <v>1.3</v>
      </c>
      <c r="AF28" s="2" t="str">
        <f t="shared" si="3"/>
        <v>🟡 Cerca (1-3 km)</v>
      </c>
      <c r="AG28" s="2"/>
      <c r="AH28" s="2"/>
      <c r="AI28" s="51">
        <v>-11.997563</v>
      </c>
      <c r="AJ28" s="51">
        <v>-76.900062000000005</v>
      </c>
      <c r="AK28" s="2" t="str">
        <f>IFERROR(VLOOKUP(I28,tdcargo[],2,FALSE),"DESCONOCIDO")</f>
        <v>OPERARIO</v>
      </c>
    </row>
    <row r="29" spans="1:37" x14ac:dyDescent="0.35">
      <c r="A29" s="2" t="s">
        <v>233</v>
      </c>
      <c r="B29" s="2" t="s">
        <v>234</v>
      </c>
      <c r="C29" s="2" t="s">
        <v>235</v>
      </c>
      <c r="D29" s="2" t="s">
        <v>236</v>
      </c>
      <c r="E29" s="2">
        <v>37</v>
      </c>
      <c r="F29" s="2" t="s">
        <v>28</v>
      </c>
      <c r="G29" s="2" t="s">
        <v>29</v>
      </c>
      <c r="H29" s="2">
        <v>20509033</v>
      </c>
      <c r="I29" s="2" t="s">
        <v>237</v>
      </c>
      <c r="J29" s="3">
        <v>42660</v>
      </c>
      <c r="K29" s="2" t="s">
        <v>31</v>
      </c>
      <c r="L29" s="2" t="s">
        <v>63</v>
      </c>
      <c r="M29" s="2" t="s">
        <v>64</v>
      </c>
      <c r="N29" s="2" t="s">
        <v>36</v>
      </c>
      <c r="O29" s="2" t="s">
        <v>238</v>
      </c>
      <c r="P29" s="2" t="s">
        <v>36</v>
      </c>
      <c r="Q29" s="2" t="s">
        <v>238</v>
      </c>
      <c r="R29" s="2">
        <v>15457</v>
      </c>
      <c r="S29" s="2" t="s">
        <v>37</v>
      </c>
      <c r="T29" s="2" t="s">
        <v>37</v>
      </c>
      <c r="U29" s="2" t="s">
        <v>76</v>
      </c>
      <c r="V29" s="3">
        <v>42660</v>
      </c>
      <c r="W29" s="2" t="s">
        <v>48</v>
      </c>
      <c r="X29" s="2" t="str">
        <f t="shared" si="0"/>
        <v>Caja Huerta Caja Huerta, Lurigancho, Lima, Lima, Perú</v>
      </c>
      <c r="Y29" s="22">
        <v>-12.069445699999999</v>
      </c>
      <c r="Z29" s="22">
        <v>-77.007790400000005</v>
      </c>
      <c r="AA29" s="33">
        <f t="shared" si="1"/>
        <v>14.18</v>
      </c>
      <c r="AB29" s="2" t="str">
        <f t="shared" si="2"/>
        <v>🟠 Moderada (10-20 km)</v>
      </c>
      <c r="AC29" s="2" t="str" cm="1">
        <f t="array" ref="AC29">INDEX(PARADEROS_VALIDOS!$C$2:$C$68,MATCH(MIN(6371*ACOS(COS(RADIANS(Y29))*COS(RADIANS(PARADEROS_VALIDOS!$E$2:$E$68))*COS(RADIANS(PARADEROS_VALIDOS!$F$2:$F$68)-RADIANS(Z29))+SIN(RADIANS(Y29))*SIN(RADIANS(PARADEROS_VALIDOS!$E$2:$E$68)))),6371*ACOS(COS(RADIANS(Y29))*COS(RADIANS(PARADEROS_VALIDOS!$E$2:$E$68))*COS(RADIANS(PARADEROS_VALIDOS!$F$2:$F$68)-RADIANS(Z29))+SIN(RADIANS(Y29))*SIN(RADIANS(PARADEROS_VALIDOS!$E$2:$E$68))),0))</f>
        <v>Paradero Berlín con Javier prado (cruzando el semáforo) aplica solo al ingreso.</v>
      </c>
      <c r="AD29" s="2" t="str">
        <f>IFERROR(INDEX(PARADEROS_VALIDOS!$A$2:$A$68,MATCH(AC29,PARADEROS_VALIDOS!$C$2:$C$68,0)),"")</f>
        <v>RUTA 4A</v>
      </c>
      <c r="AE29" s="33" cm="1">
        <f t="array" ref="AE29">ROUND(MIN(6371*ACOS(COS(RADIANS(Y29))*COS(RADIANS(PARADEROS_VALIDOS!$E$2:$E$68))*COS(RADIANS(PARADEROS_VALIDOS!$F$2:$F$68)-RADIANS(Z29))+SIN(RADIANS(Y29))*SIN(RADIANS(PARADEROS_VALIDOS!$E$2:$E$68)))),2)</f>
        <v>2.5299999999999998</v>
      </c>
      <c r="AF29" s="2" t="str">
        <f t="shared" si="3"/>
        <v>🟡 Cerca (1-3 km)</v>
      </c>
      <c r="AG29" s="2"/>
      <c r="AH29" s="2"/>
      <c r="AI29" s="51">
        <v>-11.997563</v>
      </c>
      <c r="AJ29" s="51">
        <v>-76.900062000000005</v>
      </c>
      <c r="AK29" s="2" t="str">
        <f>IFERROR(VLOOKUP(I29,tdcargo[],2,FALSE),"DESCONOCIDO")</f>
        <v>STAFF</v>
      </c>
    </row>
    <row r="30" spans="1:37" x14ac:dyDescent="0.35">
      <c r="A30" s="2" t="s">
        <v>239</v>
      </c>
      <c r="B30" s="2" t="s">
        <v>240</v>
      </c>
      <c r="C30" s="2" t="s">
        <v>241</v>
      </c>
      <c r="D30" s="2" t="s">
        <v>242</v>
      </c>
      <c r="E30" s="2">
        <v>22</v>
      </c>
      <c r="F30" s="2" t="s">
        <v>28</v>
      </c>
      <c r="G30" s="2" t="s">
        <v>29</v>
      </c>
      <c r="H30" s="2">
        <v>20514006</v>
      </c>
      <c r="I30" s="2" t="s">
        <v>30</v>
      </c>
      <c r="J30" s="3">
        <v>45881</v>
      </c>
      <c r="K30" s="2" t="s">
        <v>31</v>
      </c>
      <c r="L30" s="2" t="s">
        <v>32</v>
      </c>
      <c r="M30" s="2" t="s">
        <v>33</v>
      </c>
      <c r="N30" s="2" t="s">
        <v>34</v>
      </c>
      <c r="O30" s="2" t="s">
        <v>243</v>
      </c>
      <c r="P30" s="2" t="s">
        <v>36</v>
      </c>
      <c r="Q30" s="2" t="s">
        <v>244</v>
      </c>
      <c r="R30" s="2">
        <v>15510</v>
      </c>
      <c r="S30" s="2" t="s">
        <v>37</v>
      </c>
      <c r="T30" s="2" t="s">
        <v>195</v>
      </c>
      <c r="U30" s="2" t="s">
        <v>196</v>
      </c>
      <c r="V30" s="3">
        <v>45881</v>
      </c>
      <c r="W30" s="2" t="s">
        <v>39</v>
      </c>
      <c r="X30" s="2" t="str">
        <f t="shared" si="0"/>
        <v>Avenida 13 De Junio Valle El Triunfo Jic, San Antonio, Huarochiri, Lima, Perú</v>
      </c>
      <c r="Y30" s="22">
        <v>-11.982881000000001</v>
      </c>
      <c r="Z30" s="22">
        <v>-76.947404300000002</v>
      </c>
      <c r="AA30" s="33">
        <f t="shared" si="1"/>
        <v>5.4</v>
      </c>
      <c r="AB30" s="2" t="str">
        <f t="shared" si="2"/>
        <v>🟡 Cerca (5-10 km)</v>
      </c>
      <c r="AC30" s="2" t="str" cm="1">
        <f t="array" ref="AC30">INDEX(PARADEROS_VALIDOS!$C$2:$C$68,MATCH(MIN(6371*ACOS(COS(RADIANS(Y30))*COS(RADIANS(PARADEROS_VALIDOS!$E$2:$E$68))*COS(RADIANS(PARADEROS_VALIDOS!$F$2:$F$68)-RADIANS(Z30))+SIN(RADIANS(Y30))*SIN(RADIANS(PARADEROS_VALIDOS!$E$2:$E$68)))),6371*ACOS(COS(RADIANS(Y30))*COS(RADIANS(PARADEROS_VALIDOS!$E$2:$E$68))*COS(RADIANS(PARADEROS_VALIDOS!$F$2:$F$68)-RADIANS(Z30))+SIN(RADIANS(Y30))*SIN(RADIANS(PARADEROS_VALIDOS!$E$2:$E$68))),0))</f>
        <v>Estadio Huachipa</v>
      </c>
      <c r="AD30" s="2" t="str">
        <f>IFERROR(INDEX(PARADEROS_VALIDOS!$A$2:$A$68,MATCH(AC30,PARADEROS_VALIDOS!$C$2:$C$68,0)),"")</f>
        <v>RUTA 5C</v>
      </c>
      <c r="AE30" s="33" cm="1">
        <f t="array" ref="AE30">ROUND(MIN(6371*ACOS(COS(RADIANS(Y30))*COS(RADIANS(PARADEROS_VALIDOS!$E$2:$E$68))*COS(RADIANS(PARADEROS_VALIDOS!$F$2:$F$68)-RADIANS(Z30))+SIN(RADIANS(Y30))*SIN(RADIANS(PARADEROS_VALIDOS!$E$2:$E$68)))),2)</f>
        <v>4.84</v>
      </c>
      <c r="AF30" s="2" t="str">
        <f t="shared" si="3"/>
        <v>🟠 Moderada (3-5 km)</v>
      </c>
      <c r="AG30" s="2"/>
      <c r="AH30" s="2"/>
      <c r="AI30" s="51">
        <v>-11.997563</v>
      </c>
      <c r="AJ30" s="51">
        <v>-76.900062000000005</v>
      </c>
      <c r="AK30" s="2" t="str">
        <f>IFERROR(VLOOKUP(I30,tdcargo[],2,FALSE),"DESCONOCIDO")</f>
        <v>OPERARIO</v>
      </c>
    </row>
    <row r="31" spans="1:37" x14ac:dyDescent="0.35">
      <c r="A31" s="2" t="s">
        <v>245</v>
      </c>
      <c r="B31" s="2" t="s">
        <v>246</v>
      </c>
      <c r="C31" s="2" t="s">
        <v>247</v>
      </c>
      <c r="D31" s="2" t="s">
        <v>248</v>
      </c>
      <c r="E31" s="2">
        <v>47</v>
      </c>
      <c r="F31" s="2" t="s">
        <v>28</v>
      </c>
      <c r="G31" s="2" t="s">
        <v>29</v>
      </c>
      <c r="H31" s="2">
        <v>20508874</v>
      </c>
      <c r="I31" s="2" t="s">
        <v>30</v>
      </c>
      <c r="J31" s="3">
        <v>45779</v>
      </c>
      <c r="K31" s="2" t="s">
        <v>31</v>
      </c>
      <c r="L31" s="2" t="s">
        <v>108</v>
      </c>
      <c r="M31" s="2" t="s">
        <v>109</v>
      </c>
      <c r="N31" s="2" t="s">
        <v>34</v>
      </c>
      <c r="O31" s="2" t="s">
        <v>249</v>
      </c>
      <c r="P31" s="2" t="s">
        <v>55</v>
      </c>
      <c r="Q31" s="2" t="s">
        <v>250</v>
      </c>
      <c r="R31" s="2">
        <v>15472</v>
      </c>
      <c r="S31" s="2" t="s">
        <v>37</v>
      </c>
      <c r="T31" s="2" t="s">
        <v>37</v>
      </c>
      <c r="U31" s="2" t="s">
        <v>118</v>
      </c>
      <c r="V31" s="3">
        <v>45779</v>
      </c>
      <c r="W31" s="2" t="s">
        <v>39</v>
      </c>
      <c r="X31" s="2" t="str">
        <f t="shared" si="0"/>
        <v>Avenida Los Eucaliptos, Coo. Cooperativa La Floresta, Chaclacayo, Lima, Lima, Perú</v>
      </c>
      <c r="Y31" s="22">
        <v>-11.9920083</v>
      </c>
      <c r="Z31" s="22">
        <v>-76.823083699999998</v>
      </c>
      <c r="AA31" s="33">
        <f t="shared" si="1"/>
        <v>8.4</v>
      </c>
      <c r="AB31" s="2" t="str">
        <f t="shared" si="2"/>
        <v>🟡 Cerca (5-10 km)</v>
      </c>
      <c r="AC31" s="2" t="str" cm="1">
        <f t="array" ref="AC31">INDEX(PARADEROS_VALIDOS!$C$2:$C$68,MATCH(MIN(6371*ACOS(COS(RADIANS(Y31))*COS(RADIANS(PARADEROS_VALIDOS!$E$2:$E$68))*COS(RADIANS(PARADEROS_VALIDOS!$F$2:$F$68)-RADIANS(Z31))+SIN(RADIANS(Y31))*SIN(RADIANS(PARADEROS_VALIDOS!$E$2:$E$68)))),6371*ACOS(COS(RADIANS(Y31))*COS(RADIANS(PARADEROS_VALIDOS!$E$2:$E$68))*COS(RADIANS(PARADEROS_VALIDOS!$F$2:$F$68)-RADIANS(Z31))+SIN(RADIANS(Y31))*SIN(RADIANS(PARADEROS_VALIDOS!$E$2:$E$68))),0))</f>
        <v>Entrada Ñaña</v>
      </c>
      <c r="AD31" s="2" t="str">
        <f>IFERROR(INDEX(PARADEROS_VALIDOS!$A$2:$A$68,MATCH(AC31,PARADEROS_VALIDOS!$C$2:$C$68,0)),"")</f>
        <v>RUTA 5A</v>
      </c>
      <c r="AE31" s="33" cm="1">
        <f t="array" ref="AE31">ROUND(MIN(6371*ACOS(COS(RADIANS(Y31))*COS(RADIANS(PARADEROS_VALIDOS!$E$2:$E$68))*COS(RADIANS(PARADEROS_VALIDOS!$F$2:$F$68)-RADIANS(Z31))+SIN(RADIANS(Y31))*SIN(RADIANS(PARADEROS_VALIDOS!$E$2:$E$68)))),2)</f>
        <v>0.6</v>
      </c>
      <c r="AF31" s="2" t="str">
        <f t="shared" si="3"/>
        <v>🟢 Muy Cerca (0-1 km)</v>
      </c>
      <c r="AG31" s="2"/>
      <c r="AH31" s="2"/>
      <c r="AI31" s="51">
        <v>-11.997563</v>
      </c>
      <c r="AJ31" s="51">
        <v>-76.900062000000005</v>
      </c>
      <c r="AK31" s="2" t="str">
        <f>IFERROR(VLOOKUP(I31,tdcargo[],2,FALSE),"DESCONOCIDO")</f>
        <v>OPERARIO</v>
      </c>
    </row>
    <row r="32" spans="1:37" x14ac:dyDescent="0.35">
      <c r="A32" s="2" t="s">
        <v>251</v>
      </c>
      <c r="B32" s="2" t="s">
        <v>252</v>
      </c>
      <c r="C32" s="2" t="s">
        <v>253</v>
      </c>
      <c r="D32" s="2" t="s">
        <v>254</v>
      </c>
      <c r="E32" s="2">
        <v>30</v>
      </c>
      <c r="F32" s="2" t="s">
        <v>28</v>
      </c>
      <c r="G32" s="2" t="s">
        <v>29</v>
      </c>
      <c r="H32" s="2">
        <v>20508932</v>
      </c>
      <c r="I32" s="2" t="s">
        <v>44</v>
      </c>
      <c r="J32" s="3">
        <v>43864</v>
      </c>
      <c r="K32" s="2" t="s">
        <v>31</v>
      </c>
      <c r="L32" s="2" t="s">
        <v>32</v>
      </c>
      <c r="M32" s="2" t="s">
        <v>33</v>
      </c>
      <c r="N32" s="2" t="s">
        <v>36</v>
      </c>
      <c r="O32" s="2" t="s">
        <v>255</v>
      </c>
      <c r="P32" s="2" t="s">
        <v>66</v>
      </c>
      <c r="Q32" s="2" t="s">
        <v>256</v>
      </c>
      <c r="R32" s="2">
        <v>15004</v>
      </c>
      <c r="S32" s="2" t="s">
        <v>37</v>
      </c>
      <c r="T32" s="2" t="s">
        <v>37</v>
      </c>
      <c r="U32" s="2" t="s">
        <v>57</v>
      </c>
      <c r="V32" s="3">
        <v>43864</v>
      </c>
      <c r="W32" s="2" t="s">
        <v>48</v>
      </c>
      <c r="X32" s="2" t="str">
        <f t="shared" si="0"/>
        <v>Asociacion, U.V. Unidad Vecinal La Estrella De Santa Clara, Ate, Lima, Lima, Perú</v>
      </c>
      <c r="Y32" s="22">
        <v>-12.0257185</v>
      </c>
      <c r="Z32" s="22">
        <v>-76.891961600000002</v>
      </c>
      <c r="AA32" s="33">
        <f t="shared" si="1"/>
        <v>3.25</v>
      </c>
      <c r="AB32" s="2" t="str">
        <f t="shared" si="2"/>
        <v>🟢 Muy Cerca (0-5 km)</v>
      </c>
      <c r="AC32" s="2" t="str" cm="1">
        <f t="array" ref="AC32">INDEX(PARADEROS_VALIDOS!$C$2:$C$68,MATCH(MIN(6371*ACOS(COS(RADIANS(Y32))*COS(RADIANS(PARADEROS_VALIDOS!$E$2:$E$68))*COS(RADIANS(PARADEROS_VALIDOS!$F$2:$F$68)-RADIANS(Z32))+SIN(RADIANS(Y32))*SIN(RADIANS(PARADEROS_VALIDOS!$E$2:$E$68)))),6371*ACOS(COS(RADIANS(Y32))*COS(RADIANS(PARADEROS_VALIDOS!$E$2:$E$68))*COS(RADIANS(PARADEROS_VALIDOS!$F$2:$F$68)-RADIANS(Z32))+SIN(RADIANS(Y32))*SIN(RADIANS(PARADEROS_VALIDOS!$E$2:$E$68))),0))</f>
        <v>Paradero Sta. Clara</v>
      </c>
      <c r="AD32" s="2" t="str">
        <f>IFERROR(INDEX(PARADEROS_VALIDOS!$A$2:$A$68,MATCH(AC32,PARADEROS_VALIDOS!$C$2:$C$68,0)),"")</f>
        <v>RUTA 5C</v>
      </c>
      <c r="AE32" s="33" cm="1">
        <f t="array" ref="AE32">ROUND(MIN(6371*ACOS(COS(RADIANS(Y32))*COS(RADIANS(PARADEROS_VALIDOS!$E$2:$E$68))*COS(RADIANS(PARADEROS_VALIDOS!$F$2:$F$68)-RADIANS(Z32))+SIN(RADIANS(Y32))*SIN(RADIANS(PARADEROS_VALIDOS!$E$2:$E$68)))),2)</f>
        <v>1.41</v>
      </c>
      <c r="AF32" s="2" t="str">
        <f t="shared" si="3"/>
        <v>🟡 Cerca (1-3 km)</v>
      </c>
      <c r="AG32" s="2"/>
      <c r="AH32" s="2"/>
      <c r="AI32" s="51">
        <v>-11.997563</v>
      </c>
      <c r="AJ32" s="51">
        <v>-76.900062000000005</v>
      </c>
      <c r="AK32" s="2" t="str">
        <f>IFERROR(VLOOKUP(I32,tdcargo[],2,FALSE),"DESCONOCIDO")</f>
        <v>OPERARIO</v>
      </c>
    </row>
    <row r="33" spans="1:37" x14ac:dyDescent="0.35">
      <c r="A33" s="2" t="s">
        <v>257</v>
      </c>
      <c r="B33" s="2" t="s">
        <v>258</v>
      </c>
      <c r="C33" s="2" t="s">
        <v>259</v>
      </c>
      <c r="D33" s="2" t="s">
        <v>26</v>
      </c>
      <c r="E33" s="2">
        <v>27</v>
      </c>
      <c r="F33" s="2" t="s">
        <v>28</v>
      </c>
      <c r="G33" s="2" t="s">
        <v>29</v>
      </c>
      <c r="H33" s="2">
        <v>20510613</v>
      </c>
      <c r="I33" s="2" t="s">
        <v>30</v>
      </c>
      <c r="J33" s="3">
        <v>46083</v>
      </c>
      <c r="K33" s="2" t="s">
        <v>31</v>
      </c>
      <c r="L33" s="2" t="s">
        <v>132</v>
      </c>
      <c r="M33" s="2" t="s">
        <v>133</v>
      </c>
      <c r="N33" s="2" t="s">
        <v>82</v>
      </c>
      <c r="O33" s="2" t="s">
        <v>260</v>
      </c>
      <c r="P33" s="2" t="s">
        <v>36</v>
      </c>
      <c r="Q33" s="2" t="s">
        <v>261</v>
      </c>
      <c r="R33" s="2">
        <v>15457</v>
      </c>
      <c r="S33" s="2" t="s">
        <v>37</v>
      </c>
      <c r="T33" s="2" t="s">
        <v>37</v>
      </c>
      <c r="U33" s="2" t="s">
        <v>76</v>
      </c>
      <c r="V33" s="3">
        <v>46083</v>
      </c>
      <c r="W33" s="2" t="s">
        <v>135</v>
      </c>
      <c r="X33" s="2" t="str">
        <f t="shared" si="0"/>
        <v>Calle Las Magnolias 3era CAJAMARQQUILLA HUACH, Lurigancho, Lima, Lima, Perú</v>
      </c>
      <c r="Y33" s="22">
        <v>-11.930994399999999</v>
      </c>
      <c r="Z33" s="22">
        <v>-76.688294099999993</v>
      </c>
      <c r="AA33" s="33">
        <f t="shared" si="1"/>
        <v>24.2</v>
      </c>
      <c r="AB33" s="2" t="str">
        <f t="shared" si="2"/>
        <v>🔴 Lejos (&gt;20 km)</v>
      </c>
      <c r="AC33" s="2" t="str" cm="1">
        <f t="array" ref="AC33">INDEX(PARADEROS_VALIDOS!$C$2:$C$68,MATCH(MIN(6371*ACOS(COS(RADIANS(Y33))*COS(RADIANS(PARADEROS_VALIDOS!$E$2:$E$68))*COS(RADIANS(PARADEROS_VALIDOS!$F$2:$F$68)-RADIANS(Z33))+SIN(RADIANS(Y33))*SIN(RADIANS(PARADEROS_VALIDOS!$E$2:$E$68)))),6371*ACOS(COS(RADIANS(Y33))*COS(RADIANS(PARADEROS_VALIDOS!$E$2:$E$68))*COS(RADIANS(PARADEROS_VALIDOS!$F$2:$F$68)-RADIANS(Z33))+SIN(RADIANS(Y33))*SIN(RADIANS(PARADEROS_VALIDOS!$E$2:$E$68))),0))</f>
        <v>Paradero Girasoles - Chaclacayo</v>
      </c>
      <c r="AD33" s="2" t="str">
        <f>IFERROR(INDEX(PARADEROS_VALIDOS!$A$2:$A$68,MATCH(AC33,PARADEROS_VALIDOS!$C$2:$C$68,0)),"")</f>
        <v>RUTA 5A</v>
      </c>
      <c r="AE33" s="33" cm="1">
        <f t="array" ref="AE33">ROUND(MIN(6371*ACOS(COS(RADIANS(Y33))*COS(RADIANS(PARADEROS_VALIDOS!$E$2:$E$68))*COS(RADIANS(PARADEROS_VALIDOS!$F$2:$F$68)-RADIANS(Z33))+SIN(RADIANS(Y33))*SIN(RADIANS(PARADEROS_VALIDOS!$E$2:$E$68)))),2)</f>
        <v>10.46</v>
      </c>
      <c r="AF33" s="2" t="str">
        <f t="shared" si="3"/>
        <v>🔴 Lejos (&gt;5 km)</v>
      </c>
      <c r="AG33" s="2"/>
      <c r="AH33" s="2"/>
      <c r="AI33" s="51">
        <v>-11.997563</v>
      </c>
      <c r="AJ33" s="51">
        <v>-76.900062000000005</v>
      </c>
      <c r="AK33" s="2" t="str">
        <f>IFERROR(VLOOKUP(I33,tdcargo[],2,FALSE),"DESCONOCIDO")</f>
        <v>OPERARIO</v>
      </c>
    </row>
    <row r="34" spans="1:37" x14ac:dyDescent="0.35">
      <c r="A34" s="2" t="s">
        <v>262</v>
      </c>
      <c r="B34" s="2" t="s">
        <v>263</v>
      </c>
      <c r="C34" s="2" t="s">
        <v>264</v>
      </c>
      <c r="D34" s="2" t="s">
        <v>265</v>
      </c>
      <c r="E34" s="2">
        <v>35</v>
      </c>
      <c r="F34" s="2" t="s">
        <v>28</v>
      </c>
      <c r="G34" s="2" t="s">
        <v>29</v>
      </c>
      <c r="H34" s="2">
        <v>20515650</v>
      </c>
      <c r="I34" s="2" t="s">
        <v>266</v>
      </c>
      <c r="J34" s="3">
        <v>42989</v>
      </c>
      <c r="K34" s="2" t="s">
        <v>31</v>
      </c>
      <c r="L34" s="2" t="s">
        <v>267</v>
      </c>
      <c r="M34" s="2" t="s">
        <v>268</v>
      </c>
      <c r="N34" s="2" t="s">
        <v>36</v>
      </c>
      <c r="O34" s="2" t="s">
        <v>269</v>
      </c>
      <c r="P34" s="2" t="s">
        <v>66</v>
      </c>
      <c r="Q34" s="2" t="s">
        <v>269</v>
      </c>
      <c r="R34" s="2">
        <v>15457</v>
      </c>
      <c r="S34" s="2" t="s">
        <v>37</v>
      </c>
      <c r="T34" s="2" t="s">
        <v>37</v>
      </c>
      <c r="U34" s="2" t="s">
        <v>76</v>
      </c>
      <c r="V34" s="3">
        <v>42989</v>
      </c>
      <c r="W34" s="2" t="s">
        <v>48</v>
      </c>
      <c r="X34" s="2" t="str">
        <f t="shared" si="0"/>
        <v>Bello Horizontesanta Eulalia, U.V. Unidad Vecinal Bello Horizontesanta Eulalia, Lurigancho, Lima, Lima, Perú</v>
      </c>
      <c r="Y34" s="22">
        <v>-12.009696699999999</v>
      </c>
      <c r="Z34" s="22">
        <v>-76.905361299999996</v>
      </c>
      <c r="AA34" s="33">
        <f t="shared" si="1"/>
        <v>1.47</v>
      </c>
      <c r="AB34" s="2" t="str">
        <f t="shared" si="2"/>
        <v>🟢 Muy Cerca (0-5 km)</v>
      </c>
      <c r="AC34" s="2" t="str" cm="1">
        <f t="array" ref="AC34">INDEX(PARADEROS_VALIDOS!$C$2:$C$68,MATCH(MIN(6371*ACOS(COS(RADIANS(Y34))*COS(RADIANS(PARADEROS_VALIDOS!$E$2:$E$68))*COS(RADIANS(PARADEROS_VALIDOS!$F$2:$F$68)-RADIANS(Z34))+SIN(RADIANS(Y34))*SIN(RADIANS(PARADEROS_VALIDOS!$E$2:$E$68)))),6371*ACOS(COS(RADIANS(Y34))*COS(RADIANS(PARADEROS_VALIDOS!$E$2:$E$68))*COS(RADIANS(PARADEROS_VALIDOS!$F$2:$F$68)-RADIANS(Z34))+SIN(RADIANS(Y34))*SIN(RADIANS(PARADEROS_VALIDOS!$E$2:$E$68))),0))</f>
        <v>Tottus Huachipa</v>
      </c>
      <c r="AD34" s="2" t="str">
        <f>IFERROR(INDEX(PARADEROS_VALIDOS!$A$2:$A$68,MATCH(AC34,PARADEROS_VALIDOS!$C$2:$C$68,0)),"")</f>
        <v>RUTA 1</v>
      </c>
      <c r="AE34" s="33" cm="1">
        <f t="array" ref="AE34">ROUND(MIN(6371*ACOS(COS(RADIANS(Y34))*COS(RADIANS(PARADEROS_VALIDOS!$E$2:$E$68))*COS(RADIANS(PARADEROS_VALIDOS!$F$2:$F$68)-RADIANS(Z34))+SIN(RADIANS(Y34))*SIN(RADIANS(PARADEROS_VALIDOS!$E$2:$E$68)))),2)</f>
        <v>1.18</v>
      </c>
      <c r="AF34" s="2" t="str">
        <f t="shared" si="3"/>
        <v>🟡 Cerca (1-3 km)</v>
      </c>
      <c r="AG34" s="2"/>
      <c r="AH34" s="2"/>
      <c r="AI34" s="51">
        <v>-11.997563</v>
      </c>
      <c r="AJ34" s="51">
        <v>-76.900062000000005</v>
      </c>
      <c r="AK34" s="2" t="str">
        <f>IFERROR(VLOOKUP(I34,tdcargo[],2,FALSE),"DESCONOCIDO")</f>
        <v>STAFF</v>
      </c>
    </row>
    <row r="35" spans="1:37" x14ac:dyDescent="0.35">
      <c r="A35" s="2" t="s">
        <v>270</v>
      </c>
      <c r="B35" s="2" t="s">
        <v>271</v>
      </c>
      <c r="C35" s="2" t="s">
        <v>272</v>
      </c>
      <c r="D35" s="2" t="s">
        <v>273</v>
      </c>
      <c r="E35" s="2">
        <v>30</v>
      </c>
      <c r="F35" s="2" t="s">
        <v>28</v>
      </c>
      <c r="G35" s="2" t="s">
        <v>29</v>
      </c>
      <c r="H35" s="2">
        <v>20510624</v>
      </c>
      <c r="I35" s="2" t="s">
        <v>62</v>
      </c>
      <c r="J35" s="3">
        <v>43570</v>
      </c>
      <c r="K35" s="2" t="s">
        <v>31</v>
      </c>
      <c r="L35" s="2" t="s">
        <v>267</v>
      </c>
      <c r="M35" s="2" t="s">
        <v>268</v>
      </c>
      <c r="N35" s="2" t="s">
        <v>36</v>
      </c>
      <c r="O35" s="2" t="s">
        <v>274</v>
      </c>
      <c r="P35" s="2" t="s">
        <v>66</v>
      </c>
      <c r="Q35" s="2" t="s">
        <v>274</v>
      </c>
      <c r="R35" s="2">
        <v>15457</v>
      </c>
      <c r="S35" s="2" t="s">
        <v>37</v>
      </c>
      <c r="T35" s="2" t="s">
        <v>37</v>
      </c>
      <c r="U35" s="2" t="s">
        <v>76</v>
      </c>
      <c r="V35" s="3">
        <v>43570</v>
      </c>
      <c r="W35" s="2" t="s">
        <v>48</v>
      </c>
      <c r="X35" s="2" t="str">
        <f t="shared" si="0"/>
        <v>De Los Comuneros De Jicamarca Baja, U.V. Unidad Vecinal De Los Comuneros De Jicamarca Baja, Lurigancho, Lima, Lima, Perú</v>
      </c>
      <c r="Y35" s="22">
        <v>-11.9783613</v>
      </c>
      <c r="Z35" s="22">
        <v>-76.925780799999998</v>
      </c>
      <c r="AA35" s="33">
        <f t="shared" si="1"/>
        <v>3.52</v>
      </c>
      <c r="AB35" s="2" t="str">
        <f t="shared" si="2"/>
        <v>🟢 Muy Cerca (0-5 km)</v>
      </c>
      <c r="AC35" s="2" t="str" cm="1">
        <f t="array" ref="AC35">INDEX(PARADEROS_VALIDOS!$C$2:$C$68,MATCH(MIN(6371*ACOS(COS(RADIANS(Y35))*COS(RADIANS(PARADEROS_VALIDOS!$E$2:$E$68))*COS(RADIANS(PARADEROS_VALIDOS!$F$2:$F$68)-RADIANS(Z35))+SIN(RADIANS(Y35))*SIN(RADIANS(PARADEROS_VALIDOS!$E$2:$E$68)))),6371*ACOS(COS(RADIANS(Y35))*COS(RADIANS(PARADEROS_VALIDOS!$E$2:$E$68))*COS(RADIANS(PARADEROS_VALIDOS!$F$2:$F$68)-RADIANS(Z35))+SIN(RADIANS(Y35))*SIN(RADIANS(PARADEROS_VALIDOS!$E$2:$E$68))),0))</f>
        <v>Paradero Arco San Antonio</v>
      </c>
      <c r="AD35" s="2" t="str">
        <f>IFERROR(INDEX(PARADEROS_VALIDOS!$A$2:$A$68,MATCH(AC35,PARADEROS_VALIDOS!$C$2:$C$68,0)),"")</f>
        <v>RUTA 2</v>
      </c>
      <c r="AE35" s="33" cm="1">
        <f t="array" ref="AE35">ROUND(MIN(6371*ACOS(COS(RADIANS(Y35))*COS(RADIANS(PARADEROS_VALIDOS!$E$2:$E$68))*COS(RADIANS(PARADEROS_VALIDOS!$F$2:$F$68)-RADIANS(Z35))+SIN(RADIANS(Y35))*SIN(RADIANS(PARADEROS_VALIDOS!$E$2:$E$68)))),2)</f>
        <v>2.98</v>
      </c>
      <c r="AF35" s="2" t="str">
        <f t="shared" si="3"/>
        <v>🟡 Cerca (1-3 km)</v>
      </c>
      <c r="AG35" s="2"/>
      <c r="AH35" s="2"/>
      <c r="AI35" s="51">
        <v>-11.997563</v>
      </c>
      <c r="AJ35" s="51">
        <v>-76.900062000000005</v>
      </c>
      <c r="AK35" s="2" t="str">
        <f>IFERROR(VLOOKUP(I35,tdcargo[],2,FALSE),"DESCONOCIDO")</f>
        <v>OPERARIO</v>
      </c>
    </row>
    <row r="36" spans="1:37" x14ac:dyDescent="0.35">
      <c r="A36" s="2" t="s">
        <v>275</v>
      </c>
      <c r="B36" s="2" t="s">
        <v>276</v>
      </c>
      <c r="C36" s="2" t="s">
        <v>277</v>
      </c>
      <c r="D36" s="2" t="s">
        <v>278</v>
      </c>
      <c r="E36" s="2">
        <v>25</v>
      </c>
      <c r="F36" s="2" t="s">
        <v>28</v>
      </c>
      <c r="G36" s="2" t="s">
        <v>29</v>
      </c>
      <c r="H36" s="2">
        <v>20508934</v>
      </c>
      <c r="I36" s="2" t="s">
        <v>30</v>
      </c>
      <c r="J36" s="3">
        <v>45859</v>
      </c>
      <c r="K36" s="2" t="s">
        <v>31</v>
      </c>
      <c r="L36" s="2" t="s">
        <v>32</v>
      </c>
      <c r="M36" s="2" t="s">
        <v>33</v>
      </c>
      <c r="N36" s="2" t="s">
        <v>82</v>
      </c>
      <c r="O36" s="2" t="s">
        <v>279</v>
      </c>
      <c r="P36" s="2" t="s">
        <v>36</v>
      </c>
      <c r="Q36" s="2" t="s">
        <v>280</v>
      </c>
      <c r="R36" s="2">
        <v>15401</v>
      </c>
      <c r="S36" s="2" t="s">
        <v>37</v>
      </c>
      <c r="T36" s="2" t="s">
        <v>37</v>
      </c>
      <c r="U36" s="2" t="s">
        <v>38</v>
      </c>
      <c r="V36" s="3">
        <v>45859</v>
      </c>
      <c r="W36" s="2" t="s">
        <v>39</v>
      </c>
      <c r="X36" s="2" t="str">
        <f t="shared" si="0"/>
        <v>Calle Campoy Huaycoloro, San Juan De Lurigancho, Lima, Lima, Perú</v>
      </c>
      <c r="Y36" s="22">
        <v>-12.018179099999999</v>
      </c>
      <c r="Z36" s="22">
        <v>-76.967186499999997</v>
      </c>
      <c r="AA36" s="33">
        <f t="shared" si="1"/>
        <v>7.65</v>
      </c>
      <c r="AB36" s="2" t="str">
        <f t="shared" si="2"/>
        <v>🟡 Cerca (5-10 km)</v>
      </c>
      <c r="AC36" s="2" t="str" cm="1">
        <f t="array" ref="AC36">INDEX(PARADEROS_VALIDOS!$C$2:$C$68,MATCH(MIN(6371*ACOS(COS(RADIANS(Y36))*COS(RADIANS(PARADEROS_VALIDOS!$E$2:$E$68))*COS(RADIANS(PARADEROS_VALIDOS!$F$2:$F$68)-RADIANS(Z36))+SIN(RADIANS(Y36))*SIN(RADIANS(PARADEROS_VALIDOS!$E$2:$E$68)))),6371*ACOS(COS(RADIANS(Y36))*COS(RADIANS(PARADEROS_VALIDOS!$E$2:$E$68))*COS(RADIANS(PARADEROS_VALIDOS!$F$2:$F$68)-RADIANS(Z36))+SIN(RADIANS(Y36))*SIN(RADIANS(PARADEROS_VALIDOS!$E$2:$E$68))),0))</f>
        <v>Paradero Tottus Campoy</v>
      </c>
      <c r="AD36" s="2" t="str">
        <f>IFERROR(INDEX(PARADEROS_VALIDOS!$A$2:$A$68,MATCH(AC36,PARADEROS_VALIDOS!$C$2:$C$68,0)),"")</f>
        <v>RUTA 6C</v>
      </c>
      <c r="AE36" s="33" cm="1">
        <f t="array" ref="AE36">ROUND(MIN(6371*ACOS(COS(RADIANS(Y36))*COS(RADIANS(PARADEROS_VALIDOS!$E$2:$E$68))*COS(RADIANS(PARADEROS_VALIDOS!$F$2:$F$68)-RADIANS(Z36))+SIN(RADIANS(Y36))*SIN(RADIANS(PARADEROS_VALIDOS!$E$2:$E$68)))),2)</f>
        <v>0.92</v>
      </c>
      <c r="AF36" s="2" t="str">
        <f t="shared" si="3"/>
        <v>🟢 Muy Cerca (0-1 km)</v>
      </c>
      <c r="AG36" s="2"/>
      <c r="AH36" s="2"/>
      <c r="AI36" s="51">
        <v>-11.997563</v>
      </c>
      <c r="AJ36" s="51">
        <v>-76.900062000000005</v>
      </c>
      <c r="AK36" s="2" t="str">
        <f>IFERROR(VLOOKUP(I36,tdcargo[],2,FALSE),"DESCONOCIDO")</f>
        <v>OPERARIO</v>
      </c>
    </row>
    <row r="37" spans="1:37" x14ac:dyDescent="0.35">
      <c r="A37" s="2" t="s">
        <v>281</v>
      </c>
      <c r="B37" s="2" t="s">
        <v>282</v>
      </c>
      <c r="C37" s="2" t="s">
        <v>283</v>
      </c>
      <c r="D37" s="2" t="s">
        <v>284</v>
      </c>
      <c r="E37" s="2">
        <v>42</v>
      </c>
      <c r="F37" s="2" t="s">
        <v>28</v>
      </c>
      <c r="G37" s="2" t="s">
        <v>29</v>
      </c>
      <c r="H37" s="2">
        <v>20509003</v>
      </c>
      <c r="I37" s="2" t="s">
        <v>285</v>
      </c>
      <c r="J37" s="3">
        <v>44931</v>
      </c>
      <c r="K37" s="2" t="s">
        <v>31</v>
      </c>
      <c r="L37" s="2" t="s">
        <v>286</v>
      </c>
      <c r="M37" s="2" t="s">
        <v>287</v>
      </c>
      <c r="N37" s="2" t="s">
        <v>82</v>
      </c>
      <c r="O37" s="2" t="s">
        <v>288</v>
      </c>
      <c r="P37" s="2" t="s">
        <v>186</v>
      </c>
      <c r="Q37" s="2" t="s">
        <v>289</v>
      </c>
      <c r="R37" s="2">
        <v>15157</v>
      </c>
      <c r="S37" s="2" t="s">
        <v>37</v>
      </c>
      <c r="T37" s="2" t="s">
        <v>290</v>
      </c>
      <c r="U37" s="2" t="s">
        <v>291</v>
      </c>
      <c r="V37" s="3">
        <v>44931</v>
      </c>
      <c r="W37" s="2" t="s">
        <v>48</v>
      </c>
      <c r="X37" s="2" t="s">
        <v>4611</v>
      </c>
      <c r="Y37" s="22">
        <v>-11.997563</v>
      </c>
      <c r="Z37" s="22">
        <v>-76.900062000000005</v>
      </c>
      <c r="AA37" s="33">
        <f t="shared" si="1"/>
        <v>0</v>
      </c>
      <c r="AB37" s="2" t="str">
        <f t="shared" si="2"/>
        <v>🟢 Muy Cerca (0-5 km)</v>
      </c>
      <c r="AC37" s="2" t="str" cm="1">
        <f t="array" ref="AC37">INDEX(PARADEROS_VALIDOS!$C$2:$C$68,MATCH(MIN(6371*ACOS(COS(RADIANS(Y37))*COS(RADIANS(PARADEROS_VALIDOS!$E$2:$E$68))*COS(RADIANS(PARADEROS_VALIDOS!$F$2:$F$68)-RADIANS(Z37))+SIN(RADIANS(Y37))*SIN(RADIANS(PARADEROS_VALIDOS!$E$2:$E$68)))),6371*ACOS(COS(RADIANS(Y37))*COS(RADIANS(PARADEROS_VALIDOS!$E$2:$E$68))*COS(RADIANS(PARADEROS_VALIDOS!$F$2:$F$68)-RADIANS(Z37))+SIN(RADIANS(Y37))*SIN(RADIANS(PARADEROS_VALIDOS!$E$2:$E$68))),0))</f>
        <v>Tottus Huachipa</v>
      </c>
      <c r="AD37" s="2" t="str">
        <f>IFERROR(INDEX(PARADEROS_VALIDOS!$A$2:$A$68,MATCH(AC37,PARADEROS_VALIDOS!$C$2:$C$68,0)),"")</f>
        <v>RUTA 1</v>
      </c>
      <c r="AE37" s="33" cm="1">
        <f t="array" ref="AE37">ROUND(MIN(6371*ACOS(COS(RADIANS(Y37))*COS(RADIANS(PARADEROS_VALIDOS!$E$2:$E$68))*COS(RADIANS(PARADEROS_VALIDOS!$F$2:$F$68)-RADIANS(Z37))+SIN(RADIANS(Y37))*SIN(RADIANS(PARADEROS_VALIDOS!$E$2:$E$68)))),2)</f>
        <v>0.3</v>
      </c>
      <c r="AF37" s="2" t="str">
        <f t="shared" si="3"/>
        <v>🟢 Muy Cerca (0-1 km)</v>
      </c>
      <c r="AG37" s="2"/>
      <c r="AH37" s="2"/>
      <c r="AI37" s="51">
        <v>-11.997563</v>
      </c>
      <c r="AJ37" s="51">
        <v>-76.900062000000005</v>
      </c>
      <c r="AK37" s="2" t="str">
        <f>IFERROR(VLOOKUP(I37,tdcargo[],2,FALSE),"DESCONOCIDO")</f>
        <v>STAFF</v>
      </c>
    </row>
    <row r="38" spans="1:37" x14ac:dyDescent="0.35">
      <c r="A38" s="2" t="s">
        <v>292</v>
      </c>
      <c r="B38" s="2" t="s">
        <v>293</v>
      </c>
      <c r="C38" s="2" t="s">
        <v>294</v>
      </c>
      <c r="D38" s="2" t="s">
        <v>295</v>
      </c>
      <c r="E38" s="2">
        <v>47</v>
      </c>
      <c r="F38" s="2" t="s">
        <v>28</v>
      </c>
      <c r="G38" s="2" t="s">
        <v>29</v>
      </c>
      <c r="H38" s="2">
        <v>20508931</v>
      </c>
      <c r="I38" s="2" t="s">
        <v>62</v>
      </c>
      <c r="J38" s="3">
        <v>43073</v>
      </c>
      <c r="K38" s="2" t="s">
        <v>31</v>
      </c>
      <c r="L38" s="2" t="s">
        <v>32</v>
      </c>
      <c r="M38" s="2" t="s">
        <v>33</v>
      </c>
      <c r="N38" s="2" t="s">
        <v>82</v>
      </c>
      <c r="O38" s="2" t="s">
        <v>296</v>
      </c>
      <c r="P38" s="2" t="s">
        <v>88</v>
      </c>
      <c r="Q38" s="2" t="s">
        <v>297</v>
      </c>
      <c r="R38" s="2">
        <v>15004</v>
      </c>
      <c r="S38" s="2" t="s">
        <v>37</v>
      </c>
      <c r="T38" s="2" t="s">
        <v>37</v>
      </c>
      <c r="U38" s="2" t="s">
        <v>57</v>
      </c>
      <c r="V38" s="3">
        <v>43073</v>
      </c>
      <c r="W38" s="2" t="s">
        <v>48</v>
      </c>
      <c r="X38" s="2" t="str">
        <f t="shared" si="0"/>
        <v>Calle Comercial, A.H. Asentamiento Humano Micaela Bastidas Sector 1, Ate, Lima, Lima, Perú</v>
      </c>
      <c r="Y38" s="22">
        <v>-12.0457204</v>
      </c>
      <c r="Z38" s="22">
        <v>-76.930263299999993</v>
      </c>
      <c r="AA38" s="33">
        <f t="shared" si="1"/>
        <v>6.28</v>
      </c>
      <c r="AB38" s="2" t="str">
        <f t="shared" si="2"/>
        <v>🟡 Cerca (5-10 km)</v>
      </c>
      <c r="AC38" s="2" t="str" cm="1">
        <f t="array" ref="AC38">INDEX(PARADEROS_VALIDOS!$C$2:$C$68,MATCH(MIN(6371*ACOS(COS(RADIANS(Y38))*COS(RADIANS(PARADEROS_VALIDOS!$E$2:$E$68))*COS(RADIANS(PARADEROS_VALIDOS!$F$2:$F$68)-RADIANS(Z38))+SIN(RADIANS(Y38))*SIN(RADIANS(PARADEROS_VALIDOS!$E$2:$E$68)))),6371*ACOS(COS(RADIANS(Y38))*COS(RADIANS(PARADEROS_VALIDOS!$E$2:$E$68))*COS(RADIANS(PARADEROS_VALIDOS!$F$2:$F$68)-RADIANS(Z38))+SIN(RADIANS(Y38))*SIN(RADIANS(PARADEROS_VALIDOS!$E$2:$E$68))),0))</f>
        <v>Real Plaza Puruchuco (Grifo Primax)</v>
      </c>
      <c r="AD38" s="2" t="str">
        <f>IFERROR(INDEX(PARADEROS_VALIDOS!$A$2:$A$68,MATCH(AC38,PARADEROS_VALIDOS!$C$2:$C$68,0)),"")</f>
        <v>RUTA 4A</v>
      </c>
      <c r="AE38" s="33" cm="1">
        <f t="array" ref="AE38">ROUND(MIN(6371*ACOS(COS(RADIANS(Y38))*COS(RADIANS(PARADEROS_VALIDOS!$E$2:$E$68))*COS(RADIANS(PARADEROS_VALIDOS!$F$2:$F$68)-RADIANS(Z38))+SIN(RADIANS(Y38))*SIN(RADIANS(PARADEROS_VALIDOS!$E$2:$E$68)))),2)</f>
        <v>0.52</v>
      </c>
      <c r="AF38" s="2" t="str">
        <f t="shared" si="3"/>
        <v>🟢 Muy Cerca (0-1 km)</v>
      </c>
      <c r="AG38" s="2"/>
      <c r="AH38" s="2"/>
      <c r="AI38" s="51">
        <v>-11.997563</v>
      </c>
      <c r="AJ38" s="51">
        <v>-76.900062000000005</v>
      </c>
      <c r="AK38" s="2" t="str">
        <f>IFERROR(VLOOKUP(I38,tdcargo[],2,FALSE),"DESCONOCIDO")</f>
        <v>OPERARIO</v>
      </c>
    </row>
    <row r="39" spans="1:37" x14ac:dyDescent="0.35">
      <c r="A39" s="2" t="s">
        <v>298</v>
      </c>
      <c r="B39" s="2" t="s">
        <v>299</v>
      </c>
      <c r="C39" s="2" t="s">
        <v>300</v>
      </c>
      <c r="D39" s="2" t="s">
        <v>301</v>
      </c>
      <c r="E39" s="2">
        <v>38</v>
      </c>
      <c r="F39" s="2" t="s">
        <v>28</v>
      </c>
      <c r="G39" s="2" t="s">
        <v>29</v>
      </c>
      <c r="H39" s="2">
        <v>20510621</v>
      </c>
      <c r="I39" s="2" t="s">
        <v>30</v>
      </c>
      <c r="J39" s="3">
        <v>45614</v>
      </c>
      <c r="K39" s="2" t="s">
        <v>31</v>
      </c>
      <c r="L39" s="2" t="s">
        <v>63</v>
      </c>
      <c r="M39" s="2" t="s">
        <v>64</v>
      </c>
      <c r="N39" s="2" t="s">
        <v>34</v>
      </c>
      <c r="O39" s="2" t="s">
        <v>302</v>
      </c>
      <c r="P39" s="2" t="s">
        <v>36</v>
      </c>
      <c r="Q39" s="2" t="s">
        <v>303</v>
      </c>
      <c r="R39" s="2">
        <v>15401</v>
      </c>
      <c r="S39" s="2" t="s">
        <v>37</v>
      </c>
      <c r="T39" s="2" t="s">
        <v>37</v>
      </c>
      <c r="U39" s="2" t="s">
        <v>38</v>
      </c>
      <c r="V39" s="3">
        <v>45614</v>
      </c>
      <c r="W39" s="2" t="s">
        <v>48</v>
      </c>
      <c r="X39" s="2" t="str">
        <f t="shared" si="0"/>
        <v>Avenida Jose Carlos Mariatequi Huascar, San Juan De Lurigancho, Lima, Lima, Perú</v>
      </c>
      <c r="Y39" s="22">
        <v>-11.9802214</v>
      </c>
      <c r="Z39" s="22">
        <v>-76.989015600000002</v>
      </c>
      <c r="AA39" s="33">
        <f t="shared" si="1"/>
        <v>9.8699999999999992</v>
      </c>
      <c r="AB39" s="2" t="str">
        <f t="shared" si="2"/>
        <v>🟡 Cerca (5-10 km)</v>
      </c>
      <c r="AC39" s="2" t="str" cm="1">
        <f t="array" ref="AC39">INDEX(PARADEROS_VALIDOS!$C$2:$C$68,MATCH(MIN(6371*ACOS(COS(RADIANS(Y39))*COS(RADIANS(PARADEROS_VALIDOS!$E$2:$E$68))*COS(RADIANS(PARADEROS_VALIDOS!$F$2:$F$68)-RADIANS(Z39))+SIN(RADIANS(Y39))*SIN(RADIANS(PARADEROS_VALIDOS!$E$2:$E$68)))),6371*ACOS(COS(RADIANS(Y39))*COS(RADIANS(PARADEROS_VALIDOS!$E$2:$E$68))*COS(RADIANS(PARADEROS_VALIDOS!$F$2:$F$68)-RADIANS(Z39))+SIN(RADIANS(Y39))*SIN(RADIANS(PARADEROS_VALIDOS!$E$2:$E$68))),0))</f>
        <v>Paradero San Martin</v>
      </c>
      <c r="AD39" s="2" t="str">
        <f>IFERROR(INDEX(PARADEROS_VALIDOS!$A$2:$A$68,MATCH(AC39,PARADEROS_VALIDOS!$C$2:$C$68,0)),"")</f>
        <v>RUTA 6A</v>
      </c>
      <c r="AE39" s="33" cm="1">
        <f t="array" ref="AE39">ROUND(MIN(6371*ACOS(COS(RADIANS(Y39))*COS(RADIANS(PARADEROS_VALIDOS!$E$2:$E$68))*COS(RADIANS(PARADEROS_VALIDOS!$F$2:$F$68)-RADIANS(Z39))+SIN(RADIANS(Y39))*SIN(RADIANS(PARADEROS_VALIDOS!$E$2:$E$68)))),2)</f>
        <v>1.35</v>
      </c>
      <c r="AF39" s="2" t="str">
        <f t="shared" si="3"/>
        <v>🟡 Cerca (1-3 km)</v>
      </c>
      <c r="AG39" s="2"/>
      <c r="AH39" s="2"/>
      <c r="AI39" s="51">
        <v>-11.997563</v>
      </c>
      <c r="AJ39" s="51">
        <v>-76.900062000000005</v>
      </c>
      <c r="AK39" s="2" t="str">
        <f>IFERROR(VLOOKUP(I39,tdcargo[],2,FALSE),"DESCONOCIDO")</f>
        <v>OPERARIO</v>
      </c>
    </row>
    <row r="40" spans="1:37" x14ac:dyDescent="0.35">
      <c r="A40" s="2" t="s">
        <v>304</v>
      </c>
      <c r="B40" s="2" t="s">
        <v>305</v>
      </c>
      <c r="C40" s="2" t="s">
        <v>107</v>
      </c>
      <c r="D40" s="2" t="s">
        <v>306</v>
      </c>
      <c r="E40" s="2">
        <v>43</v>
      </c>
      <c r="F40" s="2" t="s">
        <v>28</v>
      </c>
      <c r="G40" s="2" t="s">
        <v>29</v>
      </c>
      <c r="H40" s="2">
        <v>20515995</v>
      </c>
      <c r="I40" s="2" t="s">
        <v>307</v>
      </c>
      <c r="J40" s="3">
        <v>39630</v>
      </c>
      <c r="K40" s="2" t="s">
        <v>31</v>
      </c>
      <c r="L40" s="2" t="s">
        <v>32</v>
      </c>
      <c r="M40" s="2" t="s">
        <v>33</v>
      </c>
      <c r="N40" s="2" t="s">
        <v>36</v>
      </c>
      <c r="O40" s="2" t="s">
        <v>308</v>
      </c>
      <c r="P40" s="2" t="s">
        <v>309</v>
      </c>
      <c r="Q40" s="2" t="s">
        <v>46</v>
      </c>
      <c r="R40" s="2">
        <v>15816</v>
      </c>
      <c r="S40" s="2" t="s">
        <v>37</v>
      </c>
      <c r="T40" s="2" t="s">
        <v>37</v>
      </c>
      <c r="U40" s="2" t="s">
        <v>310</v>
      </c>
      <c r="V40" s="3">
        <v>39630</v>
      </c>
      <c r="W40" s="2" t="s">
        <v>48</v>
      </c>
      <c r="X40" s="2" t="str">
        <f t="shared" si="0"/>
        <v>Sector 3, Gru. Grupo, Villa El Salvador, Lima, Lima, Perú</v>
      </c>
      <c r="Y40" s="22">
        <v>-12.1919129</v>
      </c>
      <c r="Z40" s="22">
        <v>-76.937748799999994</v>
      </c>
      <c r="AA40" s="33">
        <f t="shared" si="1"/>
        <v>22</v>
      </c>
      <c r="AB40" s="2" t="str">
        <f t="shared" si="2"/>
        <v>🔴 Lejos (&gt;20 km)</v>
      </c>
      <c r="AC40" s="2" t="str" cm="1">
        <f t="array" ref="AC40">INDEX(PARADEROS_VALIDOS!$C$2:$C$68,MATCH(MIN(6371*ACOS(COS(RADIANS(Y40))*COS(RADIANS(PARADEROS_VALIDOS!$E$2:$E$68))*COS(RADIANS(PARADEROS_VALIDOS!$F$2:$F$68)-RADIANS(Z40))+SIN(RADIANS(Y40))*SIN(RADIANS(PARADEROS_VALIDOS!$E$2:$E$68)))),6371*ACOS(COS(RADIANS(Y40))*COS(RADIANS(PARADEROS_VALIDOS!$E$2:$E$68))*COS(RADIANS(PARADEROS_VALIDOS!$F$2:$F$68)-RADIANS(Z40))+SIN(RADIANS(Y40))*SIN(RADIANS(PARADEROS_VALIDOS!$E$2:$E$68))),0))</f>
        <v>Villa El Salvador (Cruce AV. El Sol con ruta C)</v>
      </c>
      <c r="AD40" s="2" t="str">
        <f>IFERROR(INDEX(PARADEROS_VALIDOS!$A$2:$A$68,MATCH(AC40,PARADEROS_VALIDOS!$C$2:$C$68,0)),"")</f>
        <v>RUTA 7</v>
      </c>
      <c r="AE40" s="33" cm="1">
        <f t="array" ref="AE40">ROUND(MIN(6371*ACOS(COS(RADIANS(Y40))*COS(RADIANS(PARADEROS_VALIDOS!$E$2:$E$68))*COS(RADIANS(PARADEROS_VALIDOS!$F$2:$F$68)-RADIANS(Z40))+SIN(RADIANS(Y40))*SIN(RADIANS(PARADEROS_VALIDOS!$E$2:$E$68)))),2)</f>
        <v>2.25</v>
      </c>
      <c r="AF40" s="2" t="str">
        <f t="shared" si="3"/>
        <v>🟡 Cerca (1-3 km)</v>
      </c>
      <c r="AG40" s="2"/>
      <c r="AH40" s="2"/>
      <c r="AI40" s="51">
        <v>-11.997563</v>
      </c>
      <c r="AJ40" s="51">
        <v>-76.900062000000005</v>
      </c>
      <c r="AK40" s="2" t="str">
        <f>IFERROR(VLOOKUP(I40,tdcargo[],2,FALSE),"DESCONOCIDO")</f>
        <v>OPERARIO</v>
      </c>
    </row>
    <row r="41" spans="1:37" x14ac:dyDescent="0.35">
      <c r="A41" s="2" t="s">
        <v>311</v>
      </c>
      <c r="B41" s="2" t="s">
        <v>312</v>
      </c>
      <c r="C41" s="2" t="s">
        <v>313</v>
      </c>
      <c r="D41" s="2" t="s">
        <v>314</v>
      </c>
      <c r="E41" s="2">
        <v>25</v>
      </c>
      <c r="F41" s="2" t="s">
        <v>28</v>
      </c>
      <c r="G41" s="2" t="s">
        <v>29</v>
      </c>
      <c r="H41" s="2">
        <v>20508891</v>
      </c>
      <c r="I41" s="2" t="s">
        <v>30</v>
      </c>
      <c r="J41" s="3">
        <v>43731</v>
      </c>
      <c r="K41" s="2" t="s">
        <v>31</v>
      </c>
      <c r="L41" s="2" t="s">
        <v>32</v>
      </c>
      <c r="M41" s="2" t="s">
        <v>33</v>
      </c>
      <c r="N41" s="2" t="s">
        <v>36</v>
      </c>
      <c r="O41" s="2" t="s">
        <v>315</v>
      </c>
      <c r="P41" s="2" t="s">
        <v>36</v>
      </c>
      <c r="Q41" s="2" t="s">
        <v>316</v>
      </c>
      <c r="R41" s="2">
        <v>15004</v>
      </c>
      <c r="S41" s="2" t="s">
        <v>37</v>
      </c>
      <c r="T41" s="2" t="s">
        <v>37</v>
      </c>
      <c r="U41" s="2" t="s">
        <v>57</v>
      </c>
      <c r="V41" s="3">
        <v>43731</v>
      </c>
      <c r="W41" s="2" t="s">
        <v>48</v>
      </c>
      <c r="X41" s="2" t="str">
        <f t="shared" si="0"/>
        <v>Ucv 138 Lt 51 Zona I Ucv 138, Ate, Lima, Lima, Perú</v>
      </c>
      <c r="Y41" s="22">
        <v>-12.0100449</v>
      </c>
      <c r="Z41" s="22">
        <v>-76.827822800000007</v>
      </c>
      <c r="AA41" s="33">
        <f t="shared" si="1"/>
        <v>7.98</v>
      </c>
      <c r="AB41" s="2" t="str">
        <f t="shared" si="2"/>
        <v>🟡 Cerca (5-10 km)</v>
      </c>
      <c r="AC41" s="2" t="str" cm="1">
        <f t="array" ref="AC41">INDEX(PARADEROS_VALIDOS!$C$2:$C$68,MATCH(MIN(6371*ACOS(COS(RADIANS(Y41))*COS(RADIANS(PARADEROS_VALIDOS!$E$2:$E$68))*COS(RADIANS(PARADEROS_VALIDOS!$F$2:$F$68)-RADIANS(Z41))+SIN(RADIANS(Y41))*SIN(RADIANS(PARADEROS_VALIDOS!$E$2:$E$68)))),6371*ACOS(COS(RADIANS(Y41))*COS(RADIANS(PARADEROS_VALIDOS!$E$2:$E$68))*COS(RADIANS(PARADEROS_VALIDOS!$F$2:$F$68)-RADIANS(Z41))+SIN(RADIANS(Y41))*SIN(RADIANS(PARADEROS_VALIDOS!$E$2:$E$68))),0))</f>
        <v>Entrada Horacio</v>
      </c>
      <c r="AD41" s="2" t="str">
        <f>IFERROR(INDEX(PARADEROS_VALIDOS!$A$2:$A$68,MATCH(AC41,PARADEROS_VALIDOS!$C$2:$C$68,0)),"")</f>
        <v>RUTA 5B</v>
      </c>
      <c r="AE41" s="33" cm="1">
        <f t="array" ref="AE41">ROUND(MIN(6371*ACOS(COS(RADIANS(Y41))*COS(RADIANS(PARADEROS_VALIDOS!$E$2:$E$68))*COS(RADIANS(PARADEROS_VALIDOS!$F$2:$F$68)-RADIANS(Z41))+SIN(RADIANS(Y41))*SIN(RADIANS(PARADEROS_VALIDOS!$E$2:$E$68)))),2)</f>
        <v>1.56</v>
      </c>
      <c r="AF41" s="2" t="str">
        <f t="shared" si="3"/>
        <v>🟡 Cerca (1-3 km)</v>
      </c>
      <c r="AG41" s="2"/>
      <c r="AH41" s="2"/>
      <c r="AI41" s="51">
        <v>-11.997563</v>
      </c>
      <c r="AJ41" s="51">
        <v>-76.900062000000005</v>
      </c>
      <c r="AK41" s="2" t="str">
        <f>IFERROR(VLOOKUP(I41,tdcargo[],2,FALSE),"DESCONOCIDO")</f>
        <v>OPERARIO</v>
      </c>
    </row>
    <row r="42" spans="1:37" x14ac:dyDescent="0.35">
      <c r="A42" s="2" t="s">
        <v>317</v>
      </c>
      <c r="B42" s="2" t="s">
        <v>318</v>
      </c>
      <c r="C42" s="2" t="s">
        <v>319</v>
      </c>
      <c r="D42" s="2" t="s">
        <v>320</v>
      </c>
      <c r="E42" s="2">
        <v>21</v>
      </c>
      <c r="F42" s="2" t="s">
        <v>28</v>
      </c>
      <c r="G42" s="2" t="s">
        <v>29</v>
      </c>
      <c r="H42" s="2">
        <v>20508942</v>
      </c>
      <c r="I42" s="2" t="s">
        <v>62</v>
      </c>
      <c r="J42" s="3">
        <v>45390</v>
      </c>
      <c r="K42" s="2" t="s">
        <v>31</v>
      </c>
      <c r="L42" s="2" t="s">
        <v>32</v>
      </c>
      <c r="M42" s="2" t="s">
        <v>33</v>
      </c>
      <c r="N42" s="2" t="s">
        <v>34</v>
      </c>
      <c r="O42" s="2" t="s">
        <v>321</v>
      </c>
      <c r="P42" s="2" t="s">
        <v>36</v>
      </c>
      <c r="Q42" s="2" t="s">
        <v>322</v>
      </c>
      <c r="R42" s="2">
        <v>15004</v>
      </c>
      <c r="S42" s="2" t="s">
        <v>37</v>
      </c>
      <c r="T42" s="2" t="s">
        <v>37</v>
      </c>
      <c r="U42" s="2" t="s">
        <v>57</v>
      </c>
      <c r="V42" s="3">
        <v>45390</v>
      </c>
      <c r="W42" s="2" t="s">
        <v>48</v>
      </c>
      <c r="X42" s="2" t="str">
        <f t="shared" si="0"/>
        <v>Avenida Av Tupac Amaru Mz V1 Lt 12 Cerro Camote, Ate, Lima, Lima, Perú</v>
      </c>
      <c r="Y42" s="22">
        <v>-12.0180772</v>
      </c>
      <c r="Z42" s="22">
        <v>-76.885393699999995</v>
      </c>
      <c r="AA42" s="33">
        <f t="shared" si="1"/>
        <v>2.78</v>
      </c>
      <c r="AB42" s="2" t="str">
        <f t="shared" si="2"/>
        <v>🟢 Muy Cerca (0-5 km)</v>
      </c>
      <c r="AC42" s="2" t="str" cm="1">
        <f t="array" ref="AC42">INDEX(PARADEROS_VALIDOS!$C$2:$C$68,MATCH(MIN(6371*ACOS(COS(RADIANS(Y42))*COS(RADIANS(PARADEROS_VALIDOS!$E$2:$E$68))*COS(RADIANS(PARADEROS_VALIDOS!$F$2:$F$68)-RADIANS(Z42))+SIN(RADIANS(Y42))*SIN(RADIANS(PARADEROS_VALIDOS!$E$2:$E$68)))),6371*ACOS(COS(RADIANS(Y42))*COS(RADIANS(PARADEROS_VALIDOS!$E$2:$E$68))*COS(RADIANS(PARADEROS_VALIDOS!$F$2:$F$68)-RADIANS(Z42))+SIN(RADIANS(Y42))*SIN(RADIANS(PARADEROS_VALIDOS!$E$2:$E$68))),0))</f>
        <v>Paradero Sta. Clara</v>
      </c>
      <c r="AD42" s="2" t="str">
        <f>IFERROR(INDEX(PARADEROS_VALIDOS!$A$2:$A$68,MATCH(AC42,PARADEROS_VALIDOS!$C$2:$C$68,0)),"")</f>
        <v>RUTA 5C</v>
      </c>
      <c r="AE42" s="33" cm="1">
        <f t="array" ref="AE42">ROUND(MIN(6371*ACOS(COS(RADIANS(Y42))*COS(RADIANS(PARADEROS_VALIDOS!$E$2:$E$68))*COS(RADIANS(PARADEROS_VALIDOS!$F$2:$F$68)-RADIANS(Z42))+SIN(RADIANS(Y42))*SIN(RADIANS(PARADEROS_VALIDOS!$E$2:$E$68)))),2)</f>
        <v>0.36</v>
      </c>
      <c r="AF42" s="2" t="str">
        <f t="shared" si="3"/>
        <v>🟢 Muy Cerca (0-1 km)</v>
      </c>
      <c r="AG42" s="2"/>
      <c r="AH42" s="2"/>
      <c r="AI42" s="51">
        <v>-11.997563</v>
      </c>
      <c r="AJ42" s="51">
        <v>-76.900062000000005</v>
      </c>
      <c r="AK42" s="2" t="str">
        <f>IFERROR(VLOOKUP(I42,tdcargo[],2,FALSE),"DESCONOCIDO")</f>
        <v>OPERARIO</v>
      </c>
    </row>
    <row r="43" spans="1:37" x14ac:dyDescent="0.35">
      <c r="A43" s="2" t="s">
        <v>323</v>
      </c>
      <c r="B43" s="2" t="s">
        <v>324</v>
      </c>
      <c r="C43" s="2" t="s">
        <v>325</v>
      </c>
      <c r="D43" s="2" t="s">
        <v>326</v>
      </c>
      <c r="E43" s="2">
        <v>31</v>
      </c>
      <c r="F43" s="2" t="s">
        <v>28</v>
      </c>
      <c r="G43" s="2" t="s">
        <v>29</v>
      </c>
      <c r="H43" s="2">
        <v>20512367</v>
      </c>
      <c r="I43" s="2" t="s">
        <v>327</v>
      </c>
      <c r="J43" s="3">
        <v>45796</v>
      </c>
      <c r="K43" s="2" t="s">
        <v>31</v>
      </c>
      <c r="L43" s="2" t="s">
        <v>328</v>
      </c>
      <c r="M43" s="2" t="s">
        <v>329</v>
      </c>
      <c r="N43" s="2" t="s">
        <v>82</v>
      </c>
      <c r="O43" s="2" t="s">
        <v>330</v>
      </c>
      <c r="P43" s="2" t="s">
        <v>36</v>
      </c>
      <c r="Q43" s="2" t="s">
        <v>331</v>
      </c>
      <c r="R43" s="2">
        <v>15401</v>
      </c>
      <c r="S43" s="2" t="s">
        <v>37</v>
      </c>
      <c r="T43" s="2" t="s">
        <v>37</v>
      </c>
      <c r="U43" s="2" t="s">
        <v>38</v>
      </c>
      <c r="V43" s="3">
        <v>45796</v>
      </c>
      <c r="W43" s="2" t="s">
        <v>39</v>
      </c>
      <c r="X43" s="2" t="str">
        <f t="shared" si="0"/>
        <v>Calle Asent. H. Upis Huascar De Canto Grande Upis Huascar De Canto Grande, San Juan De Lurigancho, Lima, Lima, Perú</v>
      </c>
      <c r="Y43" s="22">
        <v>-12.008926600000001</v>
      </c>
      <c r="Z43" s="22">
        <v>-77.017007000000007</v>
      </c>
      <c r="AA43" s="33">
        <f t="shared" si="1"/>
        <v>12.78</v>
      </c>
      <c r="AB43" s="2" t="str">
        <f t="shared" si="2"/>
        <v>🟠 Moderada (10-20 km)</v>
      </c>
      <c r="AC43" s="2" t="str" cm="1">
        <f t="array" ref="AC43">INDEX(PARADEROS_VALIDOS!$C$2:$C$68,MATCH(MIN(6371*ACOS(COS(RADIANS(Y43))*COS(RADIANS(PARADEROS_VALIDOS!$E$2:$E$68))*COS(RADIANS(PARADEROS_VALIDOS!$F$2:$F$68)-RADIANS(Z43))+SIN(RADIANS(Y43))*SIN(RADIANS(PARADEROS_VALIDOS!$E$2:$E$68)))),6371*ACOS(COS(RADIANS(Y43))*COS(RADIANS(PARADEROS_VALIDOS!$E$2:$E$68))*COS(RADIANS(PARADEROS_VALIDOS!$F$2:$F$68)-RADIANS(Z43))+SIN(RADIANS(Y43))*SIN(RADIANS(PARADEROS_VALIDOS!$E$2:$E$68))),0))</f>
        <v>Paradero Metro Hacienda</v>
      </c>
      <c r="AD43" s="2" t="str">
        <f>IFERROR(INDEX(PARADEROS_VALIDOS!$A$2:$A$68,MATCH(AC43,PARADEROS_VALIDOS!$C$2:$C$68,0)),"")</f>
        <v>RUTA 6B</v>
      </c>
      <c r="AE43" s="33" cm="1">
        <f t="array" ref="AE43">ROUND(MIN(6371*ACOS(COS(RADIANS(Y43))*COS(RADIANS(PARADEROS_VALIDOS!$E$2:$E$68))*COS(RADIANS(PARADEROS_VALIDOS!$F$2:$F$68)-RADIANS(Z43))+SIN(RADIANS(Y43))*SIN(RADIANS(PARADEROS_VALIDOS!$E$2:$E$68)))),2)</f>
        <v>1.1499999999999999</v>
      </c>
      <c r="AF43" s="2" t="str">
        <f t="shared" si="3"/>
        <v>🟡 Cerca (1-3 km)</v>
      </c>
      <c r="AG43" s="2"/>
      <c r="AH43" s="2"/>
      <c r="AI43" s="51">
        <v>-11.997563</v>
      </c>
      <c r="AJ43" s="51">
        <v>-76.900062000000005</v>
      </c>
      <c r="AK43" s="2" t="str">
        <f>IFERROR(VLOOKUP(I43,tdcargo[],2,FALSE),"DESCONOCIDO")</f>
        <v>STAFF</v>
      </c>
    </row>
    <row r="44" spans="1:37" x14ac:dyDescent="0.35">
      <c r="A44" s="2" t="s">
        <v>332</v>
      </c>
      <c r="B44" s="2" t="s">
        <v>333</v>
      </c>
      <c r="C44" s="2" t="s">
        <v>334</v>
      </c>
      <c r="D44" s="2" t="s">
        <v>335</v>
      </c>
      <c r="E44" s="2">
        <v>25</v>
      </c>
      <c r="F44" s="2" t="s">
        <v>28</v>
      </c>
      <c r="G44" s="2" t="s">
        <v>29</v>
      </c>
      <c r="H44" s="2">
        <v>20514998</v>
      </c>
      <c r="I44" s="2" t="s">
        <v>336</v>
      </c>
      <c r="J44" s="3">
        <v>45962</v>
      </c>
      <c r="K44" s="2" t="s">
        <v>31</v>
      </c>
      <c r="L44" s="2" t="s">
        <v>328</v>
      </c>
      <c r="M44" s="2" t="s">
        <v>329</v>
      </c>
      <c r="N44" s="2" t="s">
        <v>34</v>
      </c>
      <c r="O44" s="2" t="s">
        <v>4604</v>
      </c>
      <c r="P44" s="2" t="s">
        <v>36</v>
      </c>
      <c r="Q44" s="2" t="s">
        <v>4605</v>
      </c>
      <c r="R44" s="2">
        <v>15801</v>
      </c>
      <c r="S44" s="2" t="s">
        <v>37</v>
      </c>
      <c r="T44" s="2" t="s">
        <v>37</v>
      </c>
      <c r="U44" s="2" t="s">
        <v>4605</v>
      </c>
      <c r="V44" s="3">
        <v>45962</v>
      </c>
      <c r="W44" s="2" t="s">
        <v>39</v>
      </c>
      <c r="X44" s="2" t="str">
        <f t="shared" si="0"/>
        <v>Avenida San Juan 686 San Luis, San Luis, Lima, Lima, Perú</v>
      </c>
      <c r="Y44" s="22">
        <v>-12.076174999999999</v>
      </c>
      <c r="Z44" s="22">
        <v>-77.003507999999997</v>
      </c>
      <c r="AA44" s="33">
        <f t="shared" si="1"/>
        <v>14.25</v>
      </c>
      <c r="AB44" s="2" t="str">
        <f t="shared" si="2"/>
        <v>🟠 Moderada (10-20 km)</v>
      </c>
      <c r="AC44" s="2" t="str" cm="1">
        <f t="array" ref="AC44">INDEX(PARADEROS_VALIDOS!$C$2:$C$68,MATCH(MIN(6371*ACOS(COS(RADIANS(Y44))*COS(RADIANS(PARADEROS_VALIDOS!$E$2:$E$68))*COS(RADIANS(PARADEROS_VALIDOS!$F$2:$F$68)-RADIANS(Z44))+SIN(RADIANS(Y44))*SIN(RADIANS(PARADEROS_VALIDOS!$E$2:$E$68)))),6371*ACOS(COS(RADIANS(Y44))*COS(RADIANS(PARADEROS_VALIDOS!$E$2:$E$68))*COS(RADIANS(PARADEROS_VALIDOS!$F$2:$F$68)-RADIANS(Z44))+SIN(RADIANS(Y44))*SIN(RADIANS(PARADEROS_VALIDOS!$E$2:$E$68))),0))</f>
        <v>Paradero Berlín con Javier prado (cruzando el semáforo) aplica solo al ingreso.</v>
      </c>
      <c r="AD44" s="2" t="str">
        <f>IFERROR(INDEX(PARADEROS_VALIDOS!$A$2:$A$68,MATCH(AC44,PARADEROS_VALIDOS!$C$2:$C$68,0)),"")</f>
        <v>RUTA 4A</v>
      </c>
      <c r="AE44" s="33" cm="1">
        <f t="array" ref="AE44">ROUND(MIN(6371*ACOS(COS(RADIANS(Y44))*COS(RADIANS(PARADEROS_VALIDOS!$E$2:$E$68))*COS(RADIANS(PARADEROS_VALIDOS!$F$2:$F$68)-RADIANS(Z44))+SIN(RADIANS(Y44))*SIN(RADIANS(PARADEROS_VALIDOS!$E$2:$E$68)))),2)</f>
        <v>2.17</v>
      </c>
      <c r="AF44" s="2" t="str">
        <f t="shared" si="3"/>
        <v>🟡 Cerca (1-3 km)</v>
      </c>
      <c r="AG44" s="2"/>
      <c r="AH44" s="2"/>
      <c r="AI44" s="51">
        <v>-11.997563</v>
      </c>
      <c r="AJ44" s="51">
        <v>-76.900062000000005</v>
      </c>
      <c r="AK44" s="2" t="str">
        <f>IFERROR(VLOOKUP(I44,tdcargo[],2,FALSE),"DESCONOCIDO")</f>
        <v>STAFF</v>
      </c>
    </row>
    <row r="45" spans="1:37" x14ac:dyDescent="0.35">
      <c r="A45" s="2" t="s">
        <v>340</v>
      </c>
      <c r="B45" s="2" t="s">
        <v>341</v>
      </c>
      <c r="C45" s="2" t="s">
        <v>342</v>
      </c>
      <c r="D45" s="2" t="s">
        <v>343</v>
      </c>
      <c r="E45" s="2">
        <v>35</v>
      </c>
      <c r="F45" s="2" t="s">
        <v>28</v>
      </c>
      <c r="G45" s="2" t="s">
        <v>29</v>
      </c>
      <c r="H45" s="2">
        <v>20508724</v>
      </c>
      <c r="I45" s="2" t="s">
        <v>344</v>
      </c>
      <c r="J45" s="3">
        <v>44144</v>
      </c>
      <c r="K45" s="2" t="s">
        <v>31</v>
      </c>
      <c r="L45" s="2" t="s">
        <v>328</v>
      </c>
      <c r="M45" s="2" t="s">
        <v>329</v>
      </c>
      <c r="N45" s="2" t="s">
        <v>82</v>
      </c>
      <c r="O45" s="2" t="s">
        <v>345</v>
      </c>
      <c r="P45" s="2" t="s">
        <v>186</v>
      </c>
      <c r="Q45" s="2" t="s">
        <v>346</v>
      </c>
      <c r="R45" s="2">
        <v>15007</v>
      </c>
      <c r="S45" s="2" t="s">
        <v>37</v>
      </c>
      <c r="T45" s="2" t="s">
        <v>37</v>
      </c>
      <c r="U45" s="2" t="s">
        <v>347</v>
      </c>
      <c r="V45" s="3">
        <v>46029</v>
      </c>
      <c r="W45" s="2" t="s">
        <v>340</v>
      </c>
      <c r="X45" s="2" t="str">
        <f t="shared" si="0"/>
        <v>Calle las llanuras, Urb. Urbanización las praderas, El Agustino, Lima, Lima, Perú</v>
      </c>
      <c r="Y45" s="22">
        <v>-12.02867</v>
      </c>
      <c r="Z45" s="22">
        <v>-76.96454</v>
      </c>
      <c r="AA45" s="33">
        <f t="shared" si="1"/>
        <v>7.82</v>
      </c>
      <c r="AB45" s="2" t="str">
        <f t="shared" si="2"/>
        <v>🟡 Cerca (5-10 km)</v>
      </c>
      <c r="AC45" s="2" t="str" cm="1">
        <f t="array" ref="AC45">INDEX(PARADEROS_VALIDOS!$C$2:$C$68,MATCH(MIN(6371*ACOS(COS(RADIANS(Y45))*COS(RADIANS(PARADEROS_VALIDOS!$E$2:$E$68))*COS(RADIANS(PARADEROS_VALIDOS!$F$2:$F$68)-RADIANS(Z45))+SIN(RADIANS(Y45))*SIN(RADIANS(PARADEROS_VALIDOS!$E$2:$E$68)))),6371*ACOS(COS(RADIANS(Y45))*COS(RADIANS(PARADEROS_VALIDOS!$E$2:$E$68))*COS(RADIANS(PARADEROS_VALIDOS!$F$2:$F$68)-RADIANS(Z45))+SIN(RADIANS(Y45))*SIN(RADIANS(PARADEROS_VALIDOS!$E$2:$E$68))),0))</f>
        <v>Paradero Bayóvar</v>
      </c>
      <c r="AD45" s="2" t="str">
        <f>IFERROR(INDEX(PARADEROS_VALIDOS!$A$2:$A$68,MATCH(AC45,PARADEROS_VALIDOS!$C$2:$C$68,0)),"")</f>
        <v>RUTA 6A</v>
      </c>
      <c r="AE45" s="33" cm="1">
        <f t="array" ref="AE45">ROUND(MIN(6371*ACOS(COS(RADIANS(Y45))*COS(RADIANS(PARADEROS_VALIDOS!$E$2:$E$68))*COS(RADIANS(PARADEROS_VALIDOS!$F$2:$F$68)-RADIANS(Z45))+SIN(RADIANS(Y45))*SIN(RADIANS(PARADEROS_VALIDOS!$E$2:$E$68)))),2)</f>
        <v>0.52</v>
      </c>
      <c r="AF45" s="2" t="str">
        <f t="shared" si="3"/>
        <v>🟢 Muy Cerca (0-1 km)</v>
      </c>
      <c r="AG45" s="2"/>
      <c r="AH45" s="2"/>
      <c r="AI45" s="51">
        <v>-11.997563</v>
      </c>
      <c r="AJ45" s="51">
        <v>-76.900062000000005</v>
      </c>
      <c r="AK45" s="2" t="str">
        <f>IFERROR(VLOOKUP(I45,tdcargo[],2,FALSE),"DESCONOCIDO")</f>
        <v>STAFF</v>
      </c>
    </row>
    <row r="46" spans="1:37" x14ac:dyDescent="0.35">
      <c r="A46" s="2" t="s">
        <v>348</v>
      </c>
      <c r="B46" s="2" t="s">
        <v>349</v>
      </c>
      <c r="C46" s="2" t="s">
        <v>350</v>
      </c>
      <c r="D46" s="2" t="s">
        <v>199</v>
      </c>
      <c r="E46" s="2">
        <v>24</v>
      </c>
      <c r="F46" s="2" t="s">
        <v>28</v>
      </c>
      <c r="G46" s="2" t="s">
        <v>29</v>
      </c>
      <c r="H46" s="2">
        <v>20508903</v>
      </c>
      <c r="I46" s="2" t="s">
        <v>30</v>
      </c>
      <c r="J46" s="3">
        <v>46034</v>
      </c>
      <c r="K46" s="2" t="s">
        <v>31</v>
      </c>
      <c r="L46" s="2" t="s">
        <v>32</v>
      </c>
      <c r="M46" s="2" t="s">
        <v>33</v>
      </c>
      <c r="N46" s="2" t="s">
        <v>82</v>
      </c>
      <c r="O46" s="2" t="s">
        <v>351</v>
      </c>
      <c r="P46" s="2" t="s">
        <v>36</v>
      </c>
      <c r="Q46" s="2"/>
      <c r="R46" s="2">
        <v>15457</v>
      </c>
      <c r="S46" s="2" t="s">
        <v>37</v>
      </c>
      <c r="T46" s="2" t="s">
        <v>37</v>
      </c>
      <c r="U46" s="2" t="s">
        <v>76</v>
      </c>
      <c r="V46" s="3">
        <v>46034</v>
      </c>
      <c r="W46" s="2" t="s">
        <v>135</v>
      </c>
      <c r="X46" s="2" t="str">
        <f t="shared" si="0"/>
        <v>Calle San Valentin 2da, Lurigancho, Lima, Lima, Perú</v>
      </c>
      <c r="Y46" s="22">
        <v>-12.009696699999999</v>
      </c>
      <c r="Z46" s="22">
        <v>-76.905361299999996</v>
      </c>
      <c r="AA46" s="33">
        <f t="shared" si="1"/>
        <v>1.47</v>
      </c>
      <c r="AB46" s="2" t="str">
        <f t="shared" si="2"/>
        <v>🟢 Muy Cerca (0-5 km)</v>
      </c>
      <c r="AC46" s="2" t="str" cm="1">
        <f t="array" ref="AC46">INDEX(PARADEROS_VALIDOS!$C$2:$C$68,MATCH(MIN(6371*ACOS(COS(RADIANS(Y46))*COS(RADIANS(PARADEROS_VALIDOS!$E$2:$E$68))*COS(RADIANS(PARADEROS_VALIDOS!$F$2:$F$68)-RADIANS(Z46))+SIN(RADIANS(Y46))*SIN(RADIANS(PARADEROS_VALIDOS!$E$2:$E$68)))),6371*ACOS(COS(RADIANS(Y46))*COS(RADIANS(PARADEROS_VALIDOS!$E$2:$E$68))*COS(RADIANS(PARADEROS_VALIDOS!$F$2:$F$68)-RADIANS(Z46))+SIN(RADIANS(Y46))*SIN(RADIANS(PARADEROS_VALIDOS!$E$2:$E$68))),0))</f>
        <v>Tottus Huachipa</v>
      </c>
      <c r="AD46" s="2" t="str">
        <f>IFERROR(INDEX(PARADEROS_VALIDOS!$A$2:$A$68,MATCH(AC46,PARADEROS_VALIDOS!$C$2:$C$68,0)),"")</f>
        <v>RUTA 1</v>
      </c>
      <c r="AE46" s="33" cm="1">
        <f t="array" ref="AE46">ROUND(MIN(6371*ACOS(COS(RADIANS(Y46))*COS(RADIANS(PARADEROS_VALIDOS!$E$2:$E$68))*COS(RADIANS(PARADEROS_VALIDOS!$F$2:$F$68)-RADIANS(Z46))+SIN(RADIANS(Y46))*SIN(RADIANS(PARADEROS_VALIDOS!$E$2:$E$68)))),2)</f>
        <v>1.18</v>
      </c>
      <c r="AF46" s="2" t="str">
        <f t="shared" si="3"/>
        <v>🟡 Cerca (1-3 km)</v>
      </c>
      <c r="AG46" s="2"/>
      <c r="AH46" s="2"/>
      <c r="AI46" s="51">
        <v>-11.997563</v>
      </c>
      <c r="AJ46" s="51">
        <v>-76.900062000000005</v>
      </c>
      <c r="AK46" s="2" t="str">
        <f>IFERROR(VLOOKUP(I46,tdcargo[],2,FALSE),"DESCONOCIDO")</f>
        <v>OPERARIO</v>
      </c>
    </row>
    <row r="47" spans="1:37" x14ac:dyDescent="0.35">
      <c r="A47" s="2" t="s">
        <v>352</v>
      </c>
      <c r="B47" s="2" t="s">
        <v>353</v>
      </c>
      <c r="C47" s="2" t="s">
        <v>354</v>
      </c>
      <c r="D47" s="2" t="s">
        <v>355</v>
      </c>
      <c r="E47" s="2">
        <v>28</v>
      </c>
      <c r="F47" s="2" t="s">
        <v>28</v>
      </c>
      <c r="G47" s="2" t="s">
        <v>29</v>
      </c>
      <c r="H47" s="2">
        <v>20514455</v>
      </c>
      <c r="I47" s="2" t="s">
        <v>30</v>
      </c>
      <c r="J47" s="3">
        <v>46034</v>
      </c>
      <c r="K47" s="2" t="s">
        <v>31</v>
      </c>
      <c r="L47" s="2" t="s">
        <v>100</v>
      </c>
      <c r="M47" s="2" t="s">
        <v>101</v>
      </c>
      <c r="N47" s="2" t="s">
        <v>34</v>
      </c>
      <c r="O47" s="2" t="s">
        <v>356</v>
      </c>
      <c r="P47" s="2" t="s">
        <v>36</v>
      </c>
      <c r="Q47" s="2"/>
      <c r="R47" s="2">
        <v>15510</v>
      </c>
      <c r="S47" s="2" t="s">
        <v>37</v>
      </c>
      <c r="T47" s="2" t="s">
        <v>195</v>
      </c>
      <c r="U47" s="2" t="s">
        <v>196</v>
      </c>
      <c r="V47" s="3">
        <v>46034</v>
      </c>
      <c r="W47" s="2" t="s">
        <v>135</v>
      </c>
      <c r="X47" s="2" t="str">
        <f t="shared" si="0"/>
        <v>Avenida Berlinas, San Antonio, Huarochiri, Lima, Perú</v>
      </c>
      <c r="Y47" s="22">
        <v>-11.8289311</v>
      </c>
      <c r="Z47" s="22">
        <v>-76.802893299999994</v>
      </c>
      <c r="AA47" s="33">
        <f t="shared" si="1"/>
        <v>21.53</v>
      </c>
      <c r="AB47" s="2" t="str">
        <f t="shared" si="2"/>
        <v>🔴 Lejos (&gt;20 km)</v>
      </c>
      <c r="AC47" s="2" t="str" cm="1">
        <f t="array" ref="AC47">INDEX(PARADEROS_VALIDOS!$C$2:$C$68,MATCH(MIN(6371*ACOS(COS(RADIANS(Y47))*COS(RADIANS(PARADEROS_VALIDOS!$E$2:$E$68))*COS(RADIANS(PARADEROS_VALIDOS!$F$2:$F$68)-RADIANS(Z47))+SIN(RADIANS(Y47))*SIN(RADIANS(PARADEROS_VALIDOS!$E$2:$E$68)))),6371*ACOS(COS(RADIANS(Y47))*COS(RADIANS(PARADEROS_VALIDOS!$E$2:$E$68))*COS(RADIANS(PARADEROS_VALIDOS!$F$2:$F$68)-RADIANS(Z47))+SIN(RADIANS(Y47))*SIN(RADIANS(PARADEROS_VALIDOS!$E$2:$E$68))),0))</f>
        <v>Paradero Girasoles - Chaclacayo</v>
      </c>
      <c r="AD47" s="2" t="str">
        <f>IFERROR(INDEX(PARADEROS_VALIDOS!$A$2:$A$68,MATCH(AC47,PARADEROS_VALIDOS!$C$2:$C$68,0)),"")</f>
        <v>RUTA 5A</v>
      </c>
      <c r="AE47" s="33" cm="1">
        <f t="array" ref="AE47">ROUND(MIN(6371*ACOS(COS(RADIANS(Y47))*COS(RADIANS(PARADEROS_VALIDOS!$E$2:$E$68))*COS(RADIANS(PARADEROS_VALIDOS!$F$2:$F$68)-RADIANS(Z47))+SIN(RADIANS(Y47))*SIN(RADIANS(PARADEROS_VALIDOS!$E$2:$E$68)))),2)</f>
        <v>16.739999999999998</v>
      </c>
      <c r="AF47" s="2" t="str">
        <f t="shared" si="3"/>
        <v>🔴 Lejos (&gt;5 km)</v>
      </c>
      <c r="AG47" s="2"/>
      <c r="AH47" s="2"/>
      <c r="AI47" s="51">
        <v>-11.997563</v>
      </c>
      <c r="AJ47" s="51">
        <v>-76.900062000000005</v>
      </c>
      <c r="AK47" s="2" t="str">
        <f>IFERROR(VLOOKUP(I47,tdcargo[],2,FALSE),"DESCONOCIDO")</f>
        <v>OPERARIO</v>
      </c>
    </row>
    <row r="48" spans="1:37" x14ac:dyDescent="0.35">
      <c r="A48" s="2" t="s">
        <v>357</v>
      </c>
      <c r="B48" s="2" t="s">
        <v>358</v>
      </c>
      <c r="C48" s="2" t="s">
        <v>230</v>
      </c>
      <c r="D48" s="2" t="s">
        <v>359</v>
      </c>
      <c r="E48" s="2">
        <v>23</v>
      </c>
      <c r="F48" s="2" t="s">
        <v>28</v>
      </c>
      <c r="G48" s="2" t="s">
        <v>29</v>
      </c>
      <c r="H48" s="2">
        <v>20512339</v>
      </c>
      <c r="I48" s="2" t="s">
        <v>30</v>
      </c>
      <c r="J48" s="3">
        <v>46097</v>
      </c>
      <c r="K48" s="2" t="s">
        <v>31</v>
      </c>
      <c r="L48" s="2" t="s">
        <v>108</v>
      </c>
      <c r="M48" s="2" t="s">
        <v>109</v>
      </c>
      <c r="N48" s="2" t="s">
        <v>82</v>
      </c>
      <c r="O48" s="2">
        <v>8</v>
      </c>
      <c r="P48" s="2" t="s">
        <v>36</v>
      </c>
      <c r="Q48" s="2" t="s">
        <v>360</v>
      </c>
      <c r="R48" s="2">
        <v>15001</v>
      </c>
      <c r="S48" s="2" t="s">
        <v>37</v>
      </c>
      <c r="T48" s="2" t="s">
        <v>37</v>
      </c>
      <c r="U48" s="2" t="s">
        <v>37</v>
      </c>
      <c r="V48" s="3">
        <v>46097</v>
      </c>
      <c r="W48" s="2" t="s">
        <v>135</v>
      </c>
      <c r="X48" s="2" t="str">
        <f t="shared" si="0"/>
        <v>Calle 8 SANTA MARIA BAJA, Lima, Lima, Lima, Perú</v>
      </c>
      <c r="Y48" s="22">
        <v>-11.941803200000001</v>
      </c>
      <c r="Z48" s="22">
        <v>-76.975369000000001</v>
      </c>
      <c r="AA48" s="33">
        <f t="shared" si="1"/>
        <v>10.27</v>
      </c>
      <c r="AB48" s="2" t="str">
        <f t="shared" si="2"/>
        <v>🟠 Moderada (10-20 km)</v>
      </c>
      <c r="AC48" s="2" t="str" cm="1">
        <f t="array" ref="AC48">INDEX(PARADEROS_VALIDOS!$C$2:$C$68,MATCH(MIN(6371*ACOS(COS(RADIANS(Y48))*COS(RADIANS(PARADEROS_VALIDOS!$E$2:$E$68))*COS(RADIANS(PARADEROS_VALIDOS!$F$2:$F$68)-RADIANS(Z48))+SIN(RADIANS(Y48))*SIN(RADIANS(PARADEROS_VALIDOS!$E$2:$E$68)))),6371*ACOS(COS(RADIANS(Y48))*COS(RADIANS(PARADEROS_VALIDOS!$E$2:$E$68))*COS(RADIANS(PARADEROS_VALIDOS!$F$2:$F$68)-RADIANS(Z48))+SIN(RADIANS(Y48))*SIN(RADIANS(PARADEROS_VALIDOS!$E$2:$E$68))),0))</f>
        <v>Paradero San Martin</v>
      </c>
      <c r="AD48" s="2" t="str">
        <f>IFERROR(INDEX(PARADEROS_VALIDOS!$A$2:$A$68,MATCH(AC48,PARADEROS_VALIDOS!$C$2:$C$68,0)),"")</f>
        <v>RUTA 6A</v>
      </c>
      <c r="AE48" s="33" cm="1">
        <f t="array" ref="AE48">ROUND(MIN(6371*ACOS(COS(RADIANS(Y48))*COS(RADIANS(PARADEROS_VALIDOS!$E$2:$E$68))*COS(RADIANS(PARADEROS_VALIDOS!$F$2:$F$68)-RADIANS(Z48))+SIN(RADIANS(Y48))*SIN(RADIANS(PARADEROS_VALIDOS!$E$2:$E$68)))),2)</f>
        <v>4.57</v>
      </c>
      <c r="AF48" s="2" t="str">
        <f t="shared" si="3"/>
        <v>🟠 Moderada (3-5 km)</v>
      </c>
      <c r="AG48" s="2"/>
      <c r="AH48" s="2"/>
      <c r="AI48" s="51">
        <v>-11.997563</v>
      </c>
      <c r="AJ48" s="51">
        <v>-76.900062000000005</v>
      </c>
      <c r="AK48" s="2" t="str">
        <f>IFERROR(VLOOKUP(I48,tdcargo[],2,FALSE),"DESCONOCIDO")</f>
        <v>OPERARIO</v>
      </c>
    </row>
    <row r="49" spans="1:37" x14ac:dyDescent="0.35">
      <c r="A49" s="2" t="s">
        <v>361</v>
      </c>
      <c r="B49" s="2" t="s">
        <v>362</v>
      </c>
      <c r="C49" s="2" t="s">
        <v>363</v>
      </c>
      <c r="D49" s="2" t="s">
        <v>364</v>
      </c>
      <c r="E49" s="2">
        <v>19</v>
      </c>
      <c r="F49" s="2" t="s">
        <v>28</v>
      </c>
      <c r="G49" s="2" t="s">
        <v>29</v>
      </c>
      <c r="H49" s="2">
        <v>20514448</v>
      </c>
      <c r="I49" s="2" t="s">
        <v>30</v>
      </c>
      <c r="J49" s="3">
        <v>46097</v>
      </c>
      <c r="K49" s="2" t="s">
        <v>31</v>
      </c>
      <c r="L49" s="2" t="s">
        <v>63</v>
      </c>
      <c r="M49" s="2" t="s">
        <v>64</v>
      </c>
      <c r="N49" s="2" t="s">
        <v>82</v>
      </c>
      <c r="O49" s="2" t="s">
        <v>365</v>
      </c>
      <c r="P49" s="2" t="s">
        <v>36</v>
      </c>
      <c r="Q49" s="2" t="s">
        <v>366</v>
      </c>
      <c r="R49" s="2">
        <v>15007</v>
      </c>
      <c r="S49" s="2" t="s">
        <v>37</v>
      </c>
      <c r="T49" s="2" t="s">
        <v>37</v>
      </c>
      <c r="U49" s="2" t="s">
        <v>367</v>
      </c>
      <c r="V49" s="3">
        <v>46097</v>
      </c>
      <c r="W49" s="2" t="s">
        <v>135</v>
      </c>
      <c r="X49" s="2" t="str">
        <f t="shared" si="0"/>
        <v>Calle Santa Aurelia SANTA AURELIA, Santa Anita, Lima, Lima, Perú</v>
      </c>
      <c r="Y49" s="22">
        <v>-11.948204</v>
      </c>
      <c r="Z49" s="22">
        <v>-77.08963</v>
      </c>
      <c r="AA49" s="33">
        <f t="shared" si="1"/>
        <v>21.34</v>
      </c>
      <c r="AB49" s="2" t="str">
        <f t="shared" si="2"/>
        <v>🔴 Lejos (&gt;20 km)</v>
      </c>
      <c r="AC49" s="2" t="str" cm="1">
        <f t="array" ref="AC49">INDEX(PARADEROS_VALIDOS!$C$2:$C$68,MATCH(MIN(6371*ACOS(COS(RADIANS(Y49))*COS(RADIANS(PARADEROS_VALIDOS!$E$2:$E$68))*COS(RADIANS(PARADEROS_VALIDOS!$F$2:$F$68)-RADIANS(Z49))+SIN(RADIANS(Y49))*SIN(RADIANS(PARADEROS_VALIDOS!$E$2:$E$68)))),6371*ACOS(COS(RADIANS(Y49))*COS(RADIANS(PARADEROS_VALIDOS!$E$2:$E$68))*COS(RADIANS(PARADEROS_VALIDOS!$F$2:$F$68)-RADIANS(Z49))+SIN(RADIANS(Y49))*SIN(RADIANS(PARADEROS_VALIDOS!$E$2:$E$68))),0))</f>
        <v>Paradero Ferretería</v>
      </c>
      <c r="AD49" s="2" t="str">
        <f>IFERROR(INDEX(PARADEROS_VALIDOS!$A$2:$A$68,MATCH(AC49,PARADEROS_VALIDOS!$C$2:$C$68,0)),"")</f>
        <v>RUTA 1</v>
      </c>
      <c r="AE49" s="33" cm="1">
        <f t="array" ref="AE49">ROUND(MIN(6371*ACOS(COS(RADIANS(Y49))*COS(RADIANS(PARADEROS_VALIDOS!$E$2:$E$68))*COS(RADIANS(PARADEROS_VALIDOS!$F$2:$F$68)-RADIANS(Z49))+SIN(RADIANS(Y49))*SIN(RADIANS(PARADEROS_VALIDOS!$E$2:$E$68)))),2)</f>
        <v>2.25</v>
      </c>
      <c r="AF49" s="2" t="str">
        <f t="shared" si="3"/>
        <v>🟡 Cerca (1-3 km)</v>
      </c>
      <c r="AG49" s="2"/>
      <c r="AH49" s="2"/>
      <c r="AI49" s="51">
        <v>-11.997563</v>
      </c>
      <c r="AJ49" s="51">
        <v>-76.900062000000005</v>
      </c>
      <c r="AK49" s="2" t="str">
        <f>IFERROR(VLOOKUP(I49,tdcargo[],2,FALSE),"DESCONOCIDO")</f>
        <v>OPERARIO</v>
      </c>
    </row>
    <row r="50" spans="1:37" x14ac:dyDescent="0.35">
      <c r="A50" s="2" t="s">
        <v>368</v>
      </c>
      <c r="B50" s="2" t="s">
        <v>369</v>
      </c>
      <c r="C50" s="2" t="s">
        <v>370</v>
      </c>
      <c r="D50" s="2" t="s">
        <v>371</v>
      </c>
      <c r="E50" s="2">
        <v>34</v>
      </c>
      <c r="F50" s="2" t="s">
        <v>28</v>
      </c>
      <c r="G50" s="2" t="s">
        <v>29</v>
      </c>
      <c r="H50" s="2">
        <v>20509009</v>
      </c>
      <c r="I50" s="2" t="s">
        <v>372</v>
      </c>
      <c r="J50" s="3">
        <v>42996</v>
      </c>
      <c r="K50" s="2" t="s">
        <v>31</v>
      </c>
      <c r="L50" s="2" t="s">
        <v>373</v>
      </c>
      <c r="M50" s="2" t="s">
        <v>374</v>
      </c>
      <c r="N50" s="2" t="s">
        <v>36</v>
      </c>
      <c r="O50" s="2" t="s">
        <v>375</v>
      </c>
      <c r="P50" s="2" t="s">
        <v>55</v>
      </c>
      <c r="Q50" s="2" t="s">
        <v>375</v>
      </c>
      <c r="R50" s="2">
        <v>15113</v>
      </c>
      <c r="S50" s="2" t="s">
        <v>37</v>
      </c>
      <c r="T50" s="2" t="s">
        <v>37</v>
      </c>
      <c r="U50" s="2" t="s">
        <v>116</v>
      </c>
      <c r="V50" s="3">
        <v>42996</v>
      </c>
      <c r="W50" s="2" t="s">
        <v>48</v>
      </c>
      <c r="X50" s="2" t="str">
        <f t="shared" si="0"/>
        <v>Santa Eliza, Coo. Cooperativa Santa Eliza, Los Olivos, Lima, Lima, Perú</v>
      </c>
      <c r="Y50" s="22">
        <v>-11.966528500000001</v>
      </c>
      <c r="Z50" s="22">
        <v>-77.080549599999998</v>
      </c>
      <c r="AA50" s="33">
        <f t="shared" si="1"/>
        <v>19.93</v>
      </c>
      <c r="AB50" s="2" t="str">
        <f t="shared" si="2"/>
        <v>🟠 Moderada (10-20 km)</v>
      </c>
      <c r="AC50" s="2" t="str" cm="1">
        <f t="array" ref="AC50">INDEX(PARADEROS_VALIDOS!$C$2:$C$68,MATCH(MIN(6371*ACOS(COS(RADIANS(Y50))*COS(RADIANS(PARADEROS_VALIDOS!$E$2:$E$68))*COS(RADIANS(PARADEROS_VALIDOS!$F$2:$F$68)-RADIANS(Z50))+SIN(RADIANS(Y50))*SIN(RADIANS(PARADEROS_VALIDOS!$E$2:$E$68)))),6371*ACOS(COS(RADIANS(Y50))*COS(RADIANS(PARADEROS_VALIDOS!$E$2:$E$68))*COS(RADIANS(PARADEROS_VALIDOS!$F$2:$F$68)-RADIANS(Z50))+SIN(RADIANS(Y50))*SIN(RADIANS(PARADEROS_VALIDOS!$E$2:$E$68))),0))</f>
        <v>Puente Benavides (Arriba del puente, antes del semáforo)</v>
      </c>
      <c r="AD50" s="2" t="str">
        <f>IFERROR(INDEX(PARADEROS_VALIDOS!$A$2:$A$68,MATCH(AC50,PARADEROS_VALIDOS!$C$2:$C$68,0)),"")</f>
        <v>RUTA 7</v>
      </c>
      <c r="AE50" s="33" cm="1">
        <f t="array" ref="AE50">ROUND(MIN(6371*ACOS(COS(RADIANS(Y50))*COS(RADIANS(PARADEROS_VALIDOS!$E$2:$E$68))*COS(RADIANS(PARADEROS_VALIDOS!$F$2:$F$68)-RADIANS(Z50))+SIN(RADIANS(Y50))*SIN(RADIANS(PARADEROS_VALIDOS!$E$2:$E$68)))),2)</f>
        <v>0.79</v>
      </c>
      <c r="AF50" s="2" t="str">
        <f t="shared" si="3"/>
        <v>🟢 Muy Cerca (0-1 km)</v>
      </c>
      <c r="AG50" s="2"/>
      <c r="AH50" s="2"/>
      <c r="AI50" s="51">
        <v>-11.997563</v>
      </c>
      <c r="AJ50" s="51">
        <v>-76.900062000000005</v>
      </c>
      <c r="AK50" s="2" t="str">
        <f>IFERROR(VLOOKUP(I50,tdcargo[],2,FALSE),"DESCONOCIDO")</f>
        <v>OPERARIO</v>
      </c>
    </row>
    <row r="51" spans="1:37" x14ac:dyDescent="0.35">
      <c r="A51" s="2" t="s">
        <v>374</v>
      </c>
      <c r="B51" s="2" t="s">
        <v>376</v>
      </c>
      <c r="C51" s="2" t="s">
        <v>43</v>
      </c>
      <c r="D51" s="2" t="s">
        <v>377</v>
      </c>
      <c r="E51" s="2">
        <v>28</v>
      </c>
      <c r="F51" s="2" t="s">
        <v>28</v>
      </c>
      <c r="G51" s="2" t="s">
        <v>29</v>
      </c>
      <c r="H51" s="2">
        <v>20513946</v>
      </c>
      <c r="I51" s="2" t="s">
        <v>378</v>
      </c>
      <c r="J51" s="3">
        <v>43363</v>
      </c>
      <c r="K51" s="2" t="s">
        <v>31</v>
      </c>
      <c r="L51" s="2" t="s">
        <v>379</v>
      </c>
      <c r="M51" s="2" t="s">
        <v>380</v>
      </c>
      <c r="N51" s="2" t="s">
        <v>36</v>
      </c>
      <c r="O51" s="2" t="s">
        <v>381</v>
      </c>
      <c r="P51" s="2" t="s">
        <v>66</v>
      </c>
      <c r="Q51" s="2" t="s">
        <v>381</v>
      </c>
      <c r="R51" s="2">
        <v>15457</v>
      </c>
      <c r="S51" s="2" t="s">
        <v>37</v>
      </c>
      <c r="T51" s="2" t="s">
        <v>37</v>
      </c>
      <c r="U51" s="2" t="s">
        <v>76</v>
      </c>
      <c r="V51" s="3">
        <v>43363</v>
      </c>
      <c r="W51" s="2" t="s">
        <v>48</v>
      </c>
      <c r="X51" s="2" t="str">
        <f t="shared" si="0"/>
        <v>El Portillo, U.V. Unidad Vecinal El Portillo, Lurigancho, Lima, Lima, Perú</v>
      </c>
      <c r="Y51" s="22">
        <v>-12.002784699999999</v>
      </c>
      <c r="Z51" s="22">
        <v>-76.867155800000006</v>
      </c>
      <c r="AA51" s="33">
        <f t="shared" si="1"/>
        <v>3.63</v>
      </c>
      <c r="AB51" s="2" t="str">
        <f t="shared" si="2"/>
        <v>🟢 Muy Cerca (0-5 km)</v>
      </c>
      <c r="AC51" s="2" t="str" cm="1">
        <f t="array" ref="AC51">INDEX(PARADEROS_VALIDOS!$C$2:$C$68,MATCH(MIN(6371*ACOS(COS(RADIANS(Y51))*COS(RADIANS(PARADEROS_VALIDOS!$E$2:$E$68))*COS(RADIANS(PARADEROS_VALIDOS!$F$2:$F$68)-RADIANS(Z51))+SIN(RADIANS(Y51))*SIN(RADIANS(PARADEROS_VALIDOS!$E$2:$E$68)))),6371*ACOS(COS(RADIANS(Y51))*COS(RADIANS(PARADEROS_VALIDOS!$E$2:$E$68))*COS(RADIANS(PARADEROS_VALIDOS!$F$2:$F$68)-RADIANS(Z51))+SIN(RADIANS(Y51))*SIN(RADIANS(PARADEROS_VALIDOS!$E$2:$E$68))),0))</f>
        <v>Paradero Gloria Grande</v>
      </c>
      <c r="AD51" s="2" t="str">
        <f>IFERROR(INDEX(PARADEROS_VALIDOS!$A$2:$A$68,MATCH(AC51,PARADEROS_VALIDOS!$C$2:$C$68,0)),"")</f>
        <v>RUTA 5B</v>
      </c>
      <c r="AE51" s="33" cm="1">
        <f t="array" ref="AE51">ROUND(MIN(6371*ACOS(COS(RADIANS(Y51))*COS(RADIANS(PARADEROS_VALIDOS!$E$2:$E$68))*COS(RADIANS(PARADEROS_VALIDOS!$F$2:$F$68)-RADIANS(Z51))+SIN(RADIANS(Y51))*SIN(RADIANS(PARADEROS_VALIDOS!$E$2:$E$68)))),2)</f>
        <v>1.77</v>
      </c>
      <c r="AF51" s="2" t="str">
        <f t="shared" si="3"/>
        <v>🟡 Cerca (1-3 km)</v>
      </c>
      <c r="AG51" s="2"/>
      <c r="AH51" s="2"/>
      <c r="AI51" s="51">
        <v>-11.997563</v>
      </c>
      <c r="AJ51" s="51">
        <v>-76.900062000000005</v>
      </c>
      <c r="AK51" s="2" t="str">
        <f>IFERROR(VLOOKUP(I51,tdcargo[],2,FALSE),"DESCONOCIDO")</f>
        <v>STAFF</v>
      </c>
    </row>
    <row r="52" spans="1:37" x14ac:dyDescent="0.35">
      <c r="A52" s="2" t="s">
        <v>382</v>
      </c>
      <c r="B52" s="2" t="s">
        <v>383</v>
      </c>
      <c r="C52" s="2" t="s">
        <v>384</v>
      </c>
      <c r="D52" s="2" t="s">
        <v>385</v>
      </c>
      <c r="E52" s="2">
        <v>28</v>
      </c>
      <c r="F52" s="2" t="s">
        <v>28</v>
      </c>
      <c r="G52" s="2" t="s">
        <v>29</v>
      </c>
      <c r="H52" s="2">
        <v>20508871</v>
      </c>
      <c r="I52" s="2" t="s">
        <v>30</v>
      </c>
      <c r="J52" s="3">
        <v>45407</v>
      </c>
      <c r="K52" s="2" t="s">
        <v>31</v>
      </c>
      <c r="L52" s="2" t="s">
        <v>164</v>
      </c>
      <c r="M52" s="2" t="s">
        <v>165</v>
      </c>
      <c r="N52" s="2" t="s">
        <v>82</v>
      </c>
      <c r="O52" s="2" t="s">
        <v>386</v>
      </c>
      <c r="P52" s="2" t="s">
        <v>36</v>
      </c>
      <c r="Q52" s="2" t="s">
        <v>220</v>
      </c>
      <c r="R52" s="2">
        <v>15457</v>
      </c>
      <c r="S52" s="2" t="s">
        <v>37</v>
      </c>
      <c r="T52" s="2" t="s">
        <v>37</v>
      </c>
      <c r="U52" s="2" t="s">
        <v>76</v>
      </c>
      <c r="V52" s="3">
        <v>45407</v>
      </c>
      <c r="W52" s="2" t="s">
        <v>48</v>
      </c>
      <c r="X52" s="2" t="str">
        <f t="shared" si="0"/>
        <v>Calle Santa Cruz De Cajamarquilla Calle Los Molles Santa Cruz De Cajamarquilla, Lurigancho, Lima, Lima, Perú</v>
      </c>
      <c r="Y52" s="22">
        <v>-11.9810269</v>
      </c>
      <c r="Z52" s="22">
        <v>-76.910819900000007</v>
      </c>
      <c r="AA52" s="33">
        <f t="shared" si="1"/>
        <v>2.1800000000000002</v>
      </c>
      <c r="AB52" s="2" t="str">
        <f t="shared" si="2"/>
        <v>🟢 Muy Cerca (0-5 km)</v>
      </c>
      <c r="AC52" s="2" t="str" cm="1">
        <f t="array" ref="AC52">INDEX(PARADEROS_VALIDOS!$C$2:$C$68,MATCH(MIN(6371*ACOS(COS(RADIANS(Y52))*COS(RADIANS(PARADEROS_VALIDOS!$E$2:$E$68))*COS(RADIANS(PARADEROS_VALIDOS!$F$2:$F$68)-RADIANS(Z52))+SIN(RADIANS(Y52))*SIN(RADIANS(PARADEROS_VALIDOS!$E$2:$E$68)))),6371*ACOS(COS(RADIANS(Y52))*COS(RADIANS(PARADEROS_VALIDOS!$E$2:$E$68))*COS(RADIANS(PARADEROS_VALIDOS!$F$2:$F$68)-RADIANS(Z52))+SIN(RADIANS(Y52))*SIN(RADIANS(PARADEROS_VALIDOS!$E$2:$E$68))),0))</f>
        <v>Paradero Arco San Antonio</v>
      </c>
      <c r="AD52" s="2" t="str">
        <f>IFERROR(INDEX(PARADEROS_VALIDOS!$A$2:$A$68,MATCH(AC52,PARADEROS_VALIDOS!$C$2:$C$68,0)),"")</f>
        <v>RUTA 2</v>
      </c>
      <c r="AE52" s="33" cm="1">
        <f t="array" ref="AE52">ROUND(MIN(6371*ACOS(COS(RADIANS(Y52))*COS(RADIANS(PARADEROS_VALIDOS!$E$2:$E$68))*COS(RADIANS(PARADEROS_VALIDOS!$F$2:$F$68)-RADIANS(Z52))+SIN(RADIANS(Y52))*SIN(RADIANS(PARADEROS_VALIDOS!$E$2:$E$68)))),2)</f>
        <v>1.62</v>
      </c>
      <c r="AF52" s="2" t="str">
        <f t="shared" si="3"/>
        <v>🟡 Cerca (1-3 km)</v>
      </c>
      <c r="AG52" s="2"/>
      <c r="AH52" s="2"/>
      <c r="AI52" s="51">
        <v>-11.997563</v>
      </c>
      <c r="AJ52" s="51">
        <v>-76.900062000000005</v>
      </c>
      <c r="AK52" s="2" t="str">
        <f>IFERROR(VLOOKUP(I52,tdcargo[],2,FALSE),"DESCONOCIDO")</f>
        <v>OPERARIO</v>
      </c>
    </row>
    <row r="53" spans="1:37" x14ac:dyDescent="0.35">
      <c r="A53" s="2" t="s">
        <v>387</v>
      </c>
      <c r="B53" s="2" t="s">
        <v>388</v>
      </c>
      <c r="C53" s="2" t="s">
        <v>389</v>
      </c>
      <c r="D53" s="2" t="s">
        <v>390</v>
      </c>
      <c r="E53" s="2">
        <v>36</v>
      </c>
      <c r="F53" s="2" t="s">
        <v>28</v>
      </c>
      <c r="G53" s="2" t="s">
        <v>29</v>
      </c>
      <c r="H53" s="2">
        <v>20508860</v>
      </c>
      <c r="I53" s="2" t="s">
        <v>30</v>
      </c>
      <c r="J53" s="3">
        <v>45870</v>
      </c>
      <c r="K53" s="2" t="s">
        <v>31</v>
      </c>
      <c r="L53" s="2" t="s">
        <v>108</v>
      </c>
      <c r="M53" s="2" t="s">
        <v>109</v>
      </c>
      <c r="N53" s="2" t="s">
        <v>34</v>
      </c>
      <c r="O53" s="2" t="s">
        <v>196</v>
      </c>
      <c r="P53" s="2" t="s">
        <v>36</v>
      </c>
      <c r="Q53" s="2" t="s">
        <v>391</v>
      </c>
      <c r="R53" s="2">
        <v>15457</v>
      </c>
      <c r="S53" s="2" t="s">
        <v>37</v>
      </c>
      <c r="T53" s="2" t="s">
        <v>37</v>
      </c>
      <c r="U53" s="2" t="s">
        <v>76</v>
      </c>
      <c r="V53" s="3">
        <v>45870</v>
      </c>
      <c r="W53" s="2" t="s">
        <v>39</v>
      </c>
      <c r="X53" s="2" t="str">
        <f t="shared" si="0"/>
        <v>Avenida San Antonio A.H Señor De Huanca, Lurigancho, Lima, Lima, Perú</v>
      </c>
      <c r="Y53" s="22">
        <v>-11.977499699999999</v>
      </c>
      <c r="Z53" s="22">
        <v>-76.901209399999999</v>
      </c>
      <c r="AA53" s="33">
        <f t="shared" si="1"/>
        <v>2.23</v>
      </c>
      <c r="AB53" s="2" t="str">
        <f t="shared" si="2"/>
        <v>🟢 Muy Cerca (0-5 km)</v>
      </c>
      <c r="AC53" s="2" t="str" cm="1">
        <f t="array" ref="AC53">INDEX(PARADEROS_VALIDOS!$C$2:$C$68,MATCH(MIN(6371*ACOS(COS(RADIANS(Y53))*COS(RADIANS(PARADEROS_VALIDOS!$E$2:$E$68))*COS(RADIANS(PARADEROS_VALIDOS!$F$2:$F$68)-RADIANS(Z53))+SIN(RADIANS(Y53))*SIN(RADIANS(PARADEROS_VALIDOS!$E$2:$E$68)))),6371*ACOS(COS(RADIANS(Y53))*COS(RADIANS(PARADEROS_VALIDOS!$E$2:$E$68))*COS(RADIANS(PARADEROS_VALIDOS!$F$2:$F$68)-RADIANS(Z53))+SIN(RADIANS(Y53))*SIN(RADIANS(PARADEROS_VALIDOS!$E$2:$E$68))),0))</f>
        <v>Paradero Arco San Antonio</v>
      </c>
      <c r="AD53" s="2" t="str">
        <f>IFERROR(INDEX(PARADEROS_VALIDOS!$A$2:$A$68,MATCH(AC53,PARADEROS_VALIDOS!$C$2:$C$68,0)),"")</f>
        <v>RUTA 2</v>
      </c>
      <c r="AE53" s="33" cm="1">
        <f t="array" ref="AE53">ROUND(MIN(6371*ACOS(COS(RADIANS(Y53))*COS(RADIANS(PARADEROS_VALIDOS!$E$2:$E$68))*COS(RADIANS(PARADEROS_VALIDOS!$F$2:$F$68)-RADIANS(Z53))+SIN(RADIANS(Y53))*SIN(RADIANS(PARADEROS_VALIDOS!$E$2:$E$68)))),2)</f>
        <v>1.79</v>
      </c>
      <c r="AF53" s="2" t="str">
        <f t="shared" si="3"/>
        <v>🟡 Cerca (1-3 km)</v>
      </c>
      <c r="AG53" s="2"/>
      <c r="AH53" s="2"/>
      <c r="AI53" s="51">
        <v>-11.997563</v>
      </c>
      <c r="AJ53" s="51">
        <v>-76.900062000000005</v>
      </c>
      <c r="AK53" s="2" t="str">
        <f>IFERROR(VLOOKUP(I53,tdcargo[],2,FALSE),"DESCONOCIDO")</f>
        <v>OPERARIO</v>
      </c>
    </row>
    <row r="54" spans="1:37" x14ac:dyDescent="0.35">
      <c r="A54" s="2" t="s">
        <v>392</v>
      </c>
      <c r="B54" s="2" t="s">
        <v>393</v>
      </c>
      <c r="C54" s="2" t="s">
        <v>394</v>
      </c>
      <c r="D54" s="2" t="s">
        <v>395</v>
      </c>
      <c r="E54" s="2">
        <v>19</v>
      </c>
      <c r="F54" s="2" t="s">
        <v>28</v>
      </c>
      <c r="G54" s="2" t="s">
        <v>29</v>
      </c>
      <c r="H54" s="2">
        <v>20511566</v>
      </c>
      <c r="I54" s="2" t="s">
        <v>30</v>
      </c>
      <c r="J54" s="3">
        <v>45918</v>
      </c>
      <c r="K54" s="2" t="s">
        <v>31</v>
      </c>
      <c r="L54" s="2" t="s">
        <v>132</v>
      </c>
      <c r="M54" s="2" t="s">
        <v>133</v>
      </c>
      <c r="N54" s="2" t="s">
        <v>82</v>
      </c>
      <c r="O54" s="2" t="s">
        <v>396</v>
      </c>
      <c r="P54" s="2" t="s">
        <v>36</v>
      </c>
      <c r="Q54" s="2" t="s">
        <v>397</v>
      </c>
      <c r="R54" s="2">
        <v>15004</v>
      </c>
      <c r="S54" s="2" t="s">
        <v>37</v>
      </c>
      <c r="T54" s="2" t="s">
        <v>37</v>
      </c>
      <c r="U54" s="2" t="s">
        <v>57</v>
      </c>
      <c r="V54" s="3">
        <v>45918</v>
      </c>
      <c r="W54" s="2" t="s">
        <v>39</v>
      </c>
      <c r="X54" s="2" t="str">
        <f t="shared" si="0"/>
        <v>Calle Asociacion Vecinal 25 De Julio 25 De Julio, Ate, Lima, Lima, Perú</v>
      </c>
      <c r="Y54" s="22">
        <v>-12.029765899999999</v>
      </c>
      <c r="Z54" s="22">
        <v>-76.909204500000001</v>
      </c>
      <c r="AA54" s="33">
        <f t="shared" si="1"/>
        <v>3.72</v>
      </c>
      <c r="AB54" s="2" t="str">
        <f t="shared" si="2"/>
        <v>🟢 Muy Cerca (0-5 km)</v>
      </c>
      <c r="AC54" s="2" t="str" cm="1">
        <f t="array" ref="AC54">INDEX(PARADEROS_VALIDOS!$C$2:$C$68,MATCH(MIN(6371*ACOS(COS(RADIANS(Y54))*COS(RADIANS(PARADEROS_VALIDOS!$E$2:$E$68))*COS(RADIANS(PARADEROS_VALIDOS!$F$2:$F$68)-RADIANS(Z54))+SIN(RADIANS(Y54))*SIN(RADIANS(PARADEROS_VALIDOS!$E$2:$E$68)))),6371*ACOS(COS(RADIANS(Y54))*COS(RADIANS(PARADEROS_VALIDOS!$E$2:$E$68))*COS(RADIANS(PARADEROS_VALIDOS!$F$2:$F$68)-RADIANS(Z54))+SIN(RADIANS(Y54))*SIN(RADIANS(PARADEROS_VALIDOS!$E$2:$E$68))),0))</f>
        <v>Paradero Esperanza</v>
      </c>
      <c r="AD54" s="2" t="str">
        <f>IFERROR(INDEX(PARADEROS_VALIDOS!$A$2:$A$68,MATCH(AC54,PARADEROS_VALIDOS!$C$2:$C$68,0)),"")</f>
        <v>RUTA 4B</v>
      </c>
      <c r="AE54" s="33" cm="1">
        <f t="array" ref="AE54">ROUND(MIN(6371*ACOS(COS(RADIANS(Y54))*COS(RADIANS(PARADEROS_VALIDOS!$E$2:$E$68))*COS(RADIANS(PARADEROS_VALIDOS!$F$2:$F$68)-RADIANS(Z54))+SIN(RADIANS(Y54))*SIN(RADIANS(PARADEROS_VALIDOS!$E$2:$E$68)))),2)</f>
        <v>0.92</v>
      </c>
      <c r="AF54" s="2" t="str">
        <f t="shared" si="3"/>
        <v>🟢 Muy Cerca (0-1 km)</v>
      </c>
      <c r="AG54" s="2"/>
      <c r="AH54" s="2"/>
      <c r="AI54" s="51">
        <v>-11.997563</v>
      </c>
      <c r="AJ54" s="51">
        <v>-76.900062000000005</v>
      </c>
      <c r="AK54" s="2" t="str">
        <f>IFERROR(VLOOKUP(I54,tdcargo[],2,FALSE),"DESCONOCIDO")</f>
        <v>OPERARIO</v>
      </c>
    </row>
    <row r="55" spans="1:37" x14ac:dyDescent="0.35">
      <c r="A55" s="2" t="s">
        <v>398</v>
      </c>
      <c r="B55" s="2" t="s">
        <v>399</v>
      </c>
      <c r="C55" s="2" t="s">
        <v>400</v>
      </c>
      <c r="D55" s="2" t="s">
        <v>401</v>
      </c>
      <c r="E55" s="2">
        <v>26</v>
      </c>
      <c r="F55" s="2" t="s">
        <v>28</v>
      </c>
      <c r="G55" s="2" t="s">
        <v>29</v>
      </c>
      <c r="H55" s="2">
        <v>20511569</v>
      </c>
      <c r="I55" s="2" t="s">
        <v>30</v>
      </c>
      <c r="J55" s="3">
        <v>45607</v>
      </c>
      <c r="K55" s="2" t="s">
        <v>31</v>
      </c>
      <c r="L55" s="2" t="s">
        <v>132</v>
      </c>
      <c r="M55" s="2" t="s">
        <v>133</v>
      </c>
      <c r="N55" s="2" t="s">
        <v>34</v>
      </c>
      <c r="O55" s="2" t="s">
        <v>402</v>
      </c>
      <c r="P55" s="2" t="s">
        <v>36</v>
      </c>
      <c r="Q55" s="2" t="s">
        <v>255</v>
      </c>
      <c r="R55" s="2">
        <v>15510</v>
      </c>
      <c r="S55" s="2" t="s">
        <v>37</v>
      </c>
      <c r="T55" s="2" t="s">
        <v>195</v>
      </c>
      <c r="U55" s="2" t="s">
        <v>196</v>
      </c>
      <c r="V55" s="3">
        <v>45607</v>
      </c>
      <c r="W55" s="2" t="s">
        <v>48</v>
      </c>
      <c r="X55" s="2" t="str">
        <f t="shared" si="0"/>
        <v>Avenida Los Cedros Mz L6 Lt19 Anexo 08 Proyecto 2000 Asociacion, San Antonio, Huarochiri, Lima, Perú</v>
      </c>
      <c r="Y55" s="22">
        <v>-11.8289311</v>
      </c>
      <c r="Z55" s="22">
        <v>-76.802893299999994</v>
      </c>
      <c r="AA55" s="33">
        <f t="shared" si="1"/>
        <v>21.53</v>
      </c>
      <c r="AB55" s="2" t="str">
        <f t="shared" si="2"/>
        <v>🔴 Lejos (&gt;20 km)</v>
      </c>
      <c r="AC55" s="2" t="str" cm="1">
        <f t="array" ref="AC55">INDEX(PARADEROS_VALIDOS!$C$2:$C$68,MATCH(MIN(6371*ACOS(COS(RADIANS(Y55))*COS(RADIANS(PARADEROS_VALIDOS!$E$2:$E$68))*COS(RADIANS(PARADEROS_VALIDOS!$F$2:$F$68)-RADIANS(Z55))+SIN(RADIANS(Y55))*SIN(RADIANS(PARADEROS_VALIDOS!$E$2:$E$68)))),6371*ACOS(COS(RADIANS(Y55))*COS(RADIANS(PARADEROS_VALIDOS!$E$2:$E$68))*COS(RADIANS(PARADEROS_VALIDOS!$F$2:$F$68)-RADIANS(Z55))+SIN(RADIANS(Y55))*SIN(RADIANS(PARADEROS_VALIDOS!$E$2:$E$68))),0))</f>
        <v>Paradero Girasoles - Chaclacayo</v>
      </c>
      <c r="AD55" s="2" t="str">
        <f>IFERROR(INDEX(PARADEROS_VALIDOS!$A$2:$A$68,MATCH(AC55,PARADEROS_VALIDOS!$C$2:$C$68,0)),"")</f>
        <v>RUTA 5A</v>
      </c>
      <c r="AE55" s="33" cm="1">
        <f t="array" ref="AE55">ROUND(MIN(6371*ACOS(COS(RADIANS(Y55))*COS(RADIANS(PARADEROS_VALIDOS!$E$2:$E$68))*COS(RADIANS(PARADEROS_VALIDOS!$F$2:$F$68)-RADIANS(Z55))+SIN(RADIANS(Y55))*SIN(RADIANS(PARADEROS_VALIDOS!$E$2:$E$68)))),2)</f>
        <v>16.739999999999998</v>
      </c>
      <c r="AF55" s="2" t="str">
        <f t="shared" si="3"/>
        <v>🔴 Lejos (&gt;5 km)</v>
      </c>
      <c r="AG55" s="2"/>
      <c r="AH55" s="2"/>
      <c r="AI55" s="51">
        <v>-11.997563</v>
      </c>
      <c r="AJ55" s="51">
        <v>-76.900062000000005</v>
      </c>
      <c r="AK55" s="2" t="str">
        <f>IFERROR(VLOOKUP(I55,tdcargo[],2,FALSE),"DESCONOCIDO")</f>
        <v>OPERARIO</v>
      </c>
    </row>
    <row r="56" spans="1:37" x14ac:dyDescent="0.35">
      <c r="A56" s="2" t="s">
        <v>403</v>
      </c>
      <c r="B56" s="2" t="s">
        <v>404</v>
      </c>
      <c r="C56" s="2" t="s">
        <v>405</v>
      </c>
      <c r="D56" s="2" t="s">
        <v>364</v>
      </c>
      <c r="E56" s="2">
        <v>38</v>
      </c>
      <c r="F56" s="2" t="s">
        <v>28</v>
      </c>
      <c r="G56" s="2" t="s">
        <v>29</v>
      </c>
      <c r="H56" s="2">
        <v>20515632</v>
      </c>
      <c r="I56" s="2" t="s">
        <v>62</v>
      </c>
      <c r="J56" s="3">
        <v>45351</v>
      </c>
      <c r="K56" s="2" t="s">
        <v>31</v>
      </c>
      <c r="L56" s="2" t="s">
        <v>164</v>
      </c>
      <c r="M56" s="2" t="s">
        <v>165</v>
      </c>
      <c r="N56" s="2" t="s">
        <v>36</v>
      </c>
      <c r="O56" s="2" t="s">
        <v>406</v>
      </c>
      <c r="P56" s="2" t="s">
        <v>36</v>
      </c>
      <c r="Q56" s="2" t="s">
        <v>406</v>
      </c>
      <c r="R56" s="2">
        <v>15401</v>
      </c>
      <c r="S56" s="2" t="s">
        <v>37</v>
      </c>
      <c r="T56" s="2" t="s">
        <v>37</v>
      </c>
      <c r="U56" s="2" t="s">
        <v>38</v>
      </c>
      <c r="V56" s="3">
        <v>45351</v>
      </c>
      <c r="W56" s="2" t="s">
        <v>48</v>
      </c>
      <c r="X56" s="2" t="str">
        <f t="shared" si="0"/>
        <v>Asoc.Monterrico Asoc.Monterrico, San Juan De Lurigancho, Lima, Lima, Perú</v>
      </c>
      <c r="Y56" s="22">
        <v>-12.022881699999999</v>
      </c>
      <c r="Z56" s="22">
        <v>-76.965152500000002</v>
      </c>
      <c r="AA56" s="33">
        <f t="shared" si="1"/>
        <v>7.62</v>
      </c>
      <c r="AB56" s="2" t="str">
        <f t="shared" si="2"/>
        <v>🟡 Cerca (5-10 km)</v>
      </c>
      <c r="AC56" s="2" t="str" cm="1">
        <f t="array" ref="AC56">INDEX(PARADEROS_VALIDOS!$C$2:$C$68,MATCH(MIN(6371*ACOS(COS(RADIANS(Y56))*COS(RADIANS(PARADEROS_VALIDOS!$E$2:$E$68))*COS(RADIANS(PARADEROS_VALIDOS!$F$2:$F$68)-RADIANS(Z56))+SIN(RADIANS(Y56))*SIN(RADIANS(PARADEROS_VALIDOS!$E$2:$E$68)))),6371*ACOS(COS(RADIANS(Y56))*COS(RADIANS(PARADEROS_VALIDOS!$E$2:$E$68))*COS(RADIANS(PARADEROS_VALIDOS!$F$2:$F$68)-RADIANS(Z56))+SIN(RADIANS(Y56))*SIN(RADIANS(PARADEROS_VALIDOS!$E$2:$E$68))),0))</f>
        <v>Paradero Tottus Campoy</v>
      </c>
      <c r="AD56" s="2" t="str">
        <f>IFERROR(INDEX(PARADEROS_VALIDOS!$A$2:$A$68,MATCH(AC56,PARADEROS_VALIDOS!$C$2:$C$68,0)),"")</f>
        <v>RUTA 6C</v>
      </c>
      <c r="AE56" s="33" cm="1">
        <f t="array" ref="AE56">ROUND(MIN(6371*ACOS(COS(RADIANS(Y56))*COS(RADIANS(PARADEROS_VALIDOS!$E$2:$E$68))*COS(RADIANS(PARADEROS_VALIDOS!$F$2:$F$68)-RADIANS(Z56))+SIN(RADIANS(Y56))*SIN(RADIANS(PARADEROS_VALIDOS!$E$2:$E$68)))),2)</f>
        <v>0.88</v>
      </c>
      <c r="AF56" s="2" t="str">
        <f t="shared" si="3"/>
        <v>🟢 Muy Cerca (0-1 km)</v>
      </c>
      <c r="AG56" s="2"/>
      <c r="AH56" s="2"/>
      <c r="AI56" s="51">
        <v>-11.997563</v>
      </c>
      <c r="AJ56" s="51">
        <v>-76.900062000000005</v>
      </c>
      <c r="AK56" s="2" t="str">
        <f>IFERROR(VLOOKUP(I56,tdcargo[],2,FALSE),"DESCONOCIDO")</f>
        <v>OPERARIO</v>
      </c>
    </row>
    <row r="57" spans="1:37" x14ac:dyDescent="0.35">
      <c r="A57" s="2" t="s">
        <v>407</v>
      </c>
      <c r="B57" s="2" t="s">
        <v>408</v>
      </c>
      <c r="C57" s="2" t="s">
        <v>409</v>
      </c>
      <c r="D57" s="2" t="s">
        <v>410</v>
      </c>
      <c r="E57" s="2">
        <v>35</v>
      </c>
      <c r="F57" s="2" t="s">
        <v>28</v>
      </c>
      <c r="G57" s="2" t="s">
        <v>29</v>
      </c>
      <c r="H57" s="2">
        <v>20508900</v>
      </c>
      <c r="I57" s="2" t="s">
        <v>30</v>
      </c>
      <c r="J57" s="3">
        <v>45901</v>
      </c>
      <c r="K57" s="2" t="s">
        <v>31</v>
      </c>
      <c r="L57" s="2" t="s">
        <v>32</v>
      </c>
      <c r="M57" s="2" t="s">
        <v>33</v>
      </c>
      <c r="N57" s="2" t="s">
        <v>148</v>
      </c>
      <c r="O57" s="2" t="s">
        <v>411</v>
      </c>
      <c r="P57" s="2" t="s">
        <v>36</v>
      </c>
      <c r="Q57" s="2" t="s">
        <v>412</v>
      </c>
      <c r="R57" s="2">
        <v>15003</v>
      </c>
      <c r="S57" s="2" t="s">
        <v>37</v>
      </c>
      <c r="T57" s="2" t="s">
        <v>37</v>
      </c>
      <c r="U57" s="2" t="s">
        <v>347</v>
      </c>
      <c r="V57" s="3">
        <v>45901</v>
      </c>
      <c r="W57" s="2" t="s">
        <v>39</v>
      </c>
      <c r="X57" s="2" t="str">
        <f t="shared" si="0"/>
        <v>Pasaje Corinto El Agustino Circunvalacion, El Agustino, Lima, Lima, Perú</v>
      </c>
      <c r="Y57" s="22">
        <v>-12.045855</v>
      </c>
      <c r="Z57" s="22">
        <v>-77.011031500000001</v>
      </c>
      <c r="AA57" s="33">
        <f t="shared" si="1"/>
        <v>13.21</v>
      </c>
      <c r="AB57" s="2" t="str">
        <f t="shared" si="2"/>
        <v>🟠 Moderada (10-20 km)</v>
      </c>
      <c r="AC57" s="2" t="str" cm="1">
        <f t="array" ref="AC57">INDEX(PARADEROS_VALIDOS!$C$2:$C$68,MATCH(MIN(6371*ACOS(COS(RADIANS(Y57))*COS(RADIANS(PARADEROS_VALIDOS!$E$2:$E$68))*COS(RADIANS(PARADEROS_VALIDOS!$F$2:$F$68)-RADIANS(Z57))+SIN(RADIANS(Y57))*SIN(RADIANS(PARADEROS_VALIDOS!$E$2:$E$68)))),6371*ACOS(COS(RADIANS(Y57))*COS(RADIANS(PARADEROS_VALIDOS!$E$2:$E$68))*COS(RADIANS(PARADEROS_VALIDOS!$F$2:$F$68)-RADIANS(Z57))+SIN(RADIANS(Y57))*SIN(RADIANS(PARADEROS_VALIDOS!$E$2:$E$68))),0))</f>
        <v>Paradero Pte. Trujillo</v>
      </c>
      <c r="AD57" s="2" t="str">
        <f>IFERROR(INDEX(PARADEROS_VALIDOS!$A$2:$A$68,MATCH(AC57,PARADEROS_VALIDOS!$C$2:$C$68,0)),"")</f>
        <v>RUTA 8</v>
      </c>
      <c r="AE57" s="33" cm="1">
        <f t="array" ref="AE57">ROUND(MIN(6371*ACOS(COS(RADIANS(Y57))*COS(RADIANS(PARADEROS_VALIDOS!$E$2:$E$68))*COS(RADIANS(PARADEROS_VALIDOS!$F$2:$F$68)-RADIANS(Z57))+SIN(RADIANS(Y57))*SIN(RADIANS(PARADEROS_VALIDOS!$E$2:$E$68)))),2)</f>
        <v>2.41</v>
      </c>
      <c r="AF57" s="2" t="str">
        <f t="shared" si="3"/>
        <v>🟡 Cerca (1-3 km)</v>
      </c>
      <c r="AG57" s="2"/>
      <c r="AH57" s="2"/>
      <c r="AI57" s="51">
        <v>-11.997563</v>
      </c>
      <c r="AJ57" s="51">
        <v>-76.900062000000005</v>
      </c>
      <c r="AK57" s="2" t="str">
        <f>IFERROR(VLOOKUP(I57,tdcargo[],2,FALSE),"DESCONOCIDO")</f>
        <v>OPERARIO</v>
      </c>
    </row>
    <row r="58" spans="1:37" x14ac:dyDescent="0.35">
      <c r="A58" s="2" t="s">
        <v>165</v>
      </c>
      <c r="B58" s="2" t="s">
        <v>413</v>
      </c>
      <c r="C58" s="2" t="s">
        <v>414</v>
      </c>
      <c r="D58" s="2" t="s">
        <v>415</v>
      </c>
      <c r="E58" s="2">
        <v>36</v>
      </c>
      <c r="F58" s="2" t="s">
        <v>28</v>
      </c>
      <c r="G58" s="2" t="s">
        <v>29</v>
      </c>
      <c r="H58" s="2">
        <v>20511561</v>
      </c>
      <c r="I58" s="2" t="s">
        <v>416</v>
      </c>
      <c r="J58" s="3">
        <v>45943</v>
      </c>
      <c r="K58" s="2" t="s">
        <v>31</v>
      </c>
      <c r="L58" s="2" t="s">
        <v>417</v>
      </c>
      <c r="M58" s="2" t="s">
        <v>418</v>
      </c>
      <c r="N58" s="2" t="s">
        <v>36</v>
      </c>
      <c r="O58" s="2" t="s">
        <v>419</v>
      </c>
      <c r="P58" s="2" t="s">
        <v>36</v>
      </c>
      <c r="Q58" s="2" t="s">
        <v>420</v>
      </c>
      <c r="R58" s="2">
        <v>15113</v>
      </c>
      <c r="S58" s="2" t="s">
        <v>37</v>
      </c>
      <c r="T58" s="2" t="s">
        <v>37</v>
      </c>
      <c r="U58" s="2" t="s">
        <v>116</v>
      </c>
      <c r="V58" s="3">
        <v>45943</v>
      </c>
      <c r="W58" s="2" t="s">
        <v>39</v>
      </c>
      <c r="X58" s="2" t="str">
        <f t="shared" si="0"/>
        <v>Heroismo Urb. Pro, Los Olivos, Lima, Lima, Perú</v>
      </c>
      <c r="Y58" s="22">
        <v>-11.9430855</v>
      </c>
      <c r="Z58" s="22">
        <v>-77.074564699999996</v>
      </c>
      <c r="AA58" s="33">
        <f t="shared" si="1"/>
        <v>19.93</v>
      </c>
      <c r="AB58" s="2" t="str">
        <f t="shared" si="2"/>
        <v>🟠 Moderada (10-20 km)</v>
      </c>
      <c r="AC58" s="2" t="str" cm="1">
        <f t="array" ref="AC58">INDEX(PARADEROS_VALIDOS!$C$2:$C$68,MATCH(MIN(6371*ACOS(COS(RADIANS(Y58))*COS(RADIANS(PARADEROS_VALIDOS!$E$2:$E$68))*COS(RADIANS(PARADEROS_VALIDOS!$F$2:$F$68)-RADIANS(Z58))+SIN(RADIANS(Y58))*SIN(RADIANS(PARADEROS_VALIDOS!$E$2:$E$68)))),6371*ACOS(COS(RADIANS(Y58))*COS(RADIANS(PARADEROS_VALIDOS!$E$2:$E$68))*COS(RADIANS(PARADEROS_VALIDOS!$F$2:$F$68)-RADIANS(Z58))+SIN(RADIANS(Y58))*SIN(RADIANS(PARADEROS_VALIDOS!$E$2:$E$68))),0))</f>
        <v>Av. Metropolitana con Cultura</v>
      </c>
      <c r="AD58" s="2" t="str">
        <f>IFERROR(INDEX(PARADEROS_VALIDOS!$A$2:$A$68,MATCH(AC58,PARADEROS_VALIDOS!$C$2:$C$68,0)),"")</f>
        <v>RUTA 4A</v>
      </c>
      <c r="AE58" s="33" cm="1">
        <f t="array" ref="AE58">ROUND(MIN(6371*ACOS(COS(RADIANS(Y58))*COS(RADIANS(PARADEROS_VALIDOS!$E$2:$E$68))*COS(RADIANS(PARADEROS_VALIDOS!$F$2:$F$68)-RADIANS(Z58))+SIN(RADIANS(Y58))*SIN(RADIANS(PARADEROS_VALIDOS!$E$2:$E$68)))),2)</f>
        <v>1.54</v>
      </c>
      <c r="AF58" s="2" t="str">
        <f t="shared" si="3"/>
        <v>🟡 Cerca (1-3 km)</v>
      </c>
      <c r="AG58" s="2"/>
      <c r="AH58" s="2"/>
      <c r="AI58" s="51">
        <v>-11.997563</v>
      </c>
      <c r="AJ58" s="51">
        <v>-76.900062000000005</v>
      </c>
      <c r="AK58" s="2" t="str">
        <f>IFERROR(VLOOKUP(I58,tdcargo[],2,FALSE),"DESCONOCIDO")</f>
        <v>STAFF</v>
      </c>
    </row>
    <row r="59" spans="1:37" x14ac:dyDescent="0.35">
      <c r="A59" s="2" t="s">
        <v>421</v>
      </c>
      <c r="B59" s="2" t="s">
        <v>422</v>
      </c>
      <c r="C59" s="2" t="s">
        <v>423</v>
      </c>
      <c r="D59" s="2" t="s">
        <v>424</v>
      </c>
      <c r="E59" s="2">
        <v>20</v>
      </c>
      <c r="F59" s="2" t="s">
        <v>28</v>
      </c>
      <c r="G59" s="2" t="s">
        <v>29</v>
      </c>
      <c r="H59" s="2">
        <v>20508790</v>
      </c>
      <c r="I59" s="2" t="s">
        <v>30</v>
      </c>
      <c r="J59" s="3">
        <v>46055</v>
      </c>
      <c r="K59" s="2" t="s">
        <v>31</v>
      </c>
      <c r="L59" s="2" t="s">
        <v>100</v>
      </c>
      <c r="M59" s="2" t="s">
        <v>101</v>
      </c>
      <c r="N59" s="2" t="s">
        <v>36</v>
      </c>
      <c r="O59" s="2" t="s">
        <v>425</v>
      </c>
      <c r="P59" s="2" t="s">
        <v>88</v>
      </c>
      <c r="Q59" s="2" t="s">
        <v>426</v>
      </c>
      <c r="R59" s="2">
        <v>15401</v>
      </c>
      <c r="S59" s="2" t="s">
        <v>37</v>
      </c>
      <c r="T59" s="2" t="s">
        <v>37</v>
      </c>
      <c r="U59" s="2" t="s">
        <v>38</v>
      </c>
      <c r="V59" s="3">
        <v>46055</v>
      </c>
      <c r="W59" s="2" t="s">
        <v>135</v>
      </c>
      <c r="X59" s="2" t="str">
        <f t="shared" si="0"/>
        <v>AAHH Santa Maria, A.H. Asentamiento Humano SANTA MARIA, San Juan De Lurigancho, Lima, Lima, Perú</v>
      </c>
      <c r="Y59" s="22">
        <v>-11.9888657</v>
      </c>
      <c r="Z59" s="22">
        <v>-77.0006111</v>
      </c>
      <c r="AA59" s="33">
        <f t="shared" si="1"/>
        <v>10.98</v>
      </c>
      <c r="AB59" s="2" t="str">
        <f t="shared" si="2"/>
        <v>🟠 Moderada (10-20 km)</v>
      </c>
      <c r="AC59" s="2" t="str" cm="1">
        <f t="array" ref="AC59">INDEX(PARADEROS_VALIDOS!$C$2:$C$68,MATCH(MIN(6371*ACOS(COS(RADIANS(Y59))*COS(RADIANS(PARADEROS_VALIDOS!$E$2:$E$68))*COS(RADIANS(PARADEROS_VALIDOS!$F$2:$F$68)-RADIANS(Z59))+SIN(RADIANS(Y59))*SIN(RADIANS(PARADEROS_VALIDOS!$E$2:$E$68)))),6371*ACOS(COS(RADIANS(Y59))*COS(RADIANS(PARADEROS_VALIDOS!$E$2:$E$68))*COS(RADIANS(PARADEROS_VALIDOS!$F$2:$F$68)-RADIANS(Z59))+SIN(RADIANS(Y59))*SIN(RADIANS(PARADEROS_VALIDOS!$E$2:$E$68))),0))</f>
        <v>Paradero San Carlos</v>
      </c>
      <c r="AD59" s="2" t="str">
        <f>IFERROR(INDEX(PARADEROS_VALIDOS!$A$2:$A$68,MATCH(AC59,PARADEROS_VALIDOS!$C$2:$C$68,0)),"")</f>
        <v>RUTA 6B</v>
      </c>
      <c r="AE59" s="33" cm="1">
        <f t="array" ref="AE59">ROUND(MIN(6371*ACOS(COS(RADIANS(Y59))*COS(RADIANS(PARADEROS_VALIDOS!$E$2:$E$68))*COS(RADIANS(PARADEROS_VALIDOS!$F$2:$F$68)-RADIANS(Z59))+SIN(RADIANS(Y59))*SIN(RADIANS(PARADEROS_VALIDOS!$E$2:$E$68)))),2)</f>
        <v>1.0900000000000001</v>
      </c>
      <c r="AF59" s="2" t="str">
        <f t="shared" si="3"/>
        <v>🟡 Cerca (1-3 km)</v>
      </c>
      <c r="AG59" s="2"/>
      <c r="AH59" s="2"/>
      <c r="AI59" s="51">
        <v>-11.997563</v>
      </c>
      <c r="AJ59" s="51">
        <v>-76.900062000000005</v>
      </c>
      <c r="AK59" s="2" t="str">
        <f>IFERROR(VLOOKUP(I59,tdcargo[],2,FALSE),"DESCONOCIDO")</f>
        <v>OPERARIO</v>
      </c>
    </row>
    <row r="60" spans="1:37" x14ac:dyDescent="0.35">
      <c r="A60" s="2" t="s">
        <v>427</v>
      </c>
      <c r="B60" s="2" t="s">
        <v>428</v>
      </c>
      <c r="C60" s="2" t="s">
        <v>429</v>
      </c>
      <c r="D60" s="2" t="s">
        <v>430</v>
      </c>
      <c r="E60" s="2">
        <v>19</v>
      </c>
      <c r="F60" s="2" t="s">
        <v>28</v>
      </c>
      <c r="G60" s="2" t="s">
        <v>29</v>
      </c>
      <c r="H60" s="2">
        <v>20508993</v>
      </c>
      <c r="I60" s="2" t="s">
        <v>30</v>
      </c>
      <c r="J60" s="3">
        <v>46055</v>
      </c>
      <c r="K60" s="2" t="s">
        <v>31</v>
      </c>
      <c r="L60" s="2" t="s">
        <v>63</v>
      </c>
      <c r="M60" s="2" t="s">
        <v>64</v>
      </c>
      <c r="N60" s="2" t="s">
        <v>148</v>
      </c>
      <c r="O60" s="2" t="s">
        <v>431</v>
      </c>
      <c r="P60" s="2" t="s">
        <v>88</v>
      </c>
      <c r="Q60" s="2" t="s">
        <v>432</v>
      </c>
      <c r="R60" s="2">
        <v>15457</v>
      </c>
      <c r="S60" s="2" t="s">
        <v>37</v>
      </c>
      <c r="T60" s="2" t="s">
        <v>37</v>
      </c>
      <c r="U60" s="2" t="s">
        <v>76</v>
      </c>
      <c r="V60" s="3">
        <v>46055</v>
      </c>
      <c r="W60" s="2" t="s">
        <v>135</v>
      </c>
      <c r="X60" s="2" t="str">
        <f t="shared" si="0"/>
        <v>Pasaje Lurigaancho, A.H. Asentamiento Humano CASA HUERTA CAMPIÑA, Lurigancho, Lima, Lima, Perú</v>
      </c>
      <c r="Y60" s="22">
        <v>-11.928603499999999</v>
      </c>
      <c r="Z60" s="22">
        <v>-76.683861399999998</v>
      </c>
      <c r="AA60" s="33">
        <f t="shared" si="1"/>
        <v>24.74</v>
      </c>
      <c r="AB60" s="2" t="str">
        <f t="shared" si="2"/>
        <v>🔴 Lejos (&gt;20 km)</v>
      </c>
      <c r="AC60" s="2" t="str" cm="1">
        <f t="array" ref="AC60">INDEX(PARADEROS_VALIDOS!$C$2:$C$68,MATCH(MIN(6371*ACOS(COS(RADIANS(Y60))*COS(RADIANS(PARADEROS_VALIDOS!$E$2:$E$68))*COS(RADIANS(PARADEROS_VALIDOS!$F$2:$F$68)-RADIANS(Z60))+SIN(RADIANS(Y60))*SIN(RADIANS(PARADEROS_VALIDOS!$E$2:$E$68)))),6371*ACOS(COS(RADIANS(Y60))*COS(RADIANS(PARADEROS_VALIDOS!$E$2:$E$68))*COS(RADIANS(PARADEROS_VALIDOS!$F$2:$F$68)-RADIANS(Z60))+SIN(RADIANS(Y60))*SIN(RADIANS(PARADEROS_VALIDOS!$E$2:$E$68))),0))</f>
        <v>Paradero Girasoles - Chaclacayo</v>
      </c>
      <c r="AD60" s="2" t="str">
        <f>IFERROR(INDEX(PARADEROS_VALIDOS!$A$2:$A$68,MATCH(AC60,PARADEROS_VALIDOS!$C$2:$C$68,0)),"")</f>
        <v>RUTA 5A</v>
      </c>
      <c r="AE60" s="33" cm="1">
        <f t="array" ref="AE60">ROUND(MIN(6371*ACOS(COS(RADIANS(Y60))*COS(RADIANS(PARADEROS_VALIDOS!$E$2:$E$68))*COS(RADIANS(PARADEROS_VALIDOS!$F$2:$F$68)-RADIANS(Z60))+SIN(RADIANS(Y60))*SIN(RADIANS(PARADEROS_VALIDOS!$E$2:$E$68)))),2)</f>
        <v>11.01</v>
      </c>
      <c r="AF60" s="2" t="str">
        <f t="shared" si="3"/>
        <v>🔴 Lejos (&gt;5 km)</v>
      </c>
      <c r="AG60" s="2"/>
      <c r="AH60" s="2"/>
      <c r="AI60" s="51">
        <v>-11.997563</v>
      </c>
      <c r="AJ60" s="51">
        <v>-76.900062000000005</v>
      </c>
      <c r="AK60" s="2" t="str">
        <f>IFERROR(VLOOKUP(I60,tdcargo[],2,FALSE),"DESCONOCIDO")</f>
        <v>OPERARIO</v>
      </c>
    </row>
    <row r="61" spans="1:37" x14ac:dyDescent="0.35">
      <c r="A61" s="2" t="s">
        <v>433</v>
      </c>
      <c r="B61" s="2" t="s">
        <v>434</v>
      </c>
      <c r="C61" s="2" t="s">
        <v>265</v>
      </c>
      <c r="D61" s="2" t="s">
        <v>435</v>
      </c>
      <c r="E61" s="2">
        <v>36</v>
      </c>
      <c r="F61" s="2" t="s">
        <v>28</v>
      </c>
      <c r="G61" s="2" t="s">
        <v>29</v>
      </c>
      <c r="H61" s="2">
        <v>20508771</v>
      </c>
      <c r="I61" s="2" t="s">
        <v>44</v>
      </c>
      <c r="J61" s="3">
        <v>44168</v>
      </c>
      <c r="K61" s="2" t="s">
        <v>31</v>
      </c>
      <c r="L61" s="2" t="s">
        <v>72</v>
      </c>
      <c r="M61" s="2" t="s">
        <v>73</v>
      </c>
      <c r="N61" s="2" t="s">
        <v>34</v>
      </c>
      <c r="O61" s="2" t="s">
        <v>436</v>
      </c>
      <c r="P61" s="2" t="s">
        <v>186</v>
      </c>
      <c r="Q61" s="2" t="s">
        <v>437</v>
      </c>
      <c r="R61" s="2">
        <v>15003</v>
      </c>
      <c r="S61" s="2" t="s">
        <v>37</v>
      </c>
      <c r="T61" s="2" t="s">
        <v>37</v>
      </c>
      <c r="U61" s="2" t="s">
        <v>347</v>
      </c>
      <c r="V61" s="3">
        <v>44168</v>
      </c>
      <c r="W61" s="2" t="s">
        <v>48</v>
      </c>
      <c r="X61" s="2" t="str">
        <f t="shared" si="0"/>
        <v>Avenida Leoncio Prado Heroes Del Pacifico, Urb. Urbanización Parcela B, El Agustino, Lima, Lima, Perú</v>
      </c>
      <c r="Y61" s="22">
        <v>-12.0364629</v>
      </c>
      <c r="Z61" s="22">
        <v>-76.9948148</v>
      </c>
      <c r="AA61" s="33">
        <f t="shared" si="1"/>
        <v>11.18</v>
      </c>
      <c r="AB61" s="2" t="str">
        <f t="shared" si="2"/>
        <v>🟠 Moderada (10-20 km)</v>
      </c>
      <c r="AC61" s="2" t="str" cm="1">
        <f t="array" ref="AC61">INDEX(PARADEROS_VALIDOS!$C$2:$C$68,MATCH(MIN(6371*ACOS(COS(RADIANS(Y61))*COS(RADIANS(PARADEROS_VALIDOS!$E$2:$E$68))*COS(RADIANS(PARADEROS_VALIDOS!$F$2:$F$68)-RADIANS(Z61))+SIN(RADIANS(Y61))*SIN(RADIANS(PARADEROS_VALIDOS!$E$2:$E$68)))),6371*ACOS(COS(RADIANS(Y61))*COS(RADIANS(PARADEROS_VALIDOS!$E$2:$E$68))*COS(RADIANS(PARADEROS_VALIDOS!$F$2:$F$68)-RADIANS(Z61))+SIN(RADIANS(Y61))*SIN(RADIANS(PARADEROS_VALIDOS!$E$2:$E$68))),0))</f>
        <v>Puente Nuevo (Av. Chinchaysuyo &amp; Av. Malecón Checa)</v>
      </c>
      <c r="AD61" s="2" t="str">
        <f>IFERROR(INDEX(PARADEROS_VALIDOS!$A$2:$A$68,MATCH(AC61,PARADEROS_VALIDOS!$C$2:$C$68,0)),"")</f>
        <v>RUTA 6C</v>
      </c>
      <c r="AE61" s="33" cm="1">
        <f t="array" ref="AE61">ROUND(MIN(6371*ACOS(COS(RADIANS(Y61))*COS(RADIANS(PARADEROS_VALIDOS!$E$2:$E$68))*COS(RADIANS(PARADEROS_VALIDOS!$F$2:$F$68)-RADIANS(Z61))+SIN(RADIANS(Y61))*SIN(RADIANS(PARADEROS_VALIDOS!$E$2:$E$68)))),2)</f>
        <v>0.88</v>
      </c>
      <c r="AF61" s="2" t="str">
        <f t="shared" si="3"/>
        <v>🟢 Muy Cerca (0-1 km)</v>
      </c>
      <c r="AG61" s="2"/>
      <c r="AH61" s="2"/>
      <c r="AI61" s="51">
        <v>-11.997563</v>
      </c>
      <c r="AJ61" s="51">
        <v>-76.900062000000005</v>
      </c>
      <c r="AK61" s="2" t="str">
        <f>IFERROR(VLOOKUP(I61,tdcargo[],2,FALSE),"DESCONOCIDO")</f>
        <v>OPERARIO</v>
      </c>
    </row>
    <row r="62" spans="1:37" x14ac:dyDescent="0.35">
      <c r="A62" s="2" t="s">
        <v>438</v>
      </c>
      <c r="B62" s="2" t="s">
        <v>439</v>
      </c>
      <c r="C62" s="2" t="s">
        <v>43</v>
      </c>
      <c r="D62" s="2" t="s">
        <v>440</v>
      </c>
      <c r="E62" s="2">
        <v>27</v>
      </c>
      <c r="F62" s="2" t="s">
        <v>28</v>
      </c>
      <c r="G62" s="2" t="s">
        <v>29</v>
      </c>
      <c r="H62" s="2">
        <v>20509012</v>
      </c>
      <c r="I62" s="2" t="s">
        <v>62</v>
      </c>
      <c r="J62" s="3">
        <v>45320</v>
      </c>
      <c r="K62" s="2" t="s">
        <v>31</v>
      </c>
      <c r="L62" s="2" t="s">
        <v>146</v>
      </c>
      <c r="M62" s="2" t="s">
        <v>147</v>
      </c>
      <c r="N62" s="2" t="s">
        <v>34</v>
      </c>
      <c r="O62" s="2" t="s">
        <v>441</v>
      </c>
      <c r="P62" s="2" t="s">
        <v>36</v>
      </c>
      <c r="Q62" s="2" t="s">
        <v>442</v>
      </c>
      <c r="R62" s="2">
        <v>15457</v>
      </c>
      <c r="S62" s="2" t="s">
        <v>37</v>
      </c>
      <c r="T62" s="2" t="s">
        <v>37</v>
      </c>
      <c r="U62" s="2" t="s">
        <v>76</v>
      </c>
      <c r="V62" s="3">
        <v>45320</v>
      </c>
      <c r="W62" s="2" t="s">
        <v>48</v>
      </c>
      <c r="X62" s="2" t="str">
        <f t="shared" si="0"/>
        <v>Avenida Av. Cajamarquilla Asociacion Nuevo Milenio, Lurigancho, Lima, Lima, Perú</v>
      </c>
      <c r="Y62" s="22">
        <v>-11.9873932</v>
      </c>
      <c r="Z62" s="22">
        <v>-76.897783700000005</v>
      </c>
      <c r="AA62" s="33">
        <f t="shared" si="1"/>
        <v>1.1599999999999999</v>
      </c>
      <c r="AB62" s="2" t="str">
        <f t="shared" si="2"/>
        <v>🟢 Muy Cerca (0-5 km)</v>
      </c>
      <c r="AC62" s="2" t="str" cm="1">
        <f t="array" ref="AC62">INDEX(PARADEROS_VALIDOS!$C$2:$C$68,MATCH(MIN(6371*ACOS(COS(RADIANS(Y62))*COS(RADIANS(PARADEROS_VALIDOS!$E$2:$E$68))*COS(RADIANS(PARADEROS_VALIDOS!$F$2:$F$68)-RADIANS(Z62))+SIN(RADIANS(Y62))*SIN(RADIANS(PARADEROS_VALIDOS!$E$2:$E$68)))),6371*ACOS(COS(RADIANS(Y62))*COS(RADIANS(PARADEROS_VALIDOS!$E$2:$E$68))*COS(RADIANS(PARADEROS_VALIDOS!$F$2:$F$68)-RADIANS(Z62))+SIN(RADIANS(Y62))*SIN(RADIANS(PARADEROS_VALIDOS!$E$2:$E$68))),0))</f>
        <v>Paradero Arco San Antonio</v>
      </c>
      <c r="AD62" s="2" t="str">
        <f>IFERROR(INDEX(PARADEROS_VALIDOS!$A$2:$A$68,MATCH(AC62,PARADEROS_VALIDOS!$C$2:$C$68,0)),"")</f>
        <v>RUTA 2</v>
      </c>
      <c r="AE62" s="33" cm="1">
        <f t="array" ref="AE62">ROUND(MIN(6371*ACOS(COS(RADIANS(Y62))*COS(RADIANS(PARADEROS_VALIDOS!$E$2:$E$68))*COS(RADIANS(PARADEROS_VALIDOS!$F$2:$F$68)-RADIANS(Z62))+SIN(RADIANS(Y62))*SIN(RADIANS(PARADEROS_VALIDOS!$E$2:$E$68)))),2)</f>
        <v>0.89</v>
      </c>
      <c r="AF62" s="2" t="str">
        <f t="shared" si="3"/>
        <v>🟢 Muy Cerca (0-1 km)</v>
      </c>
      <c r="AG62" s="2"/>
      <c r="AH62" s="2"/>
      <c r="AI62" s="51">
        <v>-11.997563</v>
      </c>
      <c r="AJ62" s="51">
        <v>-76.900062000000005</v>
      </c>
      <c r="AK62" s="2" t="str">
        <f>IFERROR(VLOOKUP(I62,tdcargo[],2,FALSE),"DESCONOCIDO")</f>
        <v>OPERARIO</v>
      </c>
    </row>
    <row r="63" spans="1:37" x14ac:dyDescent="0.35">
      <c r="A63" s="2" t="s">
        <v>443</v>
      </c>
      <c r="B63" s="2" t="s">
        <v>444</v>
      </c>
      <c r="C63" s="2" t="s">
        <v>445</v>
      </c>
      <c r="D63" s="2" t="s">
        <v>446</v>
      </c>
      <c r="E63" s="2">
        <v>22</v>
      </c>
      <c r="F63" s="2" t="s">
        <v>28</v>
      </c>
      <c r="G63" s="2" t="s">
        <v>29</v>
      </c>
      <c r="H63" s="2">
        <v>20508892</v>
      </c>
      <c r="I63" s="2" t="s">
        <v>30</v>
      </c>
      <c r="J63" s="3">
        <v>45628</v>
      </c>
      <c r="K63" s="2" t="s">
        <v>31</v>
      </c>
      <c r="L63" s="2" t="s">
        <v>132</v>
      </c>
      <c r="M63" s="2" t="s">
        <v>133</v>
      </c>
      <c r="N63" s="2" t="s">
        <v>34</v>
      </c>
      <c r="O63" s="2" t="s">
        <v>447</v>
      </c>
      <c r="P63" s="2" t="s">
        <v>88</v>
      </c>
      <c r="Q63" s="2" t="s">
        <v>448</v>
      </c>
      <c r="R63" s="2">
        <v>15457</v>
      </c>
      <c r="S63" s="2" t="s">
        <v>37</v>
      </c>
      <c r="T63" s="2" t="s">
        <v>37</v>
      </c>
      <c r="U63" s="2" t="s">
        <v>76</v>
      </c>
      <c r="V63" s="3">
        <v>45628</v>
      </c>
      <c r="W63" s="2" t="s">
        <v>48</v>
      </c>
      <c r="X63" s="2" t="str">
        <f t="shared" si="0"/>
        <v>Avenida Cajamarquila, A.H. Asentamiento Humano Villa Leticia, Lurigancho, Lima, Lima, Perú</v>
      </c>
      <c r="Y63" s="22">
        <v>-11.987436300000001</v>
      </c>
      <c r="Z63" s="22">
        <v>-76.899104100000002</v>
      </c>
      <c r="AA63" s="33">
        <f t="shared" si="1"/>
        <v>1.1299999999999999</v>
      </c>
      <c r="AB63" s="2" t="str">
        <f t="shared" si="2"/>
        <v>🟢 Muy Cerca (0-5 km)</v>
      </c>
      <c r="AC63" s="2" t="str" cm="1">
        <f t="array" ref="AC63">INDEX(PARADEROS_VALIDOS!$C$2:$C$68,MATCH(MIN(6371*ACOS(COS(RADIANS(Y63))*COS(RADIANS(PARADEROS_VALIDOS!$E$2:$E$68))*COS(RADIANS(PARADEROS_VALIDOS!$F$2:$F$68)-RADIANS(Z63))+SIN(RADIANS(Y63))*SIN(RADIANS(PARADEROS_VALIDOS!$E$2:$E$68)))),6371*ACOS(COS(RADIANS(Y63))*COS(RADIANS(PARADEROS_VALIDOS!$E$2:$E$68))*COS(RADIANS(PARADEROS_VALIDOS!$F$2:$F$68)-RADIANS(Z63))+SIN(RADIANS(Y63))*SIN(RADIANS(PARADEROS_VALIDOS!$E$2:$E$68))),0))</f>
        <v>Paradero Arco San Antonio</v>
      </c>
      <c r="AD63" s="2" t="str">
        <f>IFERROR(INDEX(PARADEROS_VALIDOS!$A$2:$A$68,MATCH(AC63,PARADEROS_VALIDOS!$C$2:$C$68,0)),"")</f>
        <v>RUTA 2</v>
      </c>
      <c r="AE63" s="33" cm="1">
        <f t="array" ref="AE63">ROUND(MIN(6371*ACOS(COS(RADIANS(Y63))*COS(RADIANS(PARADEROS_VALIDOS!$E$2:$E$68))*COS(RADIANS(PARADEROS_VALIDOS!$F$2:$F$68)-RADIANS(Z63))+SIN(RADIANS(Y63))*SIN(RADIANS(PARADEROS_VALIDOS!$E$2:$E$68)))),2)</f>
        <v>0.8</v>
      </c>
      <c r="AF63" s="2" t="str">
        <f t="shared" si="3"/>
        <v>🟢 Muy Cerca (0-1 km)</v>
      </c>
      <c r="AG63" s="2"/>
      <c r="AH63" s="2"/>
      <c r="AI63" s="51">
        <v>-11.997563</v>
      </c>
      <c r="AJ63" s="51">
        <v>-76.900062000000005</v>
      </c>
      <c r="AK63" s="2" t="str">
        <f>IFERROR(VLOOKUP(I63,tdcargo[],2,FALSE),"DESCONOCIDO")</f>
        <v>OPERARIO</v>
      </c>
    </row>
    <row r="64" spans="1:37" x14ac:dyDescent="0.35">
      <c r="A64" s="2" t="s">
        <v>449</v>
      </c>
      <c r="B64" s="2" t="s">
        <v>450</v>
      </c>
      <c r="C64" s="2" t="s">
        <v>451</v>
      </c>
      <c r="D64" s="2" t="s">
        <v>452</v>
      </c>
      <c r="E64" s="2">
        <v>29</v>
      </c>
      <c r="F64" s="2" t="s">
        <v>28</v>
      </c>
      <c r="G64" s="2" t="s">
        <v>29</v>
      </c>
      <c r="H64" s="2">
        <v>20508915</v>
      </c>
      <c r="I64" s="2" t="s">
        <v>30</v>
      </c>
      <c r="J64" s="3">
        <v>45362</v>
      </c>
      <c r="K64" s="2" t="s">
        <v>31</v>
      </c>
      <c r="L64" s="2" t="s">
        <v>132</v>
      </c>
      <c r="M64" s="2" t="s">
        <v>133</v>
      </c>
      <c r="N64" s="2" t="s">
        <v>34</v>
      </c>
      <c r="O64" s="2" t="s">
        <v>453</v>
      </c>
      <c r="P64" s="2" t="s">
        <v>36</v>
      </c>
      <c r="Q64" s="2" t="s">
        <v>454</v>
      </c>
      <c r="R64" s="2">
        <v>15004</v>
      </c>
      <c r="S64" s="2" t="s">
        <v>37</v>
      </c>
      <c r="T64" s="2" t="s">
        <v>37</v>
      </c>
      <c r="U64" s="2" t="s">
        <v>57</v>
      </c>
      <c r="V64" s="3">
        <v>45362</v>
      </c>
      <c r="W64" s="2" t="s">
        <v>48</v>
      </c>
      <c r="X64" s="2" t="str">
        <f t="shared" si="0"/>
        <v>Avenida Nueva Esperanza, Amauta - Inmaculada Concepcion Cuba, Ate, Lima, Lima, Perú</v>
      </c>
      <c r="Y64" s="22">
        <v>-12.0420728</v>
      </c>
      <c r="Z64" s="22">
        <v>-76.906277200000005</v>
      </c>
      <c r="AA64" s="33">
        <f t="shared" si="1"/>
        <v>5</v>
      </c>
      <c r="AB64" s="2" t="str">
        <f t="shared" si="2"/>
        <v>🟢 Muy Cerca (0-5 km)</v>
      </c>
      <c r="AC64" s="2" t="str" cm="1">
        <f t="array" ref="AC64">INDEX(PARADEROS_VALIDOS!$C$2:$C$68,MATCH(MIN(6371*ACOS(COS(RADIANS(Y64))*COS(RADIANS(PARADEROS_VALIDOS!$E$2:$E$68))*COS(RADIANS(PARADEROS_VALIDOS!$F$2:$F$68)-RADIANS(Z64))+SIN(RADIANS(Y64))*SIN(RADIANS(PARADEROS_VALIDOS!$E$2:$E$68)))),6371*ACOS(COS(RADIANS(Y64))*COS(RADIANS(PARADEROS_VALIDOS!$E$2:$E$68))*COS(RADIANS(PARADEROS_VALIDOS!$F$2:$F$68)-RADIANS(Z64))+SIN(RADIANS(Y64))*SIN(RADIANS(PARADEROS_VALIDOS!$E$2:$E$68))),0))</f>
        <v>Paradero Esperanza</v>
      </c>
      <c r="AD64" s="2" t="str">
        <f>IFERROR(INDEX(PARADEROS_VALIDOS!$A$2:$A$68,MATCH(AC64,PARADEROS_VALIDOS!$C$2:$C$68,0)),"")</f>
        <v>RUTA 4B</v>
      </c>
      <c r="AE64" s="33" cm="1">
        <f t="array" ref="AE64">ROUND(MIN(6371*ACOS(COS(RADIANS(Y64))*COS(RADIANS(PARADEROS_VALIDOS!$E$2:$E$68))*COS(RADIANS(PARADEROS_VALIDOS!$F$2:$F$68)-RADIANS(Z64))+SIN(RADIANS(Y64))*SIN(RADIANS(PARADEROS_VALIDOS!$E$2:$E$68)))),2)</f>
        <v>2.2599999999999998</v>
      </c>
      <c r="AF64" s="2" t="str">
        <f t="shared" si="3"/>
        <v>🟡 Cerca (1-3 km)</v>
      </c>
      <c r="AG64" s="2"/>
      <c r="AH64" s="2"/>
      <c r="AI64" s="51">
        <v>-11.997563</v>
      </c>
      <c r="AJ64" s="51">
        <v>-76.900062000000005</v>
      </c>
      <c r="AK64" s="2" t="str">
        <f>IFERROR(VLOOKUP(I64,tdcargo[],2,FALSE),"DESCONOCIDO")</f>
        <v>OPERARIO</v>
      </c>
    </row>
    <row r="65" spans="1:37" x14ac:dyDescent="0.35">
      <c r="A65" s="2" t="s">
        <v>455</v>
      </c>
      <c r="B65" s="2" t="s">
        <v>456</v>
      </c>
      <c r="C65" s="2" t="s">
        <v>191</v>
      </c>
      <c r="D65" s="2" t="s">
        <v>457</v>
      </c>
      <c r="E65" s="2">
        <v>48</v>
      </c>
      <c r="F65" s="2" t="s">
        <v>28</v>
      </c>
      <c r="G65" s="2" t="s">
        <v>29</v>
      </c>
      <c r="H65" s="2">
        <v>20512081</v>
      </c>
      <c r="I65" s="2" t="s">
        <v>62</v>
      </c>
      <c r="J65" s="3">
        <v>44728</v>
      </c>
      <c r="K65" s="2" t="s">
        <v>31</v>
      </c>
      <c r="L65" s="2" t="s">
        <v>100</v>
      </c>
      <c r="M65" s="2" t="s">
        <v>101</v>
      </c>
      <c r="N65" s="2" t="s">
        <v>82</v>
      </c>
      <c r="O65" s="2" t="s">
        <v>46</v>
      </c>
      <c r="P65" s="2" t="s">
        <v>186</v>
      </c>
      <c r="Q65" s="2" t="s">
        <v>458</v>
      </c>
      <c r="R65" s="2">
        <v>15457</v>
      </c>
      <c r="S65" s="2" t="s">
        <v>37</v>
      </c>
      <c r="T65" s="2" t="s">
        <v>37</v>
      </c>
      <c r="U65" s="2" t="s">
        <v>76</v>
      </c>
      <c r="V65" s="3">
        <v>44728</v>
      </c>
      <c r="W65" s="2" t="s">
        <v>48</v>
      </c>
      <c r="X65" s="2" t="str">
        <f t="shared" si="0"/>
        <v>Calle Nd, Urb. Urbanización San Antonio De Carapongo, Lurigancho, Lima, Lima, Perú</v>
      </c>
      <c r="Y65" s="22">
        <v>-12.003313</v>
      </c>
      <c r="Z65" s="22">
        <v>-76.8745543</v>
      </c>
      <c r="AA65" s="33">
        <f t="shared" si="1"/>
        <v>2.85</v>
      </c>
      <c r="AB65" s="2" t="str">
        <f t="shared" si="2"/>
        <v>🟢 Muy Cerca (0-5 km)</v>
      </c>
      <c r="AC65" s="2" t="str" cm="1">
        <f t="array" ref="AC65">INDEX(PARADEROS_VALIDOS!$C$2:$C$68,MATCH(MIN(6371*ACOS(COS(RADIANS(Y65))*COS(RADIANS(PARADEROS_VALIDOS!$E$2:$E$68))*COS(RADIANS(PARADEROS_VALIDOS!$F$2:$F$68)-RADIANS(Z65))+SIN(RADIANS(Y65))*SIN(RADIANS(PARADEROS_VALIDOS!$E$2:$E$68)))),6371*ACOS(COS(RADIANS(Y65))*COS(RADIANS(PARADEROS_VALIDOS!$E$2:$E$68))*COS(RADIANS(PARADEROS_VALIDOS!$F$2:$F$68)-RADIANS(Z65))+SIN(RADIANS(Y65))*SIN(RADIANS(PARADEROS_VALIDOS!$E$2:$E$68))),0))</f>
        <v>Paradero la Cruz</v>
      </c>
      <c r="AD65" s="2" t="str">
        <f>IFERROR(INDEX(PARADEROS_VALIDOS!$A$2:$A$68,MATCH(AC65,PARADEROS_VALIDOS!$C$2:$C$68,0)),"")</f>
        <v>RUTA 4B</v>
      </c>
      <c r="AE65" s="33" cm="1">
        <f t="array" ref="AE65">ROUND(MIN(6371*ACOS(COS(RADIANS(Y65))*COS(RADIANS(PARADEROS_VALIDOS!$E$2:$E$68))*COS(RADIANS(PARADEROS_VALIDOS!$F$2:$F$68)-RADIANS(Z65))+SIN(RADIANS(Y65))*SIN(RADIANS(PARADEROS_VALIDOS!$E$2:$E$68)))),2)</f>
        <v>1.71</v>
      </c>
      <c r="AF65" s="2" t="str">
        <f t="shared" si="3"/>
        <v>🟡 Cerca (1-3 km)</v>
      </c>
      <c r="AG65" s="2"/>
      <c r="AH65" s="2"/>
      <c r="AI65" s="51">
        <v>-11.997563</v>
      </c>
      <c r="AJ65" s="51">
        <v>-76.900062000000005</v>
      </c>
      <c r="AK65" s="2" t="str">
        <f>IFERROR(VLOOKUP(I65,tdcargo[],2,FALSE),"DESCONOCIDO")</f>
        <v>OPERARIO</v>
      </c>
    </row>
    <row r="66" spans="1:37" x14ac:dyDescent="0.35">
      <c r="A66" s="2" t="s">
        <v>459</v>
      </c>
      <c r="B66" s="2" t="s">
        <v>460</v>
      </c>
      <c r="C66" s="2" t="s">
        <v>461</v>
      </c>
      <c r="D66" s="2" t="s">
        <v>462</v>
      </c>
      <c r="E66" s="2">
        <v>26</v>
      </c>
      <c r="F66" s="2" t="s">
        <v>28</v>
      </c>
      <c r="G66" s="2" t="s">
        <v>29</v>
      </c>
      <c r="H66" s="2">
        <v>20508769</v>
      </c>
      <c r="I66" s="2" t="s">
        <v>30</v>
      </c>
      <c r="J66" s="3">
        <v>45887</v>
      </c>
      <c r="K66" s="2" t="s">
        <v>31</v>
      </c>
      <c r="L66" s="2" t="s">
        <v>72</v>
      </c>
      <c r="M66" s="2" t="s">
        <v>73</v>
      </c>
      <c r="N66" s="2" t="s">
        <v>82</v>
      </c>
      <c r="O66" s="2" t="s">
        <v>463</v>
      </c>
      <c r="P66" s="2" t="s">
        <v>36</v>
      </c>
      <c r="Q66" s="2" t="s">
        <v>464</v>
      </c>
      <c r="R66" s="2">
        <v>15004</v>
      </c>
      <c r="S66" s="2" t="s">
        <v>37</v>
      </c>
      <c r="T66" s="2" t="s">
        <v>37</v>
      </c>
      <c r="U66" s="2" t="s">
        <v>57</v>
      </c>
      <c r="V66" s="3">
        <v>45887</v>
      </c>
      <c r="W66" s="2" t="s">
        <v>39</v>
      </c>
      <c r="X66" s="2" t="str">
        <f t="shared" ref="X66:X129" si="4">_xlfn.LET(_xlpm.parte1,TRIM(IF(OR(N66="Otros / No aplica",N66=""),"",N66&amp;" ")&amp;O66&amp;IF(AND(P66&lt;&gt;"",P66&lt;&gt;"Otros / No aplica"),", "&amp;P66,"")&amp;IF(AND(Q66&lt;&gt;"",Q66&lt;&gt;"Nd",Q66&lt;&gt;0,Q66&lt;&gt;"0")," "&amp;Q66,"")),_xlpm.parte2,U66&amp;", "&amp;T66&amp;", "&amp;S66&amp;", Perú",IF(LEFT(_xlpm.parte1,1)=",",TRIM(MID(_xlpm.parte1,2,255))&amp;", "&amp;_xlpm.parte2,IF(_xlpm.parte1="",_xlpm.parte2,_xlpm.parte1&amp;", "&amp;_xlpm.parte2)))</f>
        <v>Calle Asoc.Cruz De Ate Vitarte Cruz De Ate, Ate, Lima, Lima, Perú</v>
      </c>
      <c r="Y66" s="22">
        <v>-12.0528984</v>
      </c>
      <c r="Z66" s="22">
        <v>-76.951163199999996</v>
      </c>
      <c r="AA66" s="33">
        <f t="shared" ref="AA66:AA129" si="5">ROUND(6371*ACOS(COS(RADIANS(-11.997563))*COS(RADIANS(Y66))*COS(RADIANS(Z66)-RADIANS(-76.900062))+SIN(RADIANS(-11.997563))*SIN(RADIANS(Y66))),2)</f>
        <v>8.2899999999999991</v>
      </c>
      <c r="AB66" s="2" t="str">
        <f t="shared" ref="AB66:AB129" si="6">IF(AA66&lt;=5,"🟢 Muy Cerca (0-5 km)",IF(AA66&lt;=10,"🟡 Cerca (5-10 km)",IF(AA66&lt;=20,"🟠 Moderada (10-20 km)","🔴 Lejos (&gt;20 km)")))</f>
        <v>🟡 Cerca (5-10 km)</v>
      </c>
      <c r="AC66" s="2" t="str" cm="1">
        <f t="array" ref="AC66">INDEX(PARADEROS_VALIDOS!$C$2:$C$68,MATCH(MIN(6371*ACOS(COS(RADIANS(Y66))*COS(RADIANS(PARADEROS_VALIDOS!$E$2:$E$68))*COS(RADIANS(PARADEROS_VALIDOS!$F$2:$F$68)-RADIANS(Z66))+SIN(RADIANS(Y66))*SIN(RADIANS(PARADEROS_VALIDOS!$E$2:$E$68)))),6371*ACOS(COS(RADIANS(Y66))*COS(RADIANS(PARADEROS_VALIDOS!$E$2:$E$68))*COS(RADIANS(PARADEROS_VALIDOS!$F$2:$F$68)-RADIANS(Z66))+SIN(RADIANS(Y66))*SIN(RADIANS(PARADEROS_VALIDOS!$E$2:$E$68))),0))</f>
        <v>Pte. Prialé (solo aplica para la salida)</v>
      </c>
      <c r="AD66" s="2" t="str">
        <f>IFERROR(INDEX(PARADEROS_VALIDOS!$A$2:$A$68,MATCH(AC66,PARADEROS_VALIDOS!$C$2:$C$68,0)),"")</f>
        <v>RUTA 7</v>
      </c>
      <c r="AE66" s="33" cm="1">
        <f t="array" ref="AE66">ROUND(MIN(6371*ACOS(COS(RADIANS(Y66))*COS(RADIANS(PARADEROS_VALIDOS!$E$2:$E$68))*COS(RADIANS(PARADEROS_VALIDOS!$F$2:$F$68)-RADIANS(Z66))+SIN(RADIANS(Y66))*SIN(RADIANS(PARADEROS_VALIDOS!$E$2:$E$68)))),2)</f>
        <v>0.68</v>
      </c>
      <c r="AF66" s="2" t="str">
        <f t="shared" ref="AF66:AF129" si="7">IF(AE66&lt;=1,"🟢 Muy Cerca (0-1 km)",IF(AE66&lt;=3,"🟡 Cerca (1-3 km)",IF(AE66&lt;=5,"🟠 Moderada (3-5 km)","🔴 Lejos (&gt;5 km)")))</f>
        <v>🟢 Muy Cerca (0-1 km)</v>
      </c>
      <c r="AG66" s="2"/>
      <c r="AH66" s="2"/>
      <c r="AI66" s="51">
        <v>-11.997563</v>
      </c>
      <c r="AJ66" s="51">
        <v>-76.900062000000005</v>
      </c>
      <c r="AK66" s="2" t="str">
        <f>IFERROR(VLOOKUP(I66,tdcargo[],2,FALSE),"DESCONOCIDO")</f>
        <v>OPERARIO</v>
      </c>
    </row>
    <row r="67" spans="1:37" x14ac:dyDescent="0.35">
      <c r="A67" s="2" t="s">
        <v>465</v>
      </c>
      <c r="B67" s="2" t="s">
        <v>466</v>
      </c>
      <c r="C67" s="2" t="s">
        <v>467</v>
      </c>
      <c r="D67" s="2" t="s">
        <v>468</v>
      </c>
      <c r="E67" s="2">
        <v>30</v>
      </c>
      <c r="F67" s="2" t="s">
        <v>28</v>
      </c>
      <c r="G67" s="2" t="s">
        <v>29</v>
      </c>
      <c r="H67" s="2">
        <v>20508827</v>
      </c>
      <c r="I67" s="2" t="s">
        <v>30</v>
      </c>
      <c r="J67" s="3">
        <v>45931</v>
      </c>
      <c r="K67" s="2" t="s">
        <v>31</v>
      </c>
      <c r="L67" s="2" t="s">
        <v>108</v>
      </c>
      <c r="M67" s="2" t="s">
        <v>109</v>
      </c>
      <c r="N67" s="2" t="s">
        <v>82</v>
      </c>
      <c r="O67" s="2" t="s">
        <v>469</v>
      </c>
      <c r="P67" s="2" t="s">
        <v>36</v>
      </c>
      <c r="Q67" s="2" t="s">
        <v>470</v>
      </c>
      <c r="R67" s="2">
        <v>15004</v>
      </c>
      <c r="S67" s="2" t="s">
        <v>37</v>
      </c>
      <c r="T67" s="2" t="s">
        <v>37</v>
      </c>
      <c r="U67" s="2" t="s">
        <v>57</v>
      </c>
      <c r="V67" s="3">
        <v>45931</v>
      </c>
      <c r="W67" s="2" t="s">
        <v>39</v>
      </c>
      <c r="X67" s="2" t="str">
        <f t="shared" si="4"/>
        <v>Calle Santa Ines Tagore, Ate, Lima, Lima, Perú</v>
      </c>
      <c r="Y67" s="22">
        <v>-12.059894699999999</v>
      </c>
      <c r="Z67" s="22">
        <v>-76.971712999999994</v>
      </c>
      <c r="AA67" s="33">
        <f t="shared" si="5"/>
        <v>10.43</v>
      </c>
      <c r="AB67" s="2" t="str">
        <f t="shared" si="6"/>
        <v>🟠 Moderada (10-20 km)</v>
      </c>
      <c r="AC67" s="2" t="str" cm="1">
        <f t="array" ref="AC67">INDEX(PARADEROS_VALIDOS!$C$2:$C$68,MATCH(MIN(6371*ACOS(COS(RADIANS(Y67))*COS(RADIANS(PARADEROS_VALIDOS!$E$2:$E$68))*COS(RADIANS(PARADEROS_VALIDOS!$F$2:$F$68)-RADIANS(Z67))+SIN(RADIANS(Y67))*SIN(RADIANS(PARADEROS_VALIDOS!$E$2:$E$68)))),6371*ACOS(COS(RADIANS(Y67))*COS(RADIANS(PARADEROS_VALIDOS!$E$2:$E$68))*COS(RADIANS(PARADEROS_VALIDOS!$F$2:$F$68)-RADIANS(Z67))+SIN(RADIANS(Y67))*SIN(RADIANS(PARADEROS_VALIDOS!$E$2:$E$68))),0))</f>
        <v>Puente Santa Anita</v>
      </c>
      <c r="AD67" s="2" t="str">
        <f>IFERROR(INDEX(PARADEROS_VALIDOS!$A$2:$A$68,MATCH(AC67,PARADEROS_VALIDOS!$C$2:$C$68,0)),"")</f>
        <v>RUTA 7</v>
      </c>
      <c r="AE67" s="33" cm="1">
        <f t="array" ref="AE67">ROUND(MIN(6371*ACOS(COS(RADIANS(Y67))*COS(RADIANS(PARADEROS_VALIDOS!$E$2:$E$68))*COS(RADIANS(PARADEROS_VALIDOS!$F$2:$F$68)-RADIANS(Z67))+SIN(RADIANS(Y67))*SIN(RADIANS(PARADEROS_VALIDOS!$E$2:$E$68)))),2)</f>
        <v>0.33</v>
      </c>
      <c r="AF67" s="2" t="str">
        <f t="shared" si="7"/>
        <v>🟢 Muy Cerca (0-1 km)</v>
      </c>
      <c r="AG67" s="2"/>
      <c r="AH67" s="2"/>
      <c r="AI67" s="51">
        <v>-11.997563</v>
      </c>
      <c r="AJ67" s="51">
        <v>-76.900062000000005</v>
      </c>
      <c r="AK67" s="2" t="str">
        <f>IFERROR(VLOOKUP(I67,tdcargo[],2,FALSE),"DESCONOCIDO")</f>
        <v>OPERARIO</v>
      </c>
    </row>
    <row r="68" spans="1:37" x14ac:dyDescent="0.35">
      <c r="A68" s="2" t="s">
        <v>471</v>
      </c>
      <c r="B68" s="2" t="s">
        <v>472</v>
      </c>
      <c r="C68" s="2" t="s">
        <v>430</v>
      </c>
      <c r="D68" s="2" t="s">
        <v>473</v>
      </c>
      <c r="E68" s="2">
        <v>21</v>
      </c>
      <c r="F68" s="2" t="s">
        <v>28</v>
      </c>
      <c r="G68" s="2" t="s">
        <v>29</v>
      </c>
      <c r="H68" s="2">
        <v>20514546</v>
      </c>
      <c r="I68" s="2" t="s">
        <v>30</v>
      </c>
      <c r="J68" s="3">
        <v>45971</v>
      </c>
      <c r="K68" s="2" t="s">
        <v>31</v>
      </c>
      <c r="L68" s="2" t="s">
        <v>63</v>
      </c>
      <c r="M68" s="2" t="s">
        <v>64</v>
      </c>
      <c r="N68" s="2" t="s">
        <v>36</v>
      </c>
      <c r="O68" s="2" t="s">
        <v>474</v>
      </c>
      <c r="P68" s="2" t="s">
        <v>36</v>
      </c>
      <c r="Q68" s="2" t="s">
        <v>475</v>
      </c>
      <c r="R68" s="2">
        <v>15004</v>
      </c>
      <c r="S68" s="2" t="s">
        <v>37</v>
      </c>
      <c r="T68" s="2" t="s">
        <v>37</v>
      </c>
      <c r="U68" s="2" t="s">
        <v>57</v>
      </c>
      <c r="V68" s="3">
        <v>45971</v>
      </c>
      <c r="W68" s="2" t="s">
        <v>135</v>
      </c>
      <c r="X68" s="2" t="str">
        <f t="shared" si="4"/>
        <v>Mz G Lt 16 Cajamarquilla Fame, Ate, Lima, Lima, Perú</v>
      </c>
      <c r="Y68" s="22">
        <v>-12.0384329</v>
      </c>
      <c r="Z68" s="22">
        <v>-76.957024399999995</v>
      </c>
      <c r="AA68" s="33">
        <f t="shared" si="5"/>
        <v>7.68</v>
      </c>
      <c r="AB68" s="2" t="str">
        <f t="shared" si="6"/>
        <v>🟡 Cerca (5-10 km)</v>
      </c>
      <c r="AC68" s="2" t="str" cm="1">
        <f t="array" ref="AC68">INDEX(PARADEROS_VALIDOS!$C$2:$C$68,MATCH(MIN(6371*ACOS(COS(RADIANS(Y68))*COS(RADIANS(PARADEROS_VALIDOS!$E$2:$E$68))*COS(RADIANS(PARADEROS_VALIDOS!$F$2:$F$68)-RADIANS(Z68))+SIN(RADIANS(Y68))*SIN(RADIANS(PARADEROS_VALIDOS!$E$2:$E$68)))),6371*ACOS(COS(RADIANS(Y68))*COS(RADIANS(PARADEROS_VALIDOS!$E$2:$E$68))*COS(RADIANS(PARADEROS_VALIDOS!$F$2:$F$68)-RADIANS(Z68))+SIN(RADIANS(Y68))*SIN(RADIANS(PARADEROS_VALIDOS!$E$2:$E$68))),0))</f>
        <v>Av. Huarochirí con Metropolitana</v>
      </c>
      <c r="AD68" s="2" t="str">
        <f>IFERROR(INDEX(PARADEROS_VALIDOS!$A$2:$A$68,MATCH(AC68,PARADEROS_VALIDOS!$C$2:$C$68,0)),"")</f>
        <v>RUTA 4A</v>
      </c>
      <c r="AE68" s="33" cm="1">
        <f t="array" ref="AE68">ROUND(MIN(6371*ACOS(COS(RADIANS(Y68))*COS(RADIANS(PARADEROS_VALIDOS!$E$2:$E$68))*COS(RADIANS(PARADEROS_VALIDOS!$F$2:$F$68)-RADIANS(Z68))+SIN(RADIANS(Y68))*SIN(RADIANS(PARADEROS_VALIDOS!$E$2:$E$68)))),2)</f>
        <v>0.34</v>
      </c>
      <c r="AF68" s="2" t="str">
        <f t="shared" si="7"/>
        <v>🟢 Muy Cerca (0-1 km)</v>
      </c>
      <c r="AG68" s="2"/>
      <c r="AH68" s="2"/>
      <c r="AI68" s="51">
        <v>-11.997563</v>
      </c>
      <c r="AJ68" s="51">
        <v>-76.900062000000005</v>
      </c>
      <c r="AK68" s="2" t="str">
        <f>IFERROR(VLOOKUP(I68,tdcargo[],2,FALSE),"DESCONOCIDO")</f>
        <v>OPERARIO</v>
      </c>
    </row>
    <row r="69" spans="1:37" x14ac:dyDescent="0.35">
      <c r="A69" s="2" t="s">
        <v>476</v>
      </c>
      <c r="B69" s="2" t="s">
        <v>477</v>
      </c>
      <c r="C69" s="2" t="s">
        <v>478</v>
      </c>
      <c r="D69" s="2" t="s">
        <v>479</v>
      </c>
      <c r="E69" s="2">
        <v>45</v>
      </c>
      <c r="F69" s="2" t="s">
        <v>28</v>
      </c>
      <c r="G69" s="2" t="s">
        <v>29</v>
      </c>
      <c r="H69" s="2">
        <v>20508804</v>
      </c>
      <c r="I69" s="2" t="s">
        <v>44</v>
      </c>
      <c r="J69" s="3">
        <v>43157</v>
      </c>
      <c r="K69" s="2" t="s">
        <v>31</v>
      </c>
      <c r="L69" s="2" t="s">
        <v>164</v>
      </c>
      <c r="M69" s="2" t="s">
        <v>165</v>
      </c>
      <c r="N69" s="2" t="s">
        <v>36</v>
      </c>
      <c r="O69" s="2" t="s">
        <v>480</v>
      </c>
      <c r="P69" s="2" t="s">
        <v>186</v>
      </c>
      <c r="Q69" s="2" t="s">
        <v>480</v>
      </c>
      <c r="R69" s="2">
        <v>15401</v>
      </c>
      <c r="S69" s="2" t="s">
        <v>37</v>
      </c>
      <c r="T69" s="2" t="s">
        <v>37</v>
      </c>
      <c r="U69" s="2" t="s">
        <v>38</v>
      </c>
      <c r="V69" s="3">
        <v>43157</v>
      </c>
      <c r="W69" s="2" t="s">
        <v>48</v>
      </c>
      <c r="X69" s="2" t="str">
        <f t="shared" si="4"/>
        <v>Los Pinos, Urb. Urbanización Los Pinos, San Juan De Lurigancho, Lima, Lima, Perú</v>
      </c>
      <c r="Y69" s="22">
        <v>-11.9739793</v>
      </c>
      <c r="Z69" s="22">
        <v>-77.000666600000002</v>
      </c>
      <c r="AA69" s="33">
        <f t="shared" si="5"/>
        <v>11.25</v>
      </c>
      <c r="AB69" s="2" t="str">
        <f t="shared" si="6"/>
        <v>🟠 Moderada (10-20 km)</v>
      </c>
      <c r="AC69" s="2" t="str" cm="1">
        <f t="array" ref="AC69">INDEX(PARADEROS_VALIDOS!$C$2:$C$68,MATCH(MIN(6371*ACOS(COS(RADIANS(Y69))*COS(RADIANS(PARADEROS_VALIDOS!$E$2:$E$68))*COS(RADIANS(PARADEROS_VALIDOS!$F$2:$F$68)-RADIANS(Z69))+SIN(RADIANS(Y69))*SIN(RADIANS(PARADEROS_VALIDOS!$E$2:$E$68)))),6371*ACOS(COS(RADIANS(Y69))*COS(RADIANS(PARADEROS_VALIDOS!$E$2:$E$68))*COS(RADIANS(PARADEROS_VALIDOS!$F$2:$F$68)-RADIANS(Z69))+SIN(RADIANS(Y69))*SIN(RADIANS(PARADEROS_VALIDOS!$E$2:$E$68))),0))</f>
        <v>Paradero San Martin</v>
      </c>
      <c r="AD69" s="2" t="str">
        <f>IFERROR(INDEX(PARADEROS_VALIDOS!$A$2:$A$68,MATCH(AC69,PARADEROS_VALIDOS!$C$2:$C$68,0)),"")</f>
        <v>RUTA 6A</v>
      </c>
      <c r="AE69" s="33" cm="1">
        <f t="array" ref="AE69">ROUND(MIN(6371*ACOS(COS(RADIANS(Y69))*COS(RADIANS(PARADEROS_VALIDOS!$E$2:$E$68))*COS(RADIANS(PARADEROS_VALIDOS!$F$2:$F$68)-RADIANS(Z69))+SIN(RADIANS(Y69))*SIN(RADIANS(PARADEROS_VALIDOS!$E$2:$E$68)))),2)</f>
        <v>0.12</v>
      </c>
      <c r="AF69" s="2" t="str">
        <f t="shared" si="7"/>
        <v>🟢 Muy Cerca (0-1 km)</v>
      </c>
      <c r="AG69" s="2"/>
      <c r="AH69" s="2"/>
      <c r="AI69" s="51">
        <v>-11.997563</v>
      </c>
      <c r="AJ69" s="51">
        <v>-76.900062000000005</v>
      </c>
      <c r="AK69" s="2" t="str">
        <f>IFERROR(VLOOKUP(I69,tdcargo[],2,FALSE),"DESCONOCIDO")</f>
        <v>OPERARIO</v>
      </c>
    </row>
    <row r="70" spans="1:37" x14ac:dyDescent="0.35">
      <c r="A70" s="2" t="s">
        <v>481</v>
      </c>
      <c r="B70" s="2" t="s">
        <v>482</v>
      </c>
      <c r="C70" s="2" t="s">
        <v>483</v>
      </c>
      <c r="D70" s="2" t="s">
        <v>484</v>
      </c>
      <c r="E70" s="2">
        <v>36</v>
      </c>
      <c r="F70" s="2" t="s">
        <v>28</v>
      </c>
      <c r="G70" s="2" t="s">
        <v>29</v>
      </c>
      <c r="H70" s="2">
        <v>20508833</v>
      </c>
      <c r="I70" s="2" t="s">
        <v>62</v>
      </c>
      <c r="J70" s="3">
        <v>44137</v>
      </c>
      <c r="K70" s="2" t="s">
        <v>31</v>
      </c>
      <c r="L70" s="2" t="s">
        <v>164</v>
      </c>
      <c r="M70" s="2" t="s">
        <v>165</v>
      </c>
      <c r="N70" s="2" t="s">
        <v>53</v>
      </c>
      <c r="O70" s="2" t="s">
        <v>485</v>
      </c>
      <c r="P70" s="2" t="s">
        <v>186</v>
      </c>
      <c r="Q70" s="2" t="s">
        <v>46</v>
      </c>
      <c r="R70" s="2">
        <v>15001</v>
      </c>
      <c r="S70" s="2" t="s">
        <v>37</v>
      </c>
      <c r="T70" s="2" t="s">
        <v>37</v>
      </c>
      <c r="U70" s="2" t="s">
        <v>37</v>
      </c>
      <c r="V70" s="3">
        <v>44137</v>
      </c>
      <c r="W70" s="2" t="s">
        <v>48</v>
      </c>
      <c r="X70" s="2" t="str">
        <f t="shared" si="4"/>
        <v>Jirón Mariano Angulo, Urb. Urbanización, Lima, Lima, Lima, Perú</v>
      </c>
      <c r="Y70" s="22">
        <v>-12.0370516</v>
      </c>
      <c r="Z70" s="22">
        <v>-77.071299400000001</v>
      </c>
      <c r="AA70" s="33">
        <f t="shared" si="5"/>
        <v>19.13</v>
      </c>
      <c r="AB70" s="2" t="str">
        <f t="shared" si="6"/>
        <v>🟠 Moderada (10-20 km)</v>
      </c>
      <c r="AC70" s="2" t="str" cm="1">
        <f t="array" ref="AC70">INDEX(PARADEROS_VALIDOS!$C$2:$C$68,MATCH(MIN(6371*ACOS(COS(RADIANS(Y70))*COS(RADIANS(PARADEROS_VALIDOS!$E$2:$E$68))*COS(RADIANS(PARADEROS_VALIDOS!$F$2:$F$68)-RADIANS(Z70))+SIN(RADIANS(Y70))*SIN(RADIANS(PARADEROS_VALIDOS!$E$2:$E$68)))),6371*ACOS(COS(RADIANS(Y70))*COS(RADIANS(PARADEROS_VALIDOS!$E$2:$E$68))*COS(RADIANS(PARADEROS_VALIDOS!$F$2:$F$68)-RADIANS(Z70))+SIN(RADIANS(Y70))*SIN(RADIANS(PARADEROS_VALIDOS!$E$2:$E$68))),0))</f>
        <v>Paradero Puente Los Ángeles</v>
      </c>
      <c r="AD70" s="2" t="str">
        <f>IFERROR(INDEX(PARADEROS_VALIDOS!$A$2:$A$68,MATCH(AC70,PARADEROS_VALIDOS!$C$2:$C$68,0)),"")</f>
        <v>RUTA 5A</v>
      </c>
      <c r="AE70" s="33" cm="1">
        <f t="array" ref="AE70">ROUND(MIN(6371*ACOS(COS(RADIANS(Y70))*COS(RADIANS(PARADEROS_VALIDOS!$E$2:$E$68))*COS(RADIANS(PARADEROS_VALIDOS!$F$2:$F$68)-RADIANS(Z70))+SIN(RADIANS(Y70))*SIN(RADIANS(PARADEROS_VALIDOS!$E$2:$E$68)))),2)</f>
        <v>0.47</v>
      </c>
      <c r="AF70" s="2" t="str">
        <f t="shared" si="7"/>
        <v>🟢 Muy Cerca (0-1 km)</v>
      </c>
      <c r="AG70" s="2"/>
      <c r="AH70" s="2"/>
      <c r="AI70" s="51">
        <v>-11.997563</v>
      </c>
      <c r="AJ70" s="51">
        <v>-76.900062000000005</v>
      </c>
      <c r="AK70" s="2" t="str">
        <f>IFERROR(VLOOKUP(I70,tdcargo[],2,FALSE),"DESCONOCIDO")</f>
        <v>OPERARIO</v>
      </c>
    </row>
    <row r="71" spans="1:37" x14ac:dyDescent="0.35">
      <c r="A71" s="2" t="s">
        <v>486</v>
      </c>
      <c r="B71" s="2" t="s">
        <v>487</v>
      </c>
      <c r="C71" s="2" t="s">
        <v>488</v>
      </c>
      <c r="D71" s="2" t="s">
        <v>489</v>
      </c>
      <c r="E71" s="2">
        <v>33</v>
      </c>
      <c r="F71" s="2" t="s">
        <v>28</v>
      </c>
      <c r="G71" s="2" t="s">
        <v>29</v>
      </c>
      <c r="H71" s="2">
        <v>20514451</v>
      </c>
      <c r="I71" s="2" t="s">
        <v>30</v>
      </c>
      <c r="J71" s="3">
        <v>46083</v>
      </c>
      <c r="K71" s="2" t="s">
        <v>31</v>
      </c>
      <c r="L71" s="2" t="s">
        <v>72</v>
      </c>
      <c r="M71" s="2" t="s">
        <v>73</v>
      </c>
      <c r="N71" s="2" t="s">
        <v>36</v>
      </c>
      <c r="O71" s="2" t="s">
        <v>490</v>
      </c>
      <c r="P71" s="2" t="s">
        <v>36</v>
      </c>
      <c r="Q71" s="2" t="s">
        <v>491</v>
      </c>
      <c r="R71" s="2">
        <v>15004</v>
      </c>
      <c r="S71" s="2" t="s">
        <v>37</v>
      </c>
      <c r="T71" s="2" t="s">
        <v>37</v>
      </c>
      <c r="U71" s="2" t="s">
        <v>57</v>
      </c>
      <c r="V71" s="3">
        <v>46083</v>
      </c>
      <c r="W71" s="2" t="s">
        <v>135</v>
      </c>
      <c r="X71" s="2" t="str">
        <f t="shared" si="4"/>
        <v>Bio Huerto Avanza Pe C HUAYCAN, Ate, Lima, Lima, Perú</v>
      </c>
      <c r="Y71" s="22">
        <v>-12.037456799999999</v>
      </c>
      <c r="Z71" s="22">
        <v>-76.997645199999994</v>
      </c>
      <c r="AA71" s="33">
        <f t="shared" si="5"/>
        <v>11.5</v>
      </c>
      <c r="AB71" s="2" t="str">
        <f t="shared" si="6"/>
        <v>🟠 Moderada (10-20 km)</v>
      </c>
      <c r="AC71" s="2" t="str" cm="1">
        <f t="array" ref="AC71">INDEX(PARADEROS_VALIDOS!$C$2:$C$68,MATCH(MIN(6371*ACOS(COS(RADIANS(Y71))*COS(RADIANS(PARADEROS_VALIDOS!$E$2:$E$68))*COS(RADIANS(PARADEROS_VALIDOS!$F$2:$F$68)-RADIANS(Z71))+SIN(RADIANS(Y71))*SIN(RADIANS(PARADEROS_VALIDOS!$E$2:$E$68)))),6371*ACOS(COS(RADIANS(Y71))*COS(RADIANS(PARADEROS_VALIDOS!$E$2:$E$68))*COS(RADIANS(PARADEROS_VALIDOS!$F$2:$F$68)-RADIANS(Z71))+SIN(RADIANS(Y71))*SIN(RADIANS(PARADEROS_VALIDOS!$E$2:$E$68))),0))</f>
        <v>Puente Nuevo (Av. Chinchaysuyo &amp; Av. Malecón Checa)</v>
      </c>
      <c r="AD71" s="2" t="str">
        <f>IFERROR(INDEX(PARADEROS_VALIDOS!$A$2:$A$68,MATCH(AC71,PARADEROS_VALIDOS!$C$2:$C$68,0)),"")</f>
        <v>RUTA 6C</v>
      </c>
      <c r="AE71" s="33" cm="1">
        <f t="array" ref="AE71">ROUND(MIN(6371*ACOS(COS(RADIANS(Y71))*COS(RADIANS(PARADEROS_VALIDOS!$E$2:$E$68))*COS(RADIANS(PARADEROS_VALIDOS!$F$2:$F$68)-RADIANS(Z71))+SIN(RADIANS(Y71))*SIN(RADIANS(PARADEROS_VALIDOS!$E$2:$E$68)))),2)</f>
        <v>1.07</v>
      </c>
      <c r="AF71" s="2" t="str">
        <f t="shared" si="7"/>
        <v>🟡 Cerca (1-3 km)</v>
      </c>
      <c r="AG71" s="2"/>
      <c r="AH71" s="2"/>
      <c r="AI71" s="51">
        <v>-11.997563</v>
      </c>
      <c r="AJ71" s="51">
        <v>-76.900062000000005</v>
      </c>
      <c r="AK71" s="2" t="str">
        <f>IFERROR(VLOOKUP(I71,tdcargo[],2,FALSE),"DESCONOCIDO")</f>
        <v>OPERARIO</v>
      </c>
    </row>
    <row r="72" spans="1:37" x14ac:dyDescent="0.35">
      <c r="A72" s="2" t="s">
        <v>492</v>
      </c>
      <c r="B72" s="2" t="s">
        <v>493</v>
      </c>
      <c r="C72" s="2" t="s">
        <v>467</v>
      </c>
      <c r="D72" s="2" t="s">
        <v>494</v>
      </c>
      <c r="E72" s="2">
        <v>38</v>
      </c>
      <c r="F72" s="2" t="s">
        <v>28</v>
      </c>
      <c r="G72" s="2" t="s">
        <v>29</v>
      </c>
      <c r="H72" s="2">
        <v>20508886</v>
      </c>
      <c r="I72" s="2" t="s">
        <v>44</v>
      </c>
      <c r="J72" s="3">
        <v>43223</v>
      </c>
      <c r="K72" s="2" t="s">
        <v>31</v>
      </c>
      <c r="L72" s="2" t="s">
        <v>32</v>
      </c>
      <c r="M72" s="2" t="s">
        <v>33</v>
      </c>
      <c r="N72" s="2" t="s">
        <v>36</v>
      </c>
      <c r="O72" s="2" t="s">
        <v>495</v>
      </c>
      <c r="P72" s="2" t="s">
        <v>88</v>
      </c>
      <c r="Q72" s="2" t="s">
        <v>496</v>
      </c>
      <c r="R72" s="2">
        <v>15004</v>
      </c>
      <c r="S72" s="2" t="s">
        <v>37</v>
      </c>
      <c r="T72" s="2" t="s">
        <v>37</v>
      </c>
      <c r="U72" s="2" t="s">
        <v>57</v>
      </c>
      <c r="V72" s="3">
        <v>43223</v>
      </c>
      <c r="W72" s="2" t="s">
        <v>48</v>
      </c>
      <c r="X72" s="2" t="str">
        <f t="shared" si="4"/>
        <v>Ucv 181, A.H. Asentamiento Humano Huaycan Zona O, Ate, Lima, Lima, Perú</v>
      </c>
      <c r="Y72" s="22">
        <v>-12.0131783</v>
      </c>
      <c r="Z72" s="22">
        <v>-76.818275400000005</v>
      </c>
      <c r="AA72" s="33">
        <f t="shared" si="5"/>
        <v>9.06</v>
      </c>
      <c r="AB72" s="2" t="str">
        <f t="shared" si="6"/>
        <v>🟡 Cerca (5-10 km)</v>
      </c>
      <c r="AC72" s="2" t="str" cm="1">
        <f t="array" ref="AC72">INDEX(PARADEROS_VALIDOS!$C$2:$C$68,MATCH(MIN(6371*ACOS(COS(RADIANS(Y72))*COS(RADIANS(PARADEROS_VALIDOS!$E$2:$E$68))*COS(RADIANS(PARADEROS_VALIDOS!$F$2:$F$68)-RADIANS(Z72))+SIN(RADIANS(Y72))*SIN(RADIANS(PARADEROS_VALIDOS!$E$2:$E$68)))),6371*ACOS(COS(RADIANS(Y72))*COS(RADIANS(PARADEROS_VALIDOS!$E$2:$E$68))*COS(RADIANS(PARADEROS_VALIDOS!$F$2:$F$68)-RADIANS(Z72))+SIN(RADIANS(Y72))*SIN(RADIANS(PARADEROS_VALIDOS!$E$2:$E$68))),0))</f>
        <v>Paradero Aurora</v>
      </c>
      <c r="AD72" s="2" t="str">
        <f>IFERROR(INDEX(PARADEROS_VALIDOS!$A$2:$A$68,MATCH(AC72,PARADEROS_VALIDOS!$C$2:$C$68,0)),"")</f>
        <v>RUTA 3</v>
      </c>
      <c r="AE72" s="33" cm="1">
        <f t="array" ref="AE72">ROUND(MIN(6371*ACOS(COS(RADIANS(Y72))*COS(RADIANS(PARADEROS_VALIDOS!$E$2:$E$68))*COS(RADIANS(PARADEROS_VALIDOS!$F$2:$F$68)-RADIANS(Z72))+SIN(RADIANS(Y72))*SIN(RADIANS(PARADEROS_VALIDOS!$E$2:$E$68)))),2)</f>
        <v>1.49</v>
      </c>
      <c r="AF72" s="2" t="str">
        <f t="shared" si="7"/>
        <v>🟡 Cerca (1-3 km)</v>
      </c>
      <c r="AG72" s="2"/>
      <c r="AH72" s="2"/>
      <c r="AI72" s="51">
        <v>-11.997563</v>
      </c>
      <c r="AJ72" s="51">
        <v>-76.900062000000005</v>
      </c>
      <c r="AK72" s="2" t="str">
        <f>IFERROR(VLOOKUP(I72,tdcargo[],2,FALSE),"DESCONOCIDO")</f>
        <v>OPERARIO</v>
      </c>
    </row>
    <row r="73" spans="1:37" x14ac:dyDescent="0.35">
      <c r="A73" s="2" t="s">
        <v>497</v>
      </c>
      <c r="B73" s="2" t="s">
        <v>498</v>
      </c>
      <c r="C73" s="2" t="s">
        <v>499</v>
      </c>
      <c r="D73" s="2" t="s">
        <v>500</v>
      </c>
      <c r="E73" s="2">
        <v>23</v>
      </c>
      <c r="F73" s="2" t="s">
        <v>28</v>
      </c>
      <c r="G73" s="2" t="s">
        <v>29</v>
      </c>
      <c r="H73" s="2">
        <v>20510620</v>
      </c>
      <c r="I73" s="2" t="s">
        <v>62</v>
      </c>
      <c r="J73" s="3">
        <v>44497</v>
      </c>
      <c r="K73" s="2" t="s">
        <v>31</v>
      </c>
      <c r="L73" s="2" t="s">
        <v>63</v>
      </c>
      <c r="M73" s="2" t="s">
        <v>64</v>
      </c>
      <c r="N73" s="2" t="s">
        <v>36</v>
      </c>
      <c r="O73" s="2" t="s">
        <v>46</v>
      </c>
      <c r="P73" s="2" t="s">
        <v>186</v>
      </c>
      <c r="Q73" s="2" t="s">
        <v>501</v>
      </c>
      <c r="R73" s="2">
        <v>15457</v>
      </c>
      <c r="S73" s="2" t="s">
        <v>37</v>
      </c>
      <c r="T73" s="2" t="s">
        <v>37</v>
      </c>
      <c r="U73" s="2" t="s">
        <v>76</v>
      </c>
      <c r="V73" s="3">
        <v>44497</v>
      </c>
      <c r="W73" s="2" t="s">
        <v>48</v>
      </c>
      <c r="X73" s="2" t="str">
        <f t="shared" si="4"/>
        <v>Nd, Urb. Urbanización El Bosque, Lurigancho, Lima, Lima, Perú</v>
      </c>
      <c r="Y73" s="22">
        <v>-11.9499797</v>
      </c>
      <c r="Z73" s="22">
        <v>-76.730407099999994</v>
      </c>
      <c r="AA73" s="33">
        <f t="shared" si="5"/>
        <v>19.2</v>
      </c>
      <c r="AB73" s="2" t="str">
        <f t="shared" si="6"/>
        <v>🟠 Moderada (10-20 km)</v>
      </c>
      <c r="AC73" s="2" t="str" cm="1">
        <f t="array" ref="AC73">INDEX(PARADEROS_VALIDOS!$C$2:$C$68,MATCH(MIN(6371*ACOS(COS(RADIANS(Y73))*COS(RADIANS(PARADEROS_VALIDOS!$E$2:$E$68))*COS(RADIANS(PARADEROS_VALIDOS!$F$2:$F$68)-RADIANS(Z73))+SIN(RADIANS(Y73))*SIN(RADIANS(PARADEROS_VALIDOS!$E$2:$E$68)))),6371*ACOS(COS(RADIANS(Y73))*COS(RADIANS(PARADEROS_VALIDOS!$E$2:$E$68))*COS(RADIANS(PARADEROS_VALIDOS!$F$2:$F$68)-RADIANS(Z73))+SIN(RADIANS(Y73))*SIN(RADIANS(PARADEROS_VALIDOS!$E$2:$E$68))),0))</f>
        <v>Paradero Girasoles - Chaclacayo</v>
      </c>
      <c r="AD73" s="2" t="str">
        <f>IFERROR(INDEX(PARADEROS_VALIDOS!$A$2:$A$68,MATCH(AC73,PARADEROS_VALIDOS!$C$2:$C$68,0)),"")</f>
        <v>RUTA 5A</v>
      </c>
      <c r="AE73" s="33" cm="1">
        <f t="array" ref="AE73">ROUND(MIN(6371*ACOS(COS(RADIANS(Y73))*COS(RADIANS(PARADEROS_VALIDOS!$E$2:$E$68))*COS(RADIANS(PARADEROS_VALIDOS!$F$2:$F$68)-RADIANS(Z73))+SIN(RADIANS(Y73))*SIN(RADIANS(PARADEROS_VALIDOS!$E$2:$E$68)))),2)</f>
        <v>5.44</v>
      </c>
      <c r="AF73" s="2" t="str">
        <f t="shared" si="7"/>
        <v>🔴 Lejos (&gt;5 km)</v>
      </c>
      <c r="AG73" s="2"/>
      <c r="AH73" s="2"/>
      <c r="AI73" s="51">
        <v>-11.997563</v>
      </c>
      <c r="AJ73" s="51">
        <v>-76.900062000000005</v>
      </c>
      <c r="AK73" s="2" t="str">
        <f>IFERROR(VLOOKUP(I73,tdcargo[],2,FALSE),"DESCONOCIDO")</f>
        <v>OPERARIO</v>
      </c>
    </row>
    <row r="74" spans="1:37" x14ac:dyDescent="0.35">
      <c r="A74" s="2" t="s">
        <v>502</v>
      </c>
      <c r="B74" s="2" t="s">
        <v>503</v>
      </c>
      <c r="C74" s="2" t="s">
        <v>364</v>
      </c>
      <c r="D74" s="2" t="s">
        <v>504</v>
      </c>
      <c r="E74" s="2">
        <v>37</v>
      </c>
      <c r="F74" s="2" t="s">
        <v>28</v>
      </c>
      <c r="G74" s="2" t="s">
        <v>29</v>
      </c>
      <c r="H74" s="2">
        <v>20508747</v>
      </c>
      <c r="I74" s="2" t="s">
        <v>30</v>
      </c>
      <c r="J74" s="3">
        <v>44847</v>
      </c>
      <c r="K74" s="2" t="s">
        <v>31</v>
      </c>
      <c r="L74" s="2" t="s">
        <v>72</v>
      </c>
      <c r="M74" s="2" t="s">
        <v>73</v>
      </c>
      <c r="N74" s="2" t="s">
        <v>82</v>
      </c>
      <c r="O74" s="2" t="s">
        <v>480</v>
      </c>
      <c r="P74" s="2" t="s">
        <v>88</v>
      </c>
      <c r="Q74" s="2" t="s">
        <v>505</v>
      </c>
      <c r="R74" s="2">
        <v>15457</v>
      </c>
      <c r="S74" s="2" t="s">
        <v>37</v>
      </c>
      <c r="T74" s="2" t="s">
        <v>37</v>
      </c>
      <c r="U74" s="2" t="s">
        <v>76</v>
      </c>
      <c r="V74" s="3">
        <v>44847</v>
      </c>
      <c r="W74" s="2" t="s">
        <v>48</v>
      </c>
      <c r="X74" s="2" t="str">
        <f t="shared" si="4"/>
        <v>Calle Los Pinos, A.H. Asentamiento Humano Paraiso De Cajamarquilla, Lurigancho, Lima, Lima, Perú</v>
      </c>
      <c r="Y74" s="22">
        <v>-11.9785579</v>
      </c>
      <c r="Z74" s="22">
        <v>-76.9096148</v>
      </c>
      <c r="AA74" s="33">
        <f t="shared" si="5"/>
        <v>2.35</v>
      </c>
      <c r="AB74" s="2" t="str">
        <f t="shared" si="6"/>
        <v>🟢 Muy Cerca (0-5 km)</v>
      </c>
      <c r="AC74" s="2" t="str" cm="1">
        <f t="array" ref="AC74">INDEX(PARADEROS_VALIDOS!$C$2:$C$68,MATCH(MIN(6371*ACOS(COS(RADIANS(Y74))*COS(RADIANS(PARADEROS_VALIDOS!$E$2:$E$68))*COS(RADIANS(PARADEROS_VALIDOS!$F$2:$F$68)-RADIANS(Z74))+SIN(RADIANS(Y74))*SIN(RADIANS(PARADEROS_VALIDOS!$E$2:$E$68)))),6371*ACOS(COS(RADIANS(Y74))*COS(RADIANS(PARADEROS_VALIDOS!$E$2:$E$68))*COS(RADIANS(PARADEROS_VALIDOS!$F$2:$F$68)-RADIANS(Z74))+SIN(RADIANS(Y74))*SIN(RADIANS(PARADEROS_VALIDOS!$E$2:$E$68))),0))</f>
        <v>Paradero Arco San Antonio</v>
      </c>
      <c r="AD74" s="2" t="str">
        <f>IFERROR(INDEX(PARADEROS_VALIDOS!$A$2:$A$68,MATCH(AC74,PARADEROS_VALIDOS!$C$2:$C$68,0)),"")</f>
        <v>RUTA 2</v>
      </c>
      <c r="AE74" s="33" cm="1">
        <f t="array" ref="AE74">ROUND(MIN(6371*ACOS(COS(RADIANS(Y74))*COS(RADIANS(PARADEROS_VALIDOS!$E$2:$E$68))*COS(RADIANS(PARADEROS_VALIDOS!$F$2:$F$68)-RADIANS(Z74))+SIN(RADIANS(Y74))*SIN(RADIANS(PARADEROS_VALIDOS!$E$2:$E$68)))),2)</f>
        <v>1.81</v>
      </c>
      <c r="AF74" s="2" t="str">
        <f t="shared" si="7"/>
        <v>🟡 Cerca (1-3 km)</v>
      </c>
      <c r="AG74" s="2"/>
      <c r="AH74" s="2"/>
      <c r="AI74" s="51">
        <v>-11.997563</v>
      </c>
      <c r="AJ74" s="51">
        <v>-76.900062000000005</v>
      </c>
      <c r="AK74" s="2" t="str">
        <f>IFERROR(VLOOKUP(I74,tdcargo[],2,FALSE),"DESCONOCIDO")</f>
        <v>OPERARIO</v>
      </c>
    </row>
    <row r="75" spans="1:37" x14ac:dyDescent="0.35">
      <c r="A75" s="2" t="s">
        <v>506</v>
      </c>
      <c r="B75" s="2" t="s">
        <v>507</v>
      </c>
      <c r="C75" s="2" t="s">
        <v>508</v>
      </c>
      <c r="D75" s="2" t="s">
        <v>468</v>
      </c>
      <c r="E75" s="2">
        <v>29</v>
      </c>
      <c r="F75" s="2" t="s">
        <v>28</v>
      </c>
      <c r="G75" s="2" t="s">
        <v>29</v>
      </c>
      <c r="H75" s="2">
        <v>20508987</v>
      </c>
      <c r="I75" s="2" t="s">
        <v>30</v>
      </c>
      <c r="J75" s="3">
        <v>45474</v>
      </c>
      <c r="K75" s="2" t="s">
        <v>31</v>
      </c>
      <c r="L75" s="2" t="s">
        <v>63</v>
      </c>
      <c r="M75" s="2" t="s">
        <v>64</v>
      </c>
      <c r="N75" s="2" t="s">
        <v>82</v>
      </c>
      <c r="O75" s="2" t="s">
        <v>509</v>
      </c>
      <c r="P75" s="2" t="s">
        <v>36</v>
      </c>
      <c r="Q75" s="2" t="s">
        <v>510</v>
      </c>
      <c r="R75" s="2">
        <v>15457</v>
      </c>
      <c r="S75" s="2" t="s">
        <v>37</v>
      </c>
      <c r="T75" s="2" t="s">
        <v>37</v>
      </c>
      <c r="U75" s="2" t="s">
        <v>76</v>
      </c>
      <c r="V75" s="3">
        <v>45474</v>
      </c>
      <c r="W75" s="2" t="s">
        <v>48</v>
      </c>
      <c r="X75" s="2" t="str">
        <f t="shared" si="4"/>
        <v>Calle Las Brisas De Huachipa Brisas, Lurigancho, Lima, Lima, Perú</v>
      </c>
      <c r="Y75" s="22">
        <v>-11.999314999999999</v>
      </c>
      <c r="Z75" s="22">
        <v>-76.919015999999999</v>
      </c>
      <c r="AA75" s="33">
        <f t="shared" si="5"/>
        <v>2.0699999999999998</v>
      </c>
      <c r="AB75" s="2" t="str">
        <f t="shared" si="6"/>
        <v>🟢 Muy Cerca (0-5 km)</v>
      </c>
      <c r="AC75" s="2" t="str" cm="1">
        <f t="array" ref="AC75">INDEX(PARADEROS_VALIDOS!$C$2:$C$68,MATCH(MIN(6371*ACOS(COS(RADIANS(Y75))*COS(RADIANS(PARADEROS_VALIDOS!$E$2:$E$68))*COS(RADIANS(PARADEROS_VALIDOS!$F$2:$F$68)-RADIANS(Z75))+SIN(RADIANS(Y75))*SIN(RADIANS(PARADEROS_VALIDOS!$E$2:$E$68)))),6371*ACOS(COS(RADIANS(Y75))*COS(RADIANS(PARADEROS_VALIDOS!$E$2:$E$68))*COS(RADIANS(PARADEROS_VALIDOS!$F$2:$F$68)-RADIANS(Z75))+SIN(RADIANS(Y75))*SIN(RADIANS(PARADEROS_VALIDOS!$E$2:$E$68))),0))</f>
        <v>Estadio Huachipa</v>
      </c>
      <c r="AD75" s="2" t="str">
        <f>IFERROR(INDEX(PARADEROS_VALIDOS!$A$2:$A$68,MATCH(AC75,PARADEROS_VALIDOS!$C$2:$C$68,0)),"")</f>
        <v>RUTA 5C</v>
      </c>
      <c r="AE75" s="33" cm="1">
        <f t="array" ref="AE75">ROUND(MIN(6371*ACOS(COS(RADIANS(Y75))*COS(RADIANS(PARADEROS_VALIDOS!$E$2:$E$68))*COS(RADIANS(PARADEROS_VALIDOS!$F$2:$F$68)-RADIANS(Z75))+SIN(RADIANS(Y75))*SIN(RADIANS(PARADEROS_VALIDOS!$E$2:$E$68)))),2)</f>
        <v>1.67</v>
      </c>
      <c r="AF75" s="2" t="str">
        <f t="shared" si="7"/>
        <v>🟡 Cerca (1-3 km)</v>
      </c>
      <c r="AG75" s="2"/>
      <c r="AH75" s="2"/>
      <c r="AI75" s="51">
        <v>-11.997563</v>
      </c>
      <c r="AJ75" s="51">
        <v>-76.900062000000005</v>
      </c>
      <c r="AK75" s="2" t="str">
        <f>IFERROR(VLOOKUP(I75,tdcargo[],2,FALSE),"DESCONOCIDO")</f>
        <v>OPERARIO</v>
      </c>
    </row>
    <row r="76" spans="1:37" x14ac:dyDescent="0.35">
      <c r="A76" s="2" t="s">
        <v>511</v>
      </c>
      <c r="B76" s="2" t="s">
        <v>512</v>
      </c>
      <c r="C76" s="2" t="s">
        <v>513</v>
      </c>
      <c r="D76" s="2" t="s">
        <v>514</v>
      </c>
      <c r="E76" s="2">
        <v>36</v>
      </c>
      <c r="F76" s="2" t="s">
        <v>28</v>
      </c>
      <c r="G76" s="2" t="s">
        <v>29</v>
      </c>
      <c r="H76" s="2">
        <v>20508947</v>
      </c>
      <c r="I76" s="2" t="s">
        <v>30</v>
      </c>
      <c r="J76" s="3">
        <v>45414</v>
      </c>
      <c r="K76" s="2" t="s">
        <v>31</v>
      </c>
      <c r="L76" s="2" t="s">
        <v>32</v>
      </c>
      <c r="M76" s="2" t="s">
        <v>33</v>
      </c>
      <c r="N76" s="2" t="s">
        <v>36</v>
      </c>
      <c r="O76" s="2" t="s">
        <v>46</v>
      </c>
      <c r="P76" s="2" t="s">
        <v>36</v>
      </c>
      <c r="Q76" s="2" t="s">
        <v>515</v>
      </c>
      <c r="R76" s="2">
        <v>15003</v>
      </c>
      <c r="S76" s="2" t="s">
        <v>37</v>
      </c>
      <c r="T76" s="2" t="s">
        <v>37</v>
      </c>
      <c r="U76" s="2" t="s">
        <v>347</v>
      </c>
      <c r="V76" s="3">
        <v>45414</v>
      </c>
      <c r="W76" s="2" t="s">
        <v>48</v>
      </c>
      <c r="X76" s="2" t="str">
        <f t="shared" si="4"/>
        <v>Nd Manuel Scorza, El Agustino, Lima, Lima, Perú</v>
      </c>
      <c r="Y76" s="22">
        <v>-12.034923900000001</v>
      </c>
      <c r="Z76" s="22">
        <v>-76.990865799999995</v>
      </c>
      <c r="AA76" s="33">
        <f t="shared" si="5"/>
        <v>10.71</v>
      </c>
      <c r="AB76" s="2" t="str">
        <f t="shared" si="6"/>
        <v>🟠 Moderada (10-20 km)</v>
      </c>
      <c r="AC76" s="2" t="str" cm="1">
        <f t="array" ref="AC76">INDEX(PARADEROS_VALIDOS!$C$2:$C$68,MATCH(MIN(6371*ACOS(COS(RADIANS(Y76))*COS(RADIANS(PARADEROS_VALIDOS!$E$2:$E$68))*COS(RADIANS(PARADEROS_VALIDOS!$F$2:$F$68)-RADIANS(Z76))+SIN(RADIANS(Y76))*SIN(RADIANS(PARADEROS_VALIDOS!$E$2:$E$68)))),6371*ACOS(COS(RADIANS(Y76))*COS(RADIANS(PARADEROS_VALIDOS!$E$2:$E$68))*COS(RADIANS(PARADEROS_VALIDOS!$F$2:$F$68)-RADIANS(Z76))+SIN(RADIANS(Y76))*SIN(RADIANS(PARADEROS_VALIDOS!$E$2:$E$68))),0))</f>
        <v>Puente Nuevo (Av. Chinchaysuyo &amp; Av. Malecón Checa)</v>
      </c>
      <c r="AD76" s="2" t="str">
        <f>IFERROR(INDEX(PARADEROS_VALIDOS!$A$2:$A$68,MATCH(AC76,PARADEROS_VALIDOS!$C$2:$C$68,0)),"")</f>
        <v>RUTA 6C</v>
      </c>
      <c r="AE76" s="33" cm="1">
        <f t="array" ref="AE76">ROUND(MIN(6371*ACOS(COS(RADIANS(Y76))*COS(RADIANS(PARADEROS_VALIDOS!$E$2:$E$68))*COS(RADIANS(PARADEROS_VALIDOS!$F$2:$F$68)-RADIANS(Z76))+SIN(RADIANS(Y76))*SIN(RADIANS(PARADEROS_VALIDOS!$E$2:$E$68)))),2)</f>
        <v>0.76</v>
      </c>
      <c r="AF76" s="2" t="str">
        <f t="shared" si="7"/>
        <v>🟢 Muy Cerca (0-1 km)</v>
      </c>
      <c r="AG76" s="2"/>
      <c r="AH76" s="2"/>
      <c r="AI76" s="51">
        <v>-11.997563</v>
      </c>
      <c r="AJ76" s="51">
        <v>-76.900062000000005</v>
      </c>
      <c r="AK76" s="2" t="str">
        <f>IFERROR(VLOOKUP(I76,tdcargo[],2,FALSE),"DESCONOCIDO")</f>
        <v>OPERARIO</v>
      </c>
    </row>
    <row r="77" spans="1:37" x14ac:dyDescent="0.35">
      <c r="A77" s="2" t="s">
        <v>516</v>
      </c>
      <c r="B77" s="2" t="s">
        <v>517</v>
      </c>
      <c r="C77" s="2" t="s">
        <v>518</v>
      </c>
      <c r="D77" s="2" t="s">
        <v>519</v>
      </c>
      <c r="E77" s="2">
        <v>43</v>
      </c>
      <c r="F77" s="2" t="s">
        <v>28</v>
      </c>
      <c r="G77" s="2" t="s">
        <v>29</v>
      </c>
      <c r="H77" s="2">
        <v>20508736</v>
      </c>
      <c r="I77" s="2" t="s">
        <v>62</v>
      </c>
      <c r="J77" s="3">
        <v>44679</v>
      </c>
      <c r="K77" s="2" t="s">
        <v>31</v>
      </c>
      <c r="L77" s="2" t="s">
        <v>72</v>
      </c>
      <c r="M77" s="2" t="s">
        <v>73</v>
      </c>
      <c r="N77" s="2" t="s">
        <v>148</v>
      </c>
      <c r="O77" s="2" t="s">
        <v>520</v>
      </c>
      <c r="P77" s="2" t="s">
        <v>36</v>
      </c>
      <c r="Q77" s="2" t="s">
        <v>521</v>
      </c>
      <c r="R77" s="2">
        <v>15003</v>
      </c>
      <c r="S77" s="2" t="s">
        <v>37</v>
      </c>
      <c r="T77" s="2" t="s">
        <v>37</v>
      </c>
      <c r="U77" s="2" t="s">
        <v>347</v>
      </c>
      <c r="V77" s="3">
        <v>44679</v>
      </c>
      <c r="W77" s="2" t="s">
        <v>48</v>
      </c>
      <c r="X77" s="2" t="str">
        <f t="shared" si="4"/>
        <v>Pasaje Los Vencedores Santoyo, El Agustino, Lima, Lima, Perú</v>
      </c>
      <c r="Y77" s="22">
        <v>-12.049155499999999</v>
      </c>
      <c r="Z77" s="22">
        <v>-77.005078499999996</v>
      </c>
      <c r="AA77" s="33">
        <f t="shared" si="5"/>
        <v>12.78</v>
      </c>
      <c r="AB77" s="2" t="str">
        <f t="shared" si="6"/>
        <v>🟠 Moderada (10-20 km)</v>
      </c>
      <c r="AC77" s="2" t="str" cm="1">
        <f t="array" ref="AC77">INDEX(PARADEROS_VALIDOS!$C$2:$C$68,MATCH(MIN(6371*ACOS(COS(RADIANS(Y77))*COS(RADIANS(PARADEROS_VALIDOS!$E$2:$E$68))*COS(RADIANS(PARADEROS_VALIDOS!$F$2:$F$68)-RADIANS(Z77))+SIN(RADIANS(Y77))*SIN(RADIANS(PARADEROS_VALIDOS!$E$2:$E$68)))),6371*ACOS(COS(RADIANS(Y77))*COS(RADIANS(PARADEROS_VALIDOS!$E$2:$E$68))*COS(RADIANS(PARADEROS_VALIDOS!$F$2:$F$68)-RADIANS(Z77))+SIN(RADIANS(Y77))*SIN(RADIANS(PARADEROS_VALIDOS!$E$2:$E$68))),0))</f>
        <v>Paradero Villa Hermosa</v>
      </c>
      <c r="AD77" s="2" t="str">
        <f>IFERROR(INDEX(PARADEROS_VALIDOS!$A$2:$A$68,MATCH(AC77,PARADEROS_VALIDOS!$C$2:$C$68,0)),"")</f>
        <v>RUTA 3</v>
      </c>
      <c r="AE77" s="33" cm="1">
        <f t="array" ref="AE77">ROUND(MIN(6371*ACOS(COS(RADIANS(Y77))*COS(RADIANS(PARADEROS_VALIDOS!$E$2:$E$68))*COS(RADIANS(PARADEROS_VALIDOS!$F$2:$F$68)-RADIANS(Z77))+SIN(RADIANS(Y77))*SIN(RADIANS(PARADEROS_VALIDOS!$E$2:$E$68)))),2)</f>
        <v>2.11</v>
      </c>
      <c r="AF77" s="2" t="str">
        <f t="shared" si="7"/>
        <v>🟡 Cerca (1-3 km)</v>
      </c>
      <c r="AG77" s="2"/>
      <c r="AH77" s="2"/>
      <c r="AI77" s="51">
        <v>-11.997563</v>
      </c>
      <c r="AJ77" s="51">
        <v>-76.900062000000005</v>
      </c>
      <c r="AK77" s="2" t="str">
        <f>IFERROR(VLOOKUP(I77,tdcargo[],2,FALSE),"DESCONOCIDO")</f>
        <v>OPERARIO</v>
      </c>
    </row>
    <row r="78" spans="1:37" x14ac:dyDescent="0.35">
      <c r="A78" s="2" t="s">
        <v>522</v>
      </c>
      <c r="B78" s="2" t="s">
        <v>523</v>
      </c>
      <c r="C78" s="2" t="s">
        <v>524</v>
      </c>
      <c r="D78" s="2" t="s">
        <v>525</v>
      </c>
      <c r="E78" s="2">
        <v>35</v>
      </c>
      <c r="F78" s="2" t="s">
        <v>28</v>
      </c>
      <c r="G78" s="2" t="s">
        <v>29</v>
      </c>
      <c r="H78" s="2">
        <v>20510605</v>
      </c>
      <c r="I78" s="2" t="s">
        <v>44</v>
      </c>
      <c r="J78" s="3">
        <v>43122</v>
      </c>
      <c r="K78" s="2" t="s">
        <v>31</v>
      </c>
      <c r="L78" s="2" t="s">
        <v>32</v>
      </c>
      <c r="M78" s="2" t="s">
        <v>33</v>
      </c>
      <c r="N78" s="2" t="s">
        <v>34</v>
      </c>
      <c r="O78" s="2" t="s">
        <v>526</v>
      </c>
      <c r="P78" s="2" t="s">
        <v>88</v>
      </c>
      <c r="Q78" s="2" t="s">
        <v>527</v>
      </c>
      <c r="R78" s="2">
        <v>15004</v>
      </c>
      <c r="S78" s="2" t="s">
        <v>37</v>
      </c>
      <c r="T78" s="2" t="s">
        <v>37</v>
      </c>
      <c r="U78" s="2" t="s">
        <v>57</v>
      </c>
      <c r="V78" s="3">
        <v>43122</v>
      </c>
      <c r="W78" s="2" t="s">
        <v>48</v>
      </c>
      <c r="X78" s="2" t="str">
        <f t="shared" si="4"/>
        <v>Avenida Jaime Zubieta, A.H. Asentamiento Humano Horacio Zevallos Games, Ate, Lima, Lima, Perú</v>
      </c>
      <c r="Y78" s="22">
        <v>-12.0124341</v>
      </c>
      <c r="Z78" s="22">
        <v>-76.839440499999995</v>
      </c>
      <c r="AA78" s="33">
        <f t="shared" si="5"/>
        <v>6.8</v>
      </c>
      <c r="AB78" s="2" t="str">
        <f t="shared" si="6"/>
        <v>🟡 Cerca (5-10 km)</v>
      </c>
      <c r="AC78" s="2" t="str" cm="1">
        <f t="array" ref="AC78">INDEX(PARADEROS_VALIDOS!$C$2:$C$68,MATCH(MIN(6371*ACOS(COS(RADIANS(Y78))*COS(RADIANS(PARADEROS_VALIDOS!$E$2:$E$68))*COS(RADIANS(PARADEROS_VALIDOS!$F$2:$F$68)-RADIANS(Z78))+SIN(RADIANS(Y78))*SIN(RADIANS(PARADEROS_VALIDOS!$E$2:$E$68)))),6371*ACOS(COS(RADIANS(Y78))*COS(RADIANS(PARADEROS_VALIDOS!$E$2:$E$68))*COS(RADIANS(PARADEROS_VALIDOS!$F$2:$F$68)-RADIANS(Z78))+SIN(RADIANS(Y78))*SIN(RADIANS(PARADEROS_VALIDOS!$E$2:$E$68))),0))</f>
        <v>Entrada Horacio</v>
      </c>
      <c r="AD78" s="2" t="str">
        <f>IFERROR(INDEX(PARADEROS_VALIDOS!$A$2:$A$68,MATCH(AC78,PARADEROS_VALIDOS!$C$2:$C$68,0)),"")</f>
        <v>RUTA 5B</v>
      </c>
      <c r="AE78" s="33" cm="1">
        <f t="array" ref="AE78">ROUND(MIN(6371*ACOS(COS(RADIANS(Y78))*COS(RADIANS(PARADEROS_VALIDOS!$E$2:$E$68))*COS(RADIANS(PARADEROS_VALIDOS!$F$2:$F$68)-RADIANS(Z78))+SIN(RADIANS(Y78))*SIN(RADIANS(PARADEROS_VALIDOS!$E$2:$E$68)))),2)</f>
        <v>0.53</v>
      </c>
      <c r="AF78" s="2" t="str">
        <f t="shared" si="7"/>
        <v>🟢 Muy Cerca (0-1 km)</v>
      </c>
      <c r="AG78" s="2"/>
      <c r="AH78" s="2"/>
      <c r="AI78" s="51">
        <v>-11.997563</v>
      </c>
      <c r="AJ78" s="51">
        <v>-76.900062000000005</v>
      </c>
      <c r="AK78" s="2" t="str">
        <f>IFERROR(VLOOKUP(I78,tdcargo[],2,FALSE),"DESCONOCIDO")</f>
        <v>OPERARIO</v>
      </c>
    </row>
    <row r="79" spans="1:37" x14ac:dyDescent="0.35">
      <c r="A79" s="2" t="s">
        <v>528</v>
      </c>
      <c r="B79" s="2" t="s">
        <v>529</v>
      </c>
      <c r="C79" s="2" t="s">
        <v>530</v>
      </c>
      <c r="D79" s="2" t="s">
        <v>531</v>
      </c>
      <c r="E79" s="2">
        <v>18</v>
      </c>
      <c r="F79" s="2" t="s">
        <v>28</v>
      </c>
      <c r="G79" s="2" t="s">
        <v>29</v>
      </c>
      <c r="H79" s="2">
        <v>20512287</v>
      </c>
      <c r="I79" s="2" t="s">
        <v>30</v>
      </c>
      <c r="J79" s="3">
        <v>46097</v>
      </c>
      <c r="K79" s="2" t="s">
        <v>31</v>
      </c>
      <c r="L79" s="2" t="s">
        <v>108</v>
      </c>
      <c r="M79" s="2" t="s">
        <v>109</v>
      </c>
      <c r="N79" s="2" t="s">
        <v>34</v>
      </c>
      <c r="O79" s="2" t="s">
        <v>532</v>
      </c>
      <c r="P79" s="2" t="s">
        <v>36</v>
      </c>
      <c r="Q79" s="2" t="s">
        <v>533</v>
      </c>
      <c r="R79" s="2">
        <v>15457</v>
      </c>
      <c r="S79" s="2" t="s">
        <v>37</v>
      </c>
      <c r="T79" s="2" t="s">
        <v>37</v>
      </c>
      <c r="U79" s="2" t="s">
        <v>76</v>
      </c>
      <c r="V79" s="3">
        <v>46097</v>
      </c>
      <c r="W79" s="2" t="s">
        <v>135</v>
      </c>
      <c r="X79" s="2" t="str">
        <f t="shared" si="4"/>
        <v>Avenida Avenida La Union SANTA CRUZ, Lurigancho, Lima, Lima, Perú</v>
      </c>
      <c r="Y79" s="22">
        <v>-11.9801903</v>
      </c>
      <c r="Z79" s="22">
        <v>-76.910956600000006</v>
      </c>
      <c r="AA79" s="33">
        <f t="shared" si="5"/>
        <v>2.27</v>
      </c>
      <c r="AB79" s="2" t="str">
        <f t="shared" si="6"/>
        <v>🟢 Muy Cerca (0-5 km)</v>
      </c>
      <c r="AC79" s="2" t="str" cm="1">
        <f t="array" ref="AC79">INDEX(PARADEROS_VALIDOS!$C$2:$C$68,MATCH(MIN(6371*ACOS(COS(RADIANS(Y79))*COS(RADIANS(PARADEROS_VALIDOS!$E$2:$E$68))*COS(RADIANS(PARADEROS_VALIDOS!$F$2:$F$68)-RADIANS(Z79))+SIN(RADIANS(Y79))*SIN(RADIANS(PARADEROS_VALIDOS!$E$2:$E$68)))),6371*ACOS(COS(RADIANS(Y79))*COS(RADIANS(PARADEROS_VALIDOS!$E$2:$E$68))*COS(RADIANS(PARADEROS_VALIDOS!$F$2:$F$68)-RADIANS(Z79))+SIN(RADIANS(Y79))*SIN(RADIANS(PARADEROS_VALIDOS!$E$2:$E$68))),0))</f>
        <v>Paradero Arco San Antonio</v>
      </c>
      <c r="AD79" s="2" t="str">
        <f>IFERROR(INDEX(PARADEROS_VALIDOS!$A$2:$A$68,MATCH(AC79,PARADEROS_VALIDOS!$C$2:$C$68,0)),"")</f>
        <v>RUTA 2</v>
      </c>
      <c r="AE79" s="33" cm="1">
        <f t="array" ref="AE79">ROUND(MIN(6371*ACOS(COS(RADIANS(Y79))*COS(RADIANS(PARADEROS_VALIDOS!$E$2:$E$68))*COS(RADIANS(PARADEROS_VALIDOS!$F$2:$F$68)-RADIANS(Z79))+SIN(RADIANS(Y79))*SIN(RADIANS(PARADEROS_VALIDOS!$E$2:$E$68)))),2)</f>
        <v>1.71</v>
      </c>
      <c r="AF79" s="2" t="str">
        <f t="shared" si="7"/>
        <v>🟡 Cerca (1-3 km)</v>
      </c>
      <c r="AG79" s="2"/>
      <c r="AH79" s="2"/>
      <c r="AI79" s="51">
        <v>-11.997563</v>
      </c>
      <c r="AJ79" s="51">
        <v>-76.900062000000005</v>
      </c>
      <c r="AK79" s="2" t="str">
        <f>IFERROR(VLOOKUP(I79,tdcargo[],2,FALSE),"DESCONOCIDO")</f>
        <v>OPERARIO</v>
      </c>
    </row>
    <row r="80" spans="1:37" x14ac:dyDescent="0.35">
      <c r="A80" s="2" t="s">
        <v>534</v>
      </c>
      <c r="B80" s="2" t="s">
        <v>535</v>
      </c>
      <c r="C80" s="2" t="s">
        <v>536</v>
      </c>
      <c r="D80" s="2" t="s">
        <v>241</v>
      </c>
      <c r="E80" s="2">
        <v>43</v>
      </c>
      <c r="F80" s="2" t="s">
        <v>28</v>
      </c>
      <c r="G80" s="2" t="s">
        <v>29</v>
      </c>
      <c r="H80" s="2">
        <v>20509015</v>
      </c>
      <c r="I80" s="2" t="s">
        <v>372</v>
      </c>
      <c r="J80" s="3">
        <v>45068</v>
      </c>
      <c r="K80" s="2" t="s">
        <v>31</v>
      </c>
      <c r="L80" s="2" t="s">
        <v>373</v>
      </c>
      <c r="M80" s="2" t="s">
        <v>374</v>
      </c>
      <c r="N80" s="2" t="s">
        <v>82</v>
      </c>
      <c r="O80" s="2" t="s">
        <v>537</v>
      </c>
      <c r="P80" s="2" t="s">
        <v>66</v>
      </c>
      <c r="Q80" s="2" t="s">
        <v>538</v>
      </c>
      <c r="R80" s="2">
        <v>15004</v>
      </c>
      <c r="S80" s="2" t="s">
        <v>37</v>
      </c>
      <c r="T80" s="2" t="s">
        <v>37</v>
      </c>
      <c r="U80" s="2" t="s">
        <v>57</v>
      </c>
      <c r="V80" s="3">
        <v>45068</v>
      </c>
      <c r="W80" s="2" t="s">
        <v>48</v>
      </c>
      <c r="X80" s="2" t="str">
        <f t="shared" si="4"/>
        <v>Calle Los Olivos De Ate, U.V. Unidad Vecinal Los Olivos Tercera Etapa, Ate, Lima, Lima, Perú</v>
      </c>
      <c r="Y80" s="22">
        <v>-11.9766634</v>
      </c>
      <c r="Z80" s="22">
        <v>-77.084326599999997</v>
      </c>
      <c r="AA80" s="33">
        <f t="shared" si="5"/>
        <v>20.18</v>
      </c>
      <c r="AB80" s="2" t="str">
        <f t="shared" si="6"/>
        <v>🔴 Lejos (&gt;20 km)</v>
      </c>
      <c r="AC80" s="2" t="str" cm="1">
        <f t="array" ref="AC80">INDEX(PARADEROS_VALIDOS!$C$2:$C$68,MATCH(MIN(6371*ACOS(COS(RADIANS(Y80))*COS(RADIANS(PARADEROS_VALIDOS!$E$2:$E$68))*COS(RADIANS(PARADEROS_VALIDOS!$F$2:$F$68)-RADIANS(Z80))+SIN(RADIANS(Y80))*SIN(RADIANS(PARADEROS_VALIDOS!$E$2:$E$68)))),6371*ACOS(COS(RADIANS(Y80))*COS(RADIANS(PARADEROS_VALIDOS!$E$2:$E$68))*COS(RADIANS(PARADEROS_VALIDOS!$F$2:$F$68)-RADIANS(Z80))+SIN(RADIANS(Y80))*SIN(RADIANS(PARADEROS_VALIDOS!$E$2:$E$68))),0))</f>
        <v>Paradero 17 de Av. Próceres</v>
      </c>
      <c r="AD80" s="2" t="str">
        <f>IFERROR(INDEX(PARADEROS_VALIDOS!$A$2:$A$68,MATCH(AC80,PARADEROS_VALIDOS!$C$2:$C$68,0)),"")</f>
        <v>RUTA 6B</v>
      </c>
      <c r="AE80" s="33" cm="1">
        <f t="array" ref="AE80">ROUND(MIN(6371*ACOS(COS(RADIANS(Y80))*COS(RADIANS(PARADEROS_VALIDOS!$E$2:$E$68))*COS(RADIANS(PARADEROS_VALIDOS!$F$2:$F$68)-RADIANS(Z80))+SIN(RADIANS(Y80))*SIN(RADIANS(PARADEROS_VALIDOS!$E$2:$E$68)))),2)</f>
        <v>0.41</v>
      </c>
      <c r="AF80" s="2" t="str">
        <f t="shared" si="7"/>
        <v>🟢 Muy Cerca (0-1 km)</v>
      </c>
      <c r="AG80" s="2"/>
      <c r="AH80" s="2"/>
      <c r="AI80" s="51">
        <v>-11.997563</v>
      </c>
      <c r="AJ80" s="51">
        <v>-76.900062000000005</v>
      </c>
      <c r="AK80" s="2" t="str">
        <f>IFERROR(VLOOKUP(I80,tdcargo[],2,FALSE),"DESCONOCIDO")</f>
        <v>OPERARIO</v>
      </c>
    </row>
    <row r="81" spans="1:37" x14ac:dyDescent="0.35">
      <c r="A81" s="2" t="s">
        <v>539</v>
      </c>
      <c r="B81" s="2" t="s">
        <v>540</v>
      </c>
      <c r="C81" s="2" t="s">
        <v>343</v>
      </c>
      <c r="D81" s="2" t="s">
        <v>541</v>
      </c>
      <c r="E81" s="2">
        <v>30</v>
      </c>
      <c r="F81" s="2" t="s">
        <v>28</v>
      </c>
      <c r="G81" s="2" t="s">
        <v>29</v>
      </c>
      <c r="H81" s="2">
        <v>20508849</v>
      </c>
      <c r="I81" s="2" t="s">
        <v>62</v>
      </c>
      <c r="J81" s="3">
        <v>43745</v>
      </c>
      <c r="K81" s="2" t="s">
        <v>31</v>
      </c>
      <c r="L81" s="2" t="s">
        <v>164</v>
      </c>
      <c r="M81" s="2" t="s">
        <v>165</v>
      </c>
      <c r="N81" s="2" t="s">
        <v>36</v>
      </c>
      <c r="O81" s="2" t="s">
        <v>542</v>
      </c>
      <c r="P81" s="2" t="s">
        <v>186</v>
      </c>
      <c r="Q81" s="2" t="s">
        <v>509</v>
      </c>
      <c r="R81" s="2">
        <v>15457</v>
      </c>
      <c r="S81" s="2" t="s">
        <v>37</v>
      </c>
      <c r="T81" s="2" t="s">
        <v>37</v>
      </c>
      <c r="U81" s="2" t="s">
        <v>76</v>
      </c>
      <c r="V81" s="3">
        <v>43745</v>
      </c>
      <c r="W81" s="2" t="s">
        <v>48</v>
      </c>
      <c r="X81" s="2" t="str">
        <f t="shared" si="4"/>
        <v>Urbanizacion, Urb. Urbanización Las Brisas De Huachipa, Lurigancho, Lima, Lima, Perú</v>
      </c>
      <c r="Y81" s="22">
        <v>-11.999314999999999</v>
      </c>
      <c r="Z81" s="22">
        <v>-76.919015999999999</v>
      </c>
      <c r="AA81" s="33">
        <f t="shared" si="5"/>
        <v>2.0699999999999998</v>
      </c>
      <c r="AB81" s="2" t="str">
        <f t="shared" si="6"/>
        <v>🟢 Muy Cerca (0-5 km)</v>
      </c>
      <c r="AC81" s="2" t="str" cm="1">
        <f t="array" ref="AC81">INDEX(PARADEROS_VALIDOS!$C$2:$C$68,MATCH(MIN(6371*ACOS(COS(RADIANS(Y81))*COS(RADIANS(PARADEROS_VALIDOS!$E$2:$E$68))*COS(RADIANS(PARADEROS_VALIDOS!$F$2:$F$68)-RADIANS(Z81))+SIN(RADIANS(Y81))*SIN(RADIANS(PARADEROS_VALIDOS!$E$2:$E$68)))),6371*ACOS(COS(RADIANS(Y81))*COS(RADIANS(PARADEROS_VALIDOS!$E$2:$E$68))*COS(RADIANS(PARADEROS_VALIDOS!$F$2:$F$68)-RADIANS(Z81))+SIN(RADIANS(Y81))*SIN(RADIANS(PARADEROS_VALIDOS!$E$2:$E$68))),0))</f>
        <v>Estadio Huachipa</v>
      </c>
      <c r="AD81" s="2" t="str">
        <f>IFERROR(INDEX(PARADEROS_VALIDOS!$A$2:$A$68,MATCH(AC81,PARADEROS_VALIDOS!$C$2:$C$68,0)),"")</f>
        <v>RUTA 5C</v>
      </c>
      <c r="AE81" s="33" cm="1">
        <f t="array" ref="AE81">ROUND(MIN(6371*ACOS(COS(RADIANS(Y81))*COS(RADIANS(PARADEROS_VALIDOS!$E$2:$E$68))*COS(RADIANS(PARADEROS_VALIDOS!$F$2:$F$68)-RADIANS(Z81))+SIN(RADIANS(Y81))*SIN(RADIANS(PARADEROS_VALIDOS!$E$2:$E$68)))),2)</f>
        <v>1.67</v>
      </c>
      <c r="AF81" s="2" t="str">
        <f t="shared" si="7"/>
        <v>🟡 Cerca (1-3 km)</v>
      </c>
      <c r="AG81" s="2"/>
      <c r="AH81" s="2"/>
      <c r="AI81" s="51">
        <v>-11.997563</v>
      </c>
      <c r="AJ81" s="51">
        <v>-76.900062000000005</v>
      </c>
      <c r="AK81" s="2" t="str">
        <f>IFERROR(VLOOKUP(I81,tdcargo[],2,FALSE),"DESCONOCIDO")</f>
        <v>OPERARIO</v>
      </c>
    </row>
    <row r="82" spans="1:37" x14ac:dyDescent="0.35">
      <c r="A82" s="2" t="s">
        <v>543</v>
      </c>
      <c r="B82" s="2" t="s">
        <v>544</v>
      </c>
      <c r="C82" s="2" t="s">
        <v>206</v>
      </c>
      <c r="D82" s="2" t="s">
        <v>545</v>
      </c>
      <c r="E82" s="2">
        <v>36</v>
      </c>
      <c r="F82" s="2" t="s">
        <v>28</v>
      </c>
      <c r="G82" s="2" t="s">
        <v>29</v>
      </c>
      <c r="H82" s="2">
        <v>20508817</v>
      </c>
      <c r="I82" s="2" t="s">
        <v>30</v>
      </c>
      <c r="J82" s="3">
        <v>45555</v>
      </c>
      <c r="K82" s="2" t="s">
        <v>31</v>
      </c>
      <c r="L82" s="2" t="s">
        <v>108</v>
      </c>
      <c r="M82" s="2" t="s">
        <v>109</v>
      </c>
      <c r="N82" s="2" t="s">
        <v>36</v>
      </c>
      <c r="O82" s="2" t="s">
        <v>546</v>
      </c>
      <c r="P82" s="2" t="s">
        <v>36</v>
      </c>
      <c r="Q82" s="2" t="s">
        <v>74</v>
      </c>
      <c r="R82" s="2">
        <v>15457</v>
      </c>
      <c r="S82" s="2" t="s">
        <v>37</v>
      </c>
      <c r="T82" s="2" t="s">
        <v>37</v>
      </c>
      <c r="U82" s="2" t="s">
        <v>76</v>
      </c>
      <c r="V82" s="3">
        <v>45555</v>
      </c>
      <c r="W82" s="2" t="s">
        <v>48</v>
      </c>
      <c r="X82" s="2" t="str">
        <f t="shared" si="4"/>
        <v>Casa Huerta La Campiã‘A Mz F Lote 26 Sector A La Campiã‘A, Lurigancho, Lima, Lima, Perú</v>
      </c>
      <c r="Y82" s="22">
        <v>-11.857298399999999</v>
      </c>
      <c r="Z82" s="22">
        <v>-77.128851699999998</v>
      </c>
      <c r="AA82" s="33">
        <f t="shared" si="5"/>
        <v>29.37</v>
      </c>
      <c r="AB82" s="2" t="str">
        <f t="shared" si="6"/>
        <v>🔴 Lejos (&gt;20 km)</v>
      </c>
      <c r="AC82" s="2" t="str" cm="1">
        <f t="array" ref="AC82">INDEX(PARADEROS_VALIDOS!$C$2:$C$68,MATCH(MIN(6371*ACOS(COS(RADIANS(Y82))*COS(RADIANS(PARADEROS_VALIDOS!$E$2:$E$68))*COS(RADIANS(PARADEROS_VALIDOS!$F$2:$F$68)-RADIANS(Z82))+SIN(RADIANS(Y82))*SIN(RADIANS(PARADEROS_VALIDOS!$E$2:$E$68)))),6371*ACOS(COS(RADIANS(Y82))*COS(RADIANS(PARADEROS_VALIDOS!$E$2:$E$68))*COS(RADIANS(PARADEROS_VALIDOS!$F$2:$F$68)-RADIANS(Z82))+SIN(RADIANS(Y82))*SIN(RADIANS(PARADEROS_VALIDOS!$E$2:$E$68))),0))</f>
        <v>Av. Metropolitana con Cultura</v>
      </c>
      <c r="AD82" s="2" t="str">
        <f>IFERROR(INDEX(PARADEROS_VALIDOS!$A$2:$A$68,MATCH(AC82,PARADEROS_VALIDOS!$C$2:$C$68,0)),"")</f>
        <v>RUTA 4A</v>
      </c>
      <c r="AE82" s="33" cm="1">
        <f t="array" ref="AE82">ROUND(MIN(6371*ACOS(COS(RADIANS(Y82))*COS(RADIANS(PARADEROS_VALIDOS!$E$2:$E$68))*COS(RADIANS(PARADEROS_VALIDOS!$F$2:$F$68)-RADIANS(Z82))+SIN(RADIANS(Y82))*SIN(RADIANS(PARADEROS_VALIDOS!$E$2:$E$68)))),2)</f>
        <v>12.72</v>
      </c>
      <c r="AF82" s="2" t="str">
        <f t="shared" si="7"/>
        <v>🔴 Lejos (&gt;5 km)</v>
      </c>
      <c r="AG82" s="2"/>
      <c r="AH82" s="2"/>
      <c r="AI82" s="51">
        <v>-11.997563</v>
      </c>
      <c r="AJ82" s="51">
        <v>-76.900062000000005</v>
      </c>
      <c r="AK82" s="2" t="str">
        <f>IFERROR(VLOOKUP(I82,tdcargo[],2,FALSE),"DESCONOCIDO")</f>
        <v>OPERARIO</v>
      </c>
    </row>
    <row r="83" spans="1:37" x14ac:dyDescent="0.35">
      <c r="A83" s="2" t="s">
        <v>547</v>
      </c>
      <c r="B83" s="2" t="s">
        <v>548</v>
      </c>
      <c r="C83" s="2" t="s">
        <v>549</v>
      </c>
      <c r="D83" s="2" t="s">
        <v>550</v>
      </c>
      <c r="E83" s="2">
        <v>30</v>
      </c>
      <c r="F83" s="2" t="s">
        <v>28</v>
      </c>
      <c r="G83" s="2" t="s">
        <v>29</v>
      </c>
      <c r="H83" s="2">
        <v>20508852</v>
      </c>
      <c r="I83" s="2" t="s">
        <v>30</v>
      </c>
      <c r="J83" s="3">
        <v>45839</v>
      </c>
      <c r="K83" s="2" t="s">
        <v>31</v>
      </c>
      <c r="L83" s="2" t="s">
        <v>108</v>
      </c>
      <c r="M83" s="2" t="s">
        <v>109</v>
      </c>
      <c r="N83" s="2" t="s">
        <v>34</v>
      </c>
      <c r="O83" s="2" t="s">
        <v>551</v>
      </c>
      <c r="P83" s="2" t="s">
        <v>36</v>
      </c>
      <c r="Q83" s="2" t="s">
        <v>552</v>
      </c>
      <c r="R83" s="2">
        <v>15457</v>
      </c>
      <c r="S83" s="2" t="s">
        <v>37</v>
      </c>
      <c r="T83" s="2" t="s">
        <v>37</v>
      </c>
      <c r="U83" s="2" t="s">
        <v>76</v>
      </c>
      <c r="V83" s="3">
        <v>45839</v>
      </c>
      <c r="W83" s="2" t="s">
        <v>39</v>
      </c>
      <c r="X83" s="2" t="str">
        <f t="shared" si="4"/>
        <v>Avenida Las Viñas San Antonio De Huarochiri, Lurigancho, Lima, Lima, Perú</v>
      </c>
      <c r="Y83" s="22">
        <v>-12.009696699999999</v>
      </c>
      <c r="Z83" s="22">
        <v>-76.905361299999996</v>
      </c>
      <c r="AA83" s="33">
        <f t="shared" si="5"/>
        <v>1.47</v>
      </c>
      <c r="AB83" s="2" t="str">
        <f t="shared" si="6"/>
        <v>🟢 Muy Cerca (0-5 km)</v>
      </c>
      <c r="AC83" s="2" t="str" cm="1">
        <f t="array" ref="AC83">INDEX(PARADEROS_VALIDOS!$C$2:$C$68,MATCH(MIN(6371*ACOS(COS(RADIANS(Y83))*COS(RADIANS(PARADEROS_VALIDOS!$E$2:$E$68))*COS(RADIANS(PARADEROS_VALIDOS!$F$2:$F$68)-RADIANS(Z83))+SIN(RADIANS(Y83))*SIN(RADIANS(PARADEROS_VALIDOS!$E$2:$E$68)))),6371*ACOS(COS(RADIANS(Y83))*COS(RADIANS(PARADEROS_VALIDOS!$E$2:$E$68))*COS(RADIANS(PARADEROS_VALIDOS!$F$2:$F$68)-RADIANS(Z83))+SIN(RADIANS(Y83))*SIN(RADIANS(PARADEROS_VALIDOS!$E$2:$E$68))),0))</f>
        <v>Tottus Huachipa</v>
      </c>
      <c r="AD83" s="2" t="str">
        <f>IFERROR(INDEX(PARADEROS_VALIDOS!$A$2:$A$68,MATCH(AC83,PARADEROS_VALIDOS!$C$2:$C$68,0)),"")</f>
        <v>RUTA 1</v>
      </c>
      <c r="AE83" s="33" cm="1">
        <f t="array" ref="AE83">ROUND(MIN(6371*ACOS(COS(RADIANS(Y83))*COS(RADIANS(PARADEROS_VALIDOS!$E$2:$E$68))*COS(RADIANS(PARADEROS_VALIDOS!$F$2:$F$68)-RADIANS(Z83))+SIN(RADIANS(Y83))*SIN(RADIANS(PARADEROS_VALIDOS!$E$2:$E$68)))),2)</f>
        <v>1.18</v>
      </c>
      <c r="AF83" s="2" t="str">
        <f t="shared" si="7"/>
        <v>🟡 Cerca (1-3 km)</v>
      </c>
      <c r="AG83" s="2"/>
      <c r="AH83" s="2"/>
      <c r="AI83" s="51">
        <v>-11.997563</v>
      </c>
      <c r="AJ83" s="51">
        <v>-76.900062000000005</v>
      </c>
      <c r="AK83" s="2" t="str">
        <f>IFERROR(VLOOKUP(I83,tdcargo[],2,FALSE),"DESCONOCIDO")</f>
        <v>OPERARIO</v>
      </c>
    </row>
    <row r="84" spans="1:37" x14ac:dyDescent="0.35">
      <c r="A84" s="2" t="s">
        <v>553</v>
      </c>
      <c r="B84" s="2" t="s">
        <v>554</v>
      </c>
      <c r="C84" s="2" t="s">
        <v>555</v>
      </c>
      <c r="D84" s="2" t="s">
        <v>556</v>
      </c>
      <c r="E84" s="2">
        <v>45</v>
      </c>
      <c r="F84" s="2" t="s">
        <v>28</v>
      </c>
      <c r="G84" s="2" t="s">
        <v>29</v>
      </c>
      <c r="H84" s="2">
        <v>20515626</v>
      </c>
      <c r="I84" s="2" t="s">
        <v>62</v>
      </c>
      <c r="J84" s="3">
        <v>43510</v>
      </c>
      <c r="K84" s="2" t="s">
        <v>31</v>
      </c>
      <c r="L84" s="2" t="s">
        <v>32</v>
      </c>
      <c r="M84" s="2" t="s">
        <v>33</v>
      </c>
      <c r="N84" s="2" t="s">
        <v>34</v>
      </c>
      <c r="O84" s="2" t="s">
        <v>557</v>
      </c>
      <c r="P84" s="2" t="s">
        <v>36</v>
      </c>
      <c r="Q84" s="2" t="s">
        <v>46</v>
      </c>
      <c r="R84" s="2">
        <v>15004</v>
      </c>
      <c r="S84" s="2" t="s">
        <v>37</v>
      </c>
      <c r="T84" s="2" t="s">
        <v>37</v>
      </c>
      <c r="U84" s="2" t="s">
        <v>57</v>
      </c>
      <c r="V84" s="3">
        <v>43510</v>
      </c>
      <c r="W84" s="2" t="s">
        <v>48</v>
      </c>
      <c r="X84" s="2" t="str">
        <f t="shared" si="4"/>
        <v>Avenida Av. Alfonzo Ugarte Asoc Paraiso Mz A Lt 4, Ate, Lima, Lima, Perú</v>
      </c>
      <c r="Y84" s="22">
        <v>-12.0107456</v>
      </c>
      <c r="Z84" s="22">
        <v>-76.853292699999997</v>
      </c>
      <c r="AA84" s="33">
        <f t="shared" si="5"/>
        <v>5.29</v>
      </c>
      <c r="AB84" s="2" t="str">
        <f t="shared" si="6"/>
        <v>🟡 Cerca (5-10 km)</v>
      </c>
      <c r="AC84" s="2" t="str" cm="1">
        <f t="array" ref="AC84">INDEX(PARADEROS_VALIDOS!$C$2:$C$68,MATCH(MIN(6371*ACOS(COS(RADIANS(Y84))*COS(RADIANS(PARADEROS_VALIDOS!$E$2:$E$68))*COS(RADIANS(PARADEROS_VALIDOS!$F$2:$F$68)-RADIANS(Z84))+SIN(RADIANS(Y84))*SIN(RADIANS(PARADEROS_VALIDOS!$E$2:$E$68)))),6371*ACOS(COS(RADIANS(Y84))*COS(RADIANS(PARADEROS_VALIDOS!$E$2:$E$68))*COS(RADIANS(PARADEROS_VALIDOS!$F$2:$F$68)-RADIANS(Z84))+SIN(RADIANS(Y84))*SIN(RADIANS(PARADEROS_VALIDOS!$E$2:$E$68))),0))</f>
        <v>Paradero Gloria Grande</v>
      </c>
      <c r="AD84" s="2" t="str">
        <f>IFERROR(INDEX(PARADEROS_VALIDOS!$A$2:$A$68,MATCH(AC84,PARADEROS_VALIDOS!$C$2:$C$68,0)),"")</f>
        <v>RUTA 5B</v>
      </c>
      <c r="AE84" s="33" cm="1">
        <f t="array" ref="AE84">ROUND(MIN(6371*ACOS(COS(RADIANS(Y84))*COS(RADIANS(PARADEROS_VALIDOS!$E$2:$E$68))*COS(RADIANS(PARADEROS_VALIDOS!$F$2:$F$68)-RADIANS(Z84))+SIN(RADIANS(Y84))*SIN(RADIANS(PARADEROS_VALIDOS!$E$2:$E$68)))),2)</f>
        <v>0.41</v>
      </c>
      <c r="AF84" s="2" t="str">
        <f t="shared" si="7"/>
        <v>🟢 Muy Cerca (0-1 km)</v>
      </c>
      <c r="AG84" s="2"/>
      <c r="AH84" s="2"/>
      <c r="AI84" s="51">
        <v>-11.997563</v>
      </c>
      <c r="AJ84" s="51">
        <v>-76.900062000000005</v>
      </c>
      <c r="AK84" s="2" t="str">
        <f>IFERROR(VLOOKUP(I84,tdcargo[],2,FALSE),"DESCONOCIDO")</f>
        <v>OPERARIO</v>
      </c>
    </row>
    <row r="85" spans="1:37" x14ac:dyDescent="0.35">
      <c r="A85" s="2" t="s">
        <v>558</v>
      </c>
      <c r="B85" s="2" t="s">
        <v>559</v>
      </c>
      <c r="C85" s="2" t="s">
        <v>560</v>
      </c>
      <c r="D85" s="2" t="s">
        <v>561</v>
      </c>
      <c r="E85" s="2">
        <v>39</v>
      </c>
      <c r="F85" s="2" t="s">
        <v>28</v>
      </c>
      <c r="G85" s="2" t="s">
        <v>29</v>
      </c>
      <c r="H85" s="2">
        <v>20515639</v>
      </c>
      <c r="I85" s="2" t="s">
        <v>44</v>
      </c>
      <c r="J85" s="3">
        <v>43731</v>
      </c>
      <c r="K85" s="2" t="s">
        <v>31</v>
      </c>
      <c r="L85" s="2" t="s">
        <v>164</v>
      </c>
      <c r="M85" s="2" t="s">
        <v>165</v>
      </c>
      <c r="N85" s="2" t="s">
        <v>36</v>
      </c>
      <c r="O85" s="2" t="s">
        <v>562</v>
      </c>
      <c r="P85" s="2" t="s">
        <v>36</v>
      </c>
      <c r="Q85" s="2" t="s">
        <v>563</v>
      </c>
      <c r="R85" s="2">
        <v>15457</v>
      </c>
      <c r="S85" s="2" t="s">
        <v>37</v>
      </c>
      <c r="T85" s="2" t="s">
        <v>37</v>
      </c>
      <c r="U85" s="2" t="s">
        <v>76</v>
      </c>
      <c r="V85" s="3">
        <v>43731</v>
      </c>
      <c r="W85" s="2" t="s">
        <v>48</v>
      </c>
      <c r="X85" s="2" t="str">
        <f t="shared" si="4"/>
        <v>Ucv 159B Zona K Lt 77 Huaycan Ucv 159B, Lurigancho, Lima, Lima, Perú</v>
      </c>
      <c r="Y85" s="22">
        <v>-12.010156800000001</v>
      </c>
      <c r="Z85" s="22">
        <v>-76.827906400000003</v>
      </c>
      <c r="AA85" s="33">
        <f t="shared" si="5"/>
        <v>7.97</v>
      </c>
      <c r="AB85" s="2" t="str">
        <f t="shared" si="6"/>
        <v>🟡 Cerca (5-10 km)</v>
      </c>
      <c r="AC85" s="2" t="str" cm="1">
        <f t="array" ref="AC85">INDEX(PARADEROS_VALIDOS!$C$2:$C$68,MATCH(MIN(6371*ACOS(COS(RADIANS(Y85))*COS(RADIANS(PARADEROS_VALIDOS!$E$2:$E$68))*COS(RADIANS(PARADEROS_VALIDOS!$F$2:$F$68)-RADIANS(Z85))+SIN(RADIANS(Y85))*SIN(RADIANS(PARADEROS_VALIDOS!$E$2:$E$68)))),6371*ACOS(COS(RADIANS(Y85))*COS(RADIANS(PARADEROS_VALIDOS!$E$2:$E$68))*COS(RADIANS(PARADEROS_VALIDOS!$F$2:$F$68)-RADIANS(Z85))+SIN(RADIANS(Y85))*SIN(RADIANS(PARADEROS_VALIDOS!$E$2:$E$68))),0))</f>
        <v>Entrada Horacio</v>
      </c>
      <c r="AD85" s="2" t="str">
        <f>IFERROR(INDEX(PARADEROS_VALIDOS!$A$2:$A$68,MATCH(AC85,PARADEROS_VALIDOS!$C$2:$C$68,0)),"")</f>
        <v>RUTA 5B</v>
      </c>
      <c r="AE85" s="33" cm="1">
        <f t="array" ref="AE85">ROUND(MIN(6371*ACOS(COS(RADIANS(Y85))*COS(RADIANS(PARADEROS_VALIDOS!$E$2:$E$68))*COS(RADIANS(PARADEROS_VALIDOS!$F$2:$F$68)-RADIANS(Z85))+SIN(RADIANS(Y85))*SIN(RADIANS(PARADEROS_VALIDOS!$E$2:$E$68)))),2)</f>
        <v>1.55</v>
      </c>
      <c r="AF85" s="2" t="str">
        <f t="shared" si="7"/>
        <v>🟡 Cerca (1-3 km)</v>
      </c>
      <c r="AG85" s="2"/>
      <c r="AH85" s="2"/>
      <c r="AI85" s="51">
        <v>-11.997563</v>
      </c>
      <c r="AJ85" s="51">
        <v>-76.900062000000005</v>
      </c>
      <c r="AK85" s="2" t="str">
        <f>IFERROR(VLOOKUP(I85,tdcargo[],2,FALSE),"DESCONOCIDO")</f>
        <v>OPERARIO</v>
      </c>
    </row>
    <row r="86" spans="1:37" x14ac:dyDescent="0.35">
      <c r="A86" s="2" t="s">
        <v>564</v>
      </c>
      <c r="B86" s="2" t="s">
        <v>565</v>
      </c>
      <c r="C86" s="2" t="s">
        <v>566</v>
      </c>
      <c r="D86" s="2" t="s">
        <v>567</v>
      </c>
      <c r="E86" s="2">
        <v>30</v>
      </c>
      <c r="F86" s="2" t="s">
        <v>28</v>
      </c>
      <c r="G86" s="2" t="s">
        <v>29</v>
      </c>
      <c r="H86" s="2">
        <v>20508995</v>
      </c>
      <c r="I86" s="2" t="s">
        <v>30</v>
      </c>
      <c r="J86" s="3">
        <v>45901</v>
      </c>
      <c r="K86" s="2" t="s">
        <v>31</v>
      </c>
      <c r="L86" s="2" t="s">
        <v>63</v>
      </c>
      <c r="M86" s="2" t="s">
        <v>64</v>
      </c>
      <c r="N86" s="2" t="s">
        <v>82</v>
      </c>
      <c r="O86" s="2" t="s">
        <v>568</v>
      </c>
      <c r="P86" s="2" t="s">
        <v>36</v>
      </c>
      <c r="Q86" s="2" t="s">
        <v>569</v>
      </c>
      <c r="R86" s="2">
        <v>15004</v>
      </c>
      <c r="S86" s="2" t="s">
        <v>37</v>
      </c>
      <c r="T86" s="2" t="s">
        <v>37</v>
      </c>
      <c r="U86" s="2" t="s">
        <v>57</v>
      </c>
      <c r="V86" s="3">
        <v>45901</v>
      </c>
      <c r="W86" s="2" t="s">
        <v>39</v>
      </c>
      <c r="X86" s="2" t="str">
        <f t="shared" si="4"/>
        <v>Calle Carretera Central Los Pinos De San Jua, Ate, Lima, Lima, Perú</v>
      </c>
      <c r="Y86" s="22">
        <v>-12.009093200000001</v>
      </c>
      <c r="Z86" s="22">
        <v>-76.866127199999994</v>
      </c>
      <c r="AA86" s="33">
        <f t="shared" si="5"/>
        <v>3.91</v>
      </c>
      <c r="AB86" s="2" t="str">
        <f t="shared" si="6"/>
        <v>🟢 Muy Cerca (0-5 km)</v>
      </c>
      <c r="AC86" s="2" t="str" cm="1">
        <f t="array" ref="AC86">INDEX(PARADEROS_VALIDOS!$C$2:$C$68,MATCH(MIN(6371*ACOS(COS(RADIANS(Y86))*COS(RADIANS(PARADEROS_VALIDOS!$E$2:$E$68))*COS(RADIANS(PARADEROS_VALIDOS!$F$2:$F$68)-RADIANS(Z86))+SIN(RADIANS(Y86))*SIN(RADIANS(PARADEROS_VALIDOS!$E$2:$E$68)))),6371*ACOS(COS(RADIANS(Y86))*COS(RADIANS(PARADEROS_VALIDOS!$E$2:$E$68))*COS(RADIANS(PARADEROS_VALIDOS!$F$2:$F$68)-RADIANS(Z86))+SIN(RADIANS(Y86))*SIN(RADIANS(PARADEROS_VALIDOS!$E$2:$E$68))),0))</f>
        <v>Paradero Gloria Grande</v>
      </c>
      <c r="AD86" s="2" t="str">
        <f>IFERROR(INDEX(PARADEROS_VALIDOS!$A$2:$A$68,MATCH(AC86,PARADEROS_VALIDOS!$C$2:$C$68,0)),"")</f>
        <v>RUTA 5B</v>
      </c>
      <c r="AE86" s="33" cm="1">
        <f t="array" ref="AE86">ROUND(MIN(6371*ACOS(COS(RADIANS(Y86))*COS(RADIANS(PARADEROS_VALIDOS!$E$2:$E$68))*COS(RADIANS(PARADEROS_VALIDOS!$F$2:$F$68)-RADIANS(Z86))+SIN(RADIANS(Y86))*SIN(RADIANS(PARADEROS_VALIDOS!$E$2:$E$68)))),2)</f>
        <v>1.6</v>
      </c>
      <c r="AF86" s="2" t="str">
        <f t="shared" si="7"/>
        <v>🟡 Cerca (1-3 km)</v>
      </c>
      <c r="AG86" s="2"/>
      <c r="AH86" s="2"/>
      <c r="AI86" s="51">
        <v>-11.997563</v>
      </c>
      <c r="AJ86" s="51">
        <v>-76.900062000000005</v>
      </c>
      <c r="AK86" s="2" t="str">
        <f>IFERROR(VLOOKUP(I86,tdcargo[],2,FALSE),"DESCONOCIDO")</f>
        <v>OPERARIO</v>
      </c>
    </row>
    <row r="87" spans="1:37" x14ac:dyDescent="0.35">
      <c r="A87" s="2" t="s">
        <v>570</v>
      </c>
      <c r="B87" s="2" t="s">
        <v>571</v>
      </c>
      <c r="C87" s="2" t="s">
        <v>364</v>
      </c>
      <c r="D87" s="2" t="s">
        <v>572</v>
      </c>
      <c r="E87" s="2">
        <v>25</v>
      </c>
      <c r="F87" s="2" t="s">
        <v>28</v>
      </c>
      <c r="G87" s="2" t="s">
        <v>29</v>
      </c>
      <c r="H87" s="2">
        <v>20514629</v>
      </c>
      <c r="I87" s="2" t="s">
        <v>30</v>
      </c>
      <c r="J87" s="3">
        <v>46055</v>
      </c>
      <c r="K87" s="2" t="s">
        <v>31</v>
      </c>
      <c r="L87" s="2" t="s">
        <v>132</v>
      </c>
      <c r="M87" s="2" t="s">
        <v>133</v>
      </c>
      <c r="N87" s="2" t="s">
        <v>148</v>
      </c>
      <c r="O87" s="2" t="s">
        <v>573</v>
      </c>
      <c r="P87" s="2" t="s">
        <v>36</v>
      </c>
      <c r="Q87" s="2" t="s">
        <v>574</v>
      </c>
      <c r="R87" s="2">
        <v>15457</v>
      </c>
      <c r="S87" s="2" t="s">
        <v>37</v>
      </c>
      <c r="T87" s="2" t="s">
        <v>37</v>
      </c>
      <c r="U87" s="2" t="s">
        <v>76</v>
      </c>
      <c r="V87" s="3">
        <v>46055</v>
      </c>
      <c r="W87" s="2" t="s">
        <v>135</v>
      </c>
      <c r="X87" s="2" t="str">
        <f t="shared" si="4"/>
        <v>Pasaje Lucas LOS OLIVOS, Lurigancho, Lima, Lima, Perú</v>
      </c>
      <c r="Y87" s="22">
        <v>-11.9880008</v>
      </c>
      <c r="Z87" s="22">
        <v>-77.069480499999997</v>
      </c>
      <c r="AA87" s="33">
        <f t="shared" si="5"/>
        <v>18.46</v>
      </c>
      <c r="AB87" s="2" t="str">
        <f t="shared" si="6"/>
        <v>🟠 Moderada (10-20 km)</v>
      </c>
      <c r="AC87" s="2" t="str" cm="1">
        <f t="array" ref="AC87">INDEX(PARADEROS_VALIDOS!$C$2:$C$68,MATCH(MIN(6371*ACOS(COS(RADIANS(Y87))*COS(RADIANS(PARADEROS_VALIDOS!$E$2:$E$68))*COS(RADIANS(PARADEROS_VALIDOS!$F$2:$F$68)-RADIANS(Z87))+SIN(RADIANS(Y87))*SIN(RADIANS(PARADEROS_VALIDOS!$E$2:$E$68)))),6371*ACOS(COS(RADIANS(Y87))*COS(RADIANS(PARADEROS_VALIDOS!$E$2:$E$68))*COS(RADIANS(PARADEROS_VALIDOS!$F$2:$F$68)-RADIANS(Z87))+SIN(RADIANS(Y87))*SIN(RADIANS(PARADEROS_VALIDOS!$E$2:$E$68))),0))</f>
        <v>Paradero Metro Eyzaguirre</v>
      </c>
      <c r="AD87" s="2" t="str">
        <f>IFERROR(INDEX(PARADEROS_VALIDOS!$A$2:$A$68,MATCH(AC87,PARADEROS_VALIDOS!$C$2:$C$68,0)),"")</f>
        <v>RUTA 8</v>
      </c>
      <c r="AE87" s="33" cm="1">
        <f t="array" ref="AE87">ROUND(MIN(6371*ACOS(COS(RADIANS(Y87))*COS(RADIANS(PARADEROS_VALIDOS!$E$2:$E$68))*COS(RADIANS(PARADEROS_VALIDOS!$F$2:$F$68)-RADIANS(Z87))+SIN(RADIANS(Y87))*SIN(RADIANS(PARADEROS_VALIDOS!$E$2:$E$68)))),2)</f>
        <v>0.66</v>
      </c>
      <c r="AF87" s="2" t="str">
        <f t="shared" si="7"/>
        <v>🟢 Muy Cerca (0-1 km)</v>
      </c>
      <c r="AG87" s="2"/>
      <c r="AH87" s="2"/>
      <c r="AI87" s="51">
        <v>-11.997563</v>
      </c>
      <c r="AJ87" s="51">
        <v>-76.900062000000005</v>
      </c>
      <c r="AK87" s="2" t="str">
        <f>IFERROR(VLOOKUP(I87,tdcargo[],2,FALSE),"DESCONOCIDO")</f>
        <v>OPERARIO</v>
      </c>
    </row>
    <row r="88" spans="1:37" x14ac:dyDescent="0.35">
      <c r="A88" s="2" t="s">
        <v>575</v>
      </c>
      <c r="B88" s="2" t="s">
        <v>576</v>
      </c>
      <c r="C88" s="2" t="s">
        <v>577</v>
      </c>
      <c r="D88" s="2" t="s">
        <v>578</v>
      </c>
      <c r="E88" s="2">
        <v>38</v>
      </c>
      <c r="F88" s="2" t="s">
        <v>28</v>
      </c>
      <c r="G88" s="2" t="s">
        <v>29</v>
      </c>
      <c r="H88" s="2">
        <v>20508968</v>
      </c>
      <c r="I88" s="2" t="s">
        <v>30</v>
      </c>
      <c r="J88" s="3">
        <v>45733</v>
      </c>
      <c r="K88" s="2" t="s">
        <v>31</v>
      </c>
      <c r="L88" s="2" t="s">
        <v>132</v>
      </c>
      <c r="M88" s="2" t="s">
        <v>133</v>
      </c>
      <c r="N88" s="2" t="s">
        <v>36</v>
      </c>
      <c r="O88" s="2" t="s">
        <v>579</v>
      </c>
      <c r="P88" s="2" t="s">
        <v>186</v>
      </c>
      <c r="Q88" s="2" t="s">
        <v>580</v>
      </c>
      <c r="R88" s="2">
        <v>15004</v>
      </c>
      <c r="S88" s="2" t="s">
        <v>37</v>
      </c>
      <c r="T88" s="2" t="s">
        <v>37</v>
      </c>
      <c r="U88" s="2" t="s">
        <v>57</v>
      </c>
      <c r="V88" s="3">
        <v>45733</v>
      </c>
      <c r="W88" s="2" t="s">
        <v>77</v>
      </c>
      <c r="X88" s="2" t="str">
        <f t="shared" si="4"/>
        <v>Las Lomas De Santa Clara, Urb. Urbanización Santa Clara, Ate, Lima, Lima, Perú</v>
      </c>
      <c r="Y88" s="22">
        <v>-12.0239317</v>
      </c>
      <c r="Z88" s="22">
        <v>-76.874618400000003</v>
      </c>
      <c r="AA88" s="33">
        <f t="shared" si="5"/>
        <v>4.03</v>
      </c>
      <c r="AB88" s="2" t="str">
        <f t="shared" si="6"/>
        <v>🟢 Muy Cerca (0-5 km)</v>
      </c>
      <c r="AC88" s="2" t="str" cm="1">
        <f t="array" ref="AC88">INDEX(PARADEROS_VALIDOS!$C$2:$C$68,MATCH(MIN(6371*ACOS(COS(RADIANS(Y88))*COS(RADIANS(PARADEROS_VALIDOS!$E$2:$E$68))*COS(RADIANS(PARADEROS_VALIDOS!$F$2:$F$68)-RADIANS(Z88))+SIN(RADIANS(Y88))*SIN(RADIANS(PARADEROS_VALIDOS!$E$2:$E$68)))),6371*ACOS(COS(RADIANS(Y88))*COS(RADIANS(PARADEROS_VALIDOS!$E$2:$E$68))*COS(RADIANS(PARADEROS_VALIDOS!$F$2:$F$68)-RADIANS(Z88))+SIN(RADIANS(Y88))*SIN(RADIANS(PARADEROS_VALIDOS!$E$2:$E$68))),0))</f>
        <v>Paradero la Cruz</v>
      </c>
      <c r="AD88" s="2" t="str">
        <f>IFERROR(INDEX(PARADEROS_VALIDOS!$A$2:$A$68,MATCH(AC88,PARADEROS_VALIDOS!$C$2:$C$68,0)),"")</f>
        <v>RUTA 4B</v>
      </c>
      <c r="AE88" s="33" cm="1">
        <f t="array" ref="AE88">ROUND(MIN(6371*ACOS(COS(RADIANS(Y88))*COS(RADIANS(PARADEROS_VALIDOS!$E$2:$E$68))*COS(RADIANS(PARADEROS_VALIDOS!$F$2:$F$68)-RADIANS(Z88))+SIN(RADIANS(Y88))*SIN(RADIANS(PARADEROS_VALIDOS!$E$2:$E$68)))),2)</f>
        <v>1.52</v>
      </c>
      <c r="AF88" s="2" t="str">
        <f t="shared" si="7"/>
        <v>🟡 Cerca (1-3 km)</v>
      </c>
      <c r="AG88" s="2"/>
      <c r="AH88" s="2"/>
      <c r="AI88" s="51">
        <v>-11.997563</v>
      </c>
      <c r="AJ88" s="51">
        <v>-76.900062000000005</v>
      </c>
      <c r="AK88" s="2" t="str">
        <f>IFERROR(VLOOKUP(I88,tdcargo[],2,FALSE),"DESCONOCIDO")</f>
        <v>OPERARIO</v>
      </c>
    </row>
    <row r="89" spans="1:37" x14ac:dyDescent="0.35">
      <c r="A89" s="2" t="s">
        <v>581</v>
      </c>
      <c r="B89" s="2" t="s">
        <v>582</v>
      </c>
      <c r="C89" s="2" t="s">
        <v>467</v>
      </c>
      <c r="D89" s="2" t="s">
        <v>583</v>
      </c>
      <c r="E89" s="2">
        <v>31</v>
      </c>
      <c r="F89" s="2" t="s">
        <v>28</v>
      </c>
      <c r="G89" s="2" t="s">
        <v>29</v>
      </c>
      <c r="H89" s="2">
        <v>20512088</v>
      </c>
      <c r="I89" s="2" t="s">
        <v>62</v>
      </c>
      <c r="J89" s="3">
        <v>44637</v>
      </c>
      <c r="K89" s="2" t="s">
        <v>31</v>
      </c>
      <c r="L89" s="2" t="s">
        <v>63</v>
      </c>
      <c r="M89" s="2" t="s">
        <v>64</v>
      </c>
      <c r="N89" s="2" t="s">
        <v>36</v>
      </c>
      <c r="O89" s="2" t="s">
        <v>584</v>
      </c>
      <c r="P89" s="2" t="s">
        <v>186</v>
      </c>
      <c r="Q89" s="2" t="s">
        <v>585</v>
      </c>
      <c r="R89" s="2">
        <v>15457</v>
      </c>
      <c r="S89" s="2" t="s">
        <v>37</v>
      </c>
      <c r="T89" s="2" t="s">
        <v>37</v>
      </c>
      <c r="U89" s="2" t="s">
        <v>76</v>
      </c>
      <c r="V89" s="3">
        <v>44637</v>
      </c>
      <c r="W89" s="2" t="s">
        <v>48</v>
      </c>
      <c r="X89" s="2" t="str">
        <f t="shared" si="4"/>
        <v>Brisas De Huachipa, Urb. Urbanización Las Brisas, Lurigancho, Lima, Lima, Perú</v>
      </c>
      <c r="Y89" s="22">
        <v>-11.999314999999999</v>
      </c>
      <c r="Z89" s="22">
        <v>-76.919015999999999</v>
      </c>
      <c r="AA89" s="33">
        <f t="shared" si="5"/>
        <v>2.0699999999999998</v>
      </c>
      <c r="AB89" s="2" t="str">
        <f t="shared" si="6"/>
        <v>🟢 Muy Cerca (0-5 km)</v>
      </c>
      <c r="AC89" s="2" t="str" cm="1">
        <f t="array" ref="AC89">INDEX(PARADEROS_VALIDOS!$C$2:$C$68,MATCH(MIN(6371*ACOS(COS(RADIANS(Y89))*COS(RADIANS(PARADEROS_VALIDOS!$E$2:$E$68))*COS(RADIANS(PARADEROS_VALIDOS!$F$2:$F$68)-RADIANS(Z89))+SIN(RADIANS(Y89))*SIN(RADIANS(PARADEROS_VALIDOS!$E$2:$E$68)))),6371*ACOS(COS(RADIANS(Y89))*COS(RADIANS(PARADEROS_VALIDOS!$E$2:$E$68))*COS(RADIANS(PARADEROS_VALIDOS!$F$2:$F$68)-RADIANS(Z89))+SIN(RADIANS(Y89))*SIN(RADIANS(PARADEROS_VALIDOS!$E$2:$E$68))),0))</f>
        <v>Estadio Huachipa</v>
      </c>
      <c r="AD89" s="2" t="str">
        <f>IFERROR(INDEX(PARADEROS_VALIDOS!$A$2:$A$68,MATCH(AC89,PARADEROS_VALIDOS!$C$2:$C$68,0)),"")</f>
        <v>RUTA 5C</v>
      </c>
      <c r="AE89" s="33" cm="1">
        <f t="array" ref="AE89">ROUND(MIN(6371*ACOS(COS(RADIANS(Y89))*COS(RADIANS(PARADEROS_VALIDOS!$E$2:$E$68))*COS(RADIANS(PARADEROS_VALIDOS!$F$2:$F$68)-RADIANS(Z89))+SIN(RADIANS(Y89))*SIN(RADIANS(PARADEROS_VALIDOS!$E$2:$E$68)))),2)</f>
        <v>1.67</v>
      </c>
      <c r="AF89" s="2" t="str">
        <f t="shared" si="7"/>
        <v>🟡 Cerca (1-3 km)</v>
      </c>
      <c r="AG89" s="2"/>
      <c r="AH89" s="2"/>
      <c r="AI89" s="51">
        <v>-11.997563</v>
      </c>
      <c r="AJ89" s="51">
        <v>-76.900062000000005</v>
      </c>
      <c r="AK89" s="2" t="str">
        <f>IFERROR(VLOOKUP(I89,tdcargo[],2,FALSE),"DESCONOCIDO")</f>
        <v>OPERARIO</v>
      </c>
    </row>
    <row r="90" spans="1:37" x14ac:dyDescent="0.35">
      <c r="A90" s="2" t="s">
        <v>586</v>
      </c>
      <c r="B90" s="2" t="s">
        <v>587</v>
      </c>
      <c r="C90" s="2" t="s">
        <v>588</v>
      </c>
      <c r="D90" s="2" t="s">
        <v>589</v>
      </c>
      <c r="E90" s="2">
        <v>27</v>
      </c>
      <c r="F90" s="2" t="s">
        <v>28</v>
      </c>
      <c r="G90" s="2" t="s">
        <v>29</v>
      </c>
      <c r="H90" s="2">
        <v>20508866</v>
      </c>
      <c r="I90" s="2" t="s">
        <v>30</v>
      </c>
      <c r="J90" s="3">
        <v>45876</v>
      </c>
      <c r="K90" s="2" t="s">
        <v>31</v>
      </c>
      <c r="L90" s="2" t="s">
        <v>108</v>
      </c>
      <c r="M90" s="2" t="s">
        <v>109</v>
      </c>
      <c r="N90" s="2" t="s">
        <v>36</v>
      </c>
      <c r="O90" s="2" t="s">
        <v>590</v>
      </c>
      <c r="P90" s="2" t="s">
        <v>36</v>
      </c>
      <c r="Q90" s="2" t="s">
        <v>591</v>
      </c>
      <c r="R90" s="2">
        <v>15457</v>
      </c>
      <c r="S90" s="2" t="s">
        <v>37</v>
      </c>
      <c r="T90" s="2" t="s">
        <v>37</v>
      </c>
      <c r="U90" s="2" t="s">
        <v>76</v>
      </c>
      <c r="V90" s="3">
        <v>45876</v>
      </c>
      <c r="W90" s="2" t="s">
        <v>39</v>
      </c>
      <c r="X90" s="2" t="str">
        <f t="shared" si="4"/>
        <v>Asc. Las Casuarinas Niveria- Huachipa Las Casuarinas, Lurigancho, Lima, Lima, Perú</v>
      </c>
      <c r="Y90" s="22">
        <v>-12.0124263</v>
      </c>
      <c r="Z90" s="22">
        <v>-76.912918099999999</v>
      </c>
      <c r="AA90" s="33">
        <f t="shared" si="5"/>
        <v>2.16</v>
      </c>
      <c r="AB90" s="2" t="str">
        <f t="shared" si="6"/>
        <v>🟢 Muy Cerca (0-5 km)</v>
      </c>
      <c r="AC90" s="2" t="str" cm="1">
        <f t="array" ref="AC90">INDEX(PARADEROS_VALIDOS!$C$2:$C$68,MATCH(MIN(6371*ACOS(COS(RADIANS(Y90))*COS(RADIANS(PARADEROS_VALIDOS!$E$2:$E$68))*COS(RADIANS(PARADEROS_VALIDOS!$F$2:$F$68)-RADIANS(Z90))+SIN(RADIANS(Y90))*SIN(RADIANS(PARADEROS_VALIDOS!$E$2:$E$68)))),6371*ACOS(COS(RADIANS(Y90))*COS(RADIANS(PARADEROS_VALIDOS!$E$2:$E$68))*COS(RADIANS(PARADEROS_VALIDOS!$F$2:$F$68)-RADIANS(Z90))+SIN(RADIANS(Y90))*SIN(RADIANS(PARADEROS_VALIDOS!$E$2:$E$68))),0))</f>
        <v>Estadio Huachipa</v>
      </c>
      <c r="AD90" s="2" t="str">
        <f>IFERROR(INDEX(PARADEROS_VALIDOS!$A$2:$A$68,MATCH(AC90,PARADEROS_VALIDOS!$C$2:$C$68,0)),"")</f>
        <v>RUTA 5C</v>
      </c>
      <c r="AE90" s="33" cm="1">
        <f t="array" ref="AE90">ROUND(MIN(6371*ACOS(COS(RADIANS(Y90))*COS(RADIANS(PARADEROS_VALIDOS!$E$2:$E$68))*COS(RADIANS(PARADEROS_VALIDOS!$F$2:$F$68)-RADIANS(Z90))+SIN(RADIANS(Y90))*SIN(RADIANS(PARADEROS_VALIDOS!$E$2:$E$68)))),2)</f>
        <v>0.42</v>
      </c>
      <c r="AF90" s="2" t="str">
        <f t="shared" si="7"/>
        <v>🟢 Muy Cerca (0-1 km)</v>
      </c>
      <c r="AG90" s="2"/>
      <c r="AH90" s="2"/>
      <c r="AI90" s="51">
        <v>-11.997563</v>
      </c>
      <c r="AJ90" s="51">
        <v>-76.900062000000005</v>
      </c>
      <c r="AK90" s="2" t="str">
        <f>IFERROR(VLOOKUP(I90,tdcargo[],2,FALSE),"DESCONOCIDO")</f>
        <v>OPERARIO</v>
      </c>
    </row>
    <row r="91" spans="1:37" x14ac:dyDescent="0.35">
      <c r="A91" s="2" t="s">
        <v>592</v>
      </c>
      <c r="B91" s="2" t="s">
        <v>593</v>
      </c>
      <c r="C91" s="2" t="s">
        <v>364</v>
      </c>
      <c r="D91" s="2" t="s">
        <v>364</v>
      </c>
      <c r="E91" s="2">
        <v>25</v>
      </c>
      <c r="F91" s="2" t="s">
        <v>28</v>
      </c>
      <c r="G91" s="2" t="s">
        <v>29</v>
      </c>
      <c r="H91" s="2">
        <v>20508953</v>
      </c>
      <c r="I91" s="2" t="s">
        <v>30</v>
      </c>
      <c r="J91" s="3">
        <v>45779</v>
      </c>
      <c r="K91" s="2" t="s">
        <v>31</v>
      </c>
      <c r="L91" s="2" t="s">
        <v>132</v>
      </c>
      <c r="M91" s="2" t="s">
        <v>133</v>
      </c>
      <c r="N91" s="2" t="s">
        <v>82</v>
      </c>
      <c r="O91" s="2" t="s">
        <v>594</v>
      </c>
      <c r="P91" s="2" t="s">
        <v>36</v>
      </c>
      <c r="Q91" s="2" t="s">
        <v>95</v>
      </c>
      <c r="R91" s="2">
        <v>15457</v>
      </c>
      <c r="S91" s="2" t="s">
        <v>37</v>
      </c>
      <c r="T91" s="2" t="s">
        <v>37</v>
      </c>
      <c r="U91" s="2" t="s">
        <v>76</v>
      </c>
      <c r="V91" s="3">
        <v>45779</v>
      </c>
      <c r="W91" s="2" t="s">
        <v>39</v>
      </c>
      <c r="X91" s="2" t="str">
        <f t="shared" si="4"/>
        <v>Calle Urb Progr. Los Aviadores 2Da. Etapa Los Aviadores, Lurigancho, Lima, Lima, Perú</v>
      </c>
      <c r="Y91" s="22">
        <v>-11.9824383</v>
      </c>
      <c r="Z91" s="22">
        <v>-76.895411600000003</v>
      </c>
      <c r="AA91" s="33">
        <f t="shared" si="5"/>
        <v>1.76</v>
      </c>
      <c r="AB91" s="2" t="str">
        <f t="shared" si="6"/>
        <v>🟢 Muy Cerca (0-5 km)</v>
      </c>
      <c r="AC91" s="2" t="str" cm="1">
        <f t="array" ref="AC91">INDEX(PARADEROS_VALIDOS!$C$2:$C$68,MATCH(MIN(6371*ACOS(COS(RADIANS(Y91))*COS(RADIANS(PARADEROS_VALIDOS!$E$2:$E$68))*COS(RADIANS(PARADEROS_VALIDOS!$F$2:$F$68)-RADIANS(Z91))+SIN(RADIANS(Y91))*SIN(RADIANS(PARADEROS_VALIDOS!$E$2:$E$68)))),6371*ACOS(COS(RADIANS(Y91))*COS(RADIANS(PARADEROS_VALIDOS!$E$2:$E$68))*COS(RADIANS(PARADEROS_VALIDOS!$F$2:$F$68)-RADIANS(Z91))+SIN(RADIANS(Y91))*SIN(RADIANS(PARADEROS_VALIDOS!$E$2:$E$68))),0))</f>
        <v>Paradero Arco San Antonio</v>
      </c>
      <c r="AD91" s="2" t="str">
        <f>IFERROR(INDEX(PARADEROS_VALIDOS!$A$2:$A$68,MATCH(AC91,PARADEROS_VALIDOS!$C$2:$C$68,0)),"")</f>
        <v>RUTA 2</v>
      </c>
      <c r="AE91" s="33" cm="1">
        <f t="array" ref="AE91">ROUND(MIN(6371*ACOS(COS(RADIANS(Y91))*COS(RADIANS(PARADEROS_VALIDOS!$E$2:$E$68))*COS(RADIANS(PARADEROS_VALIDOS!$F$2:$F$68)-RADIANS(Z91))+SIN(RADIANS(Y91))*SIN(RADIANS(PARADEROS_VALIDOS!$E$2:$E$68)))),2)</f>
        <v>1.49</v>
      </c>
      <c r="AF91" s="2" t="str">
        <f t="shared" si="7"/>
        <v>🟡 Cerca (1-3 km)</v>
      </c>
      <c r="AG91" s="2"/>
      <c r="AH91" s="2"/>
      <c r="AI91" s="51">
        <v>-11.997563</v>
      </c>
      <c r="AJ91" s="51">
        <v>-76.900062000000005</v>
      </c>
      <c r="AK91" s="2" t="str">
        <f>IFERROR(VLOOKUP(I91,tdcargo[],2,FALSE),"DESCONOCIDO")</f>
        <v>OPERARIO</v>
      </c>
    </row>
    <row r="92" spans="1:37" x14ac:dyDescent="0.35">
      <c r="A92" s="2" t="s">
        <v>595</v>
      </c>
      <c r="B92" s="2" t="s">
        <v>596</v>
      </c>
      <c r="C92" s="2" t="s">
        <v>597</v>
      </c>
      <c r="D92" s="2" t="s">
        <v>598</v>
      </c>
      <c r="E92" s="2">
        <v>38</v>
      </c>
      <c r="F92" s="2" t="s">
        <v>28</v>
      </c>
      <c r="G92" s="2" t="s">
        <v>29</v>
      </c>
      <c r="H92" s="2">
        <v>20510602</v>
      </c>
      <c r="I92" s="2" t="s">
        <v>62</v>
      </c>
      <c r="J92" s="3">
        <v>45516</v>
      </c>
      <c r="K92" s="2" t="s">
        <v>31</v>
      </c>
      <c r="L92" s="2" t="s">
        <v>108</v>
      </c>
      <c r="M92" s="2" t="s">
        <v>109</v>
      </c>
      <c r="N92" s="2" t="s">
        <v>36</v>
      </c>
      <c r="O92" s="2" t="s">
        <v>599</v>
      </c>
      <c r="P92" s="2" t="s">
        <v>36</v>
      </c>
      <c r="Q92" s="2">
        <v>0</v>
      </c>
      <c r="R92" s="2">
        <v>15004</v>
      </c>
      <c r="S92" s="2" t="s">
        <v>37</v>
      </c>
      <c r="T92" s="2" t="s">
        <v>37</v>
      </c>
      <c r="U92" s="2" t="s">
        <v>57</v>
      </c>
      <c r="V92" s="3">
        <v>45516</v>
      </c>
      <c r="W92" s="2" t="s">
        <v>48</v>
      </c>
      <c r="X92" s="2" t="str">
        <f t="shared" si="4"/>
        <v>Asociacion Santa Rosa De Huamanga Mza B Lte 16, Ate, Lima, Lima, Perú</v>
      </c>
      <c r="Y92" s="22">
        <v>-12.0239943</v>
      </c>
      <c r="Z92" s="22">
        <v>-76.878857499999995</v>
      </c>
      <c r="AA92" s="33">
        <f t="shared" si="5"/>
        <v>3.74</v>
      </c>
      <c r="AB92" s="2" t="str">
        <f t="shared" si="6"/>
        <v>🟢 Muy Cerca (0-5 km)</v>
      </c>
      <c r="AC92" s="2" t="str" cm="1">
        <f t="array" ref="AC92">INDEX(PARADEROS_VALIDOS!$C$2:$C$68,MATCH(MIN(6371*ACOS(COS(RADIANS(Y92))*COS(RADIANS(PARADEROS_VALIDOS!$E$2:$E$68))*COS(RADIANS(PARADEROS_VALIDOS!$F$2:$F$68)-RADIANS(Z92))+SIN(RADIANS(Y92))*SIN(RADIANS(PARADEROS_VALIDOS!$E$2:$E$68)))),6371*ACOS(COS(RADIANS(Y92))*COS(RADIANS(PARADEROS_VALIDOS!$E$2:$E$68))*COS(RADIANS(PARADEROS_VALIDOS!$F$2:$F$68)-RADIANS(Z92))+SIN(RADIANS(Y92))*SIN(RADIANS(PARADEROS_VALIDOS!$E$2:$E$68))),0))</f>
        <v>Paradero la Cruz</v>
      </c>
      <c r="AD92" s="2" t="str">
        <f>IFERROR(INDEX(PARADEROS_VALIDOS!$A$2:$A$68,MATCH(AC92,PARADEROS_VALIDOS!$C$2:$C$68,0)),"")</f>
        <v>RUTA 4B</v>
      </c>
      <c r="AE92" s="33" cm="1">
        <f t="array" ref="AE92">ROUND(MIN(6371*ACOS(COS(RADIANS(Y92))*COS(RADIANS(PARADEROS_VALIDOS!$E$2:$E$68))*COS(RADIANS(PARADEROS_VALIDOS!$F$2:$F$68)-RADIANS(Z92))+SIN(RADIANS(Y92))*SIN(RADIANS(PARADEROS_VALIDOS!$E$2:$E$68)))),2)</f>
        <v>1.23</v>
      </c>
      <c r="AF92" s="2" t="str">
        <f t="shared" si="7"/>
        <v>🟡 Cerca (1-3 km)</v>
      </c>
      <c r="AG92" s="2"/>
      <c r="AH92" s="2"/>
      <c r="AI92" s="51">
        <v>-11.997563</v>
      </c>
      <c r="AJ92" s="51">
        <v>-76.900062000000005</v>
      </c>
      <c r="AK92" s="2" t="str">
        <f>IFERROR(VLOOKUP(I92,tdcargo[],2,FALSE),"DESCONOCIDO")</f>
        <v>OPERARIO</v>
      </c>
    </row>
    <row r="93" spans="1:37" x14ac:dyDescent="0.35">
      <c r="A93" s="2" t="s">
        <v>600</v>
      </c>
      <c r="B93" s="2" t="s">
        <v>601</v>
      </c>
      <c r="C93" s="2" t="s">
        <v>602</v>
      </c>
      <c r="D93" s="2" t="s">
        <v>603</v>
      </c>
      <c r="E93" s="2">
        <v>22</v>
      </c>
      <c r="F93" s="2" t="s">
        <v>28</v>
      </c>
      <c r="G93" s="2" t="s">
        <v>29</v>
      </c>
      <c r="H93" s="2">
        <v>20508888</v>
      </c>
      <c r="I93" s="2" t="s">
        <v>30</v>
      </c>
      <c r="J93" s="3">
        <v>45908</v>
      </c>
      <c r="K93" s="2" t="s">
        <v>31</v>
      </c>
      <c r="L93" s="2" t="s">
        <v>32</v>
      </c>
      <c r="M93" s="2" t="s">
        <v>33</v>
      </c>
      <c r="N93" s="2" t="s">
        <v>82</v>
      </c>
      <c r="O93" s="2" t="s">
        <v>604</v>
      </c>
      <c r="P93" s="2" t="s">
        <v>36</v>
      </c>
      <c r="Q93" s="2" t="s">
        <v>250</v>
      </c>
      <c r="R93" s="2">
        <v>15401</v>
      </c>
      <c r="S93" s="2" t="s">
        <v>37</v>
      </c>
      <c r="T93" s="2" t="s">
        <v>37</v>
      </c>
      <c r="U93" s="2" t="s">
        <v>38</v>
      </c>
      <c r="V93" s="3">
        <v>45908</v>
      </c>
      <c r="W93" s="2" t="s">
        <v>39</v>
      </c>
      <c r="X93" s="2" t="str">
        <f t="shared" si="4"/>
        <v>Calle Asociacion La Floresta De Campoy La Floresta, San Juan De Lurigancho, Lima, Lima, Perú</v>
      </c>
      <c r="Y93" s="22">
        <v>-12.0145205</v>
      </c>
      <c r="Z93" s="22">
        <v>-76.9678605</v>
      </c>
      <c r="AA93" s="33">
        <f t="shared" si="5"/>
        <v>7.61</v>
      </c>
      <c r="AB93" s="2" t="str">
        <f t="shared" si="6"/>
        <v>🟡 Cerca (5-10 km)</v>
      </c>
      <c r="AC93" s="2" t="str" cm="1">
        <f t="array" ref="AC93">INDEX(PARADEROS_VALIDOS!$C$2:$C$68,MATCH(MIN(6371*ACOS(COS(RADIANS(Y93))*COS(RADIANS(PARADEROS_VALIDOS!$E$2:$E$68))*COS(RADIANS(PARADEROS_VALIDOS!$F$2:$F$68)-RADIANS(Z93))+SIN(RADIANS(Y93))*SIN(RADIANS(PARADEROS_VALIDOS!$E$2:$E$68)))),6371*ACOS(COS(RADIANS(Y93))*COS(RADIANS(PARADEROS_VALIDOS!$E$2:$E$68))*COS(RADIANS(PARADEROS_VALIDOS!$F$2:$F$68)-RADIANS(Z93))+SIN(RADIANS(Y93))*SIN(RADIANS(PARADEROS_VALIDOS!$E$2:$E$68))),0))</f>
        <v>Paradero Tottus Campoy</v>
      </c>
      <c r="AD93" s="2" t="str">
        <f>IFERROR(INDEX(PARADEROS_VALIDOS!$A$2:$A$68,MATCH(AC93,PARADEROS_VALIDOS!$C$2:$C$68,0)),"")</f>
        <v>RUTA 6C</v>
      </c>
      <c r="AE93" s="33" cm="1">
        <f t="array" ref="AE93">ROUND(MIN(6371*ACOS(COS(RADIANS(Y93))*COS(RADIANS(PARADEROS_VALIDOS!$E$2:$E$68))*COS(RADIANS(PARADEROS_VALIDOS!$F$2:$F$68)-RADIANS(Z93))+SIN(RADIANS(Y93))*SIN(RADIANS(PARADEROS_VALIDOS!$E$2:$E$68)))),2)</f>
        <v>1.21</v>
      </c>
      <c r="AF93" s="2" t="str">
        <f t="shared" si="7"/>
        <v>🟡 Cerca (1-3 km)</v>
      </c>
      <c r="AG93" s="2"/>
      <c r="AH93" s="2"/>
      <c r="AI93" s="51">
        <v>-11.997563</v>
      </c>
      <c r="AJ93" s="51">
        <v>-76.900062000000005</v>
      </c>
      <c r="AK93" s="2" t="str">
        <f>IFERROR(VLOOKUP(I93,tdcargo[],2,FALSE),"DESCONOCIDO")</f>
        <v>OPERARIO</v>
      </c>
    </row>
    <row r="94" spans="1:37" x14ac:dyDescent="0.35">
      <c r="A94" s="2" t="s">
        <v>605</v>
      </c>
      <c r="B94" s="2" t="s">
        <v>606</v>
      </c>
      <c r="C94" s="2" t="s">
        <v>607</v>
      </c>
      <c r="D94" s="2" t="s">
        <v>545</v>
      </c>
      <c r="E94" s="2">
        <v>36</v>
      </c>
      <c r="F94" s="2" t="s">
        <v>28</v>
      </c>
      <c r="G94" s="2" t="s">
        <v>29</v>
      </c>
      <c r="H94" s="2">
        <v>20510604</v>
      </c>
      <c r="I94" s="2" t="s">
        <v>44</v>
      </c>
      <c r="J94" s="3">
        <v>43346</v>
      </c>
      <c r="K94" s="2" t="s">
        <v>31</v>
      </c>
      <c r="L94" s="2" t="s">
        <v>32</v>
      </c>
      <c r="M94" s="2" t="s">
        <v>33</v>
      </c>
      <c r="N94" s="2" t="s">
        <v>36</v>
      </c>
      <c r="O94" s="2" t="s">
        <v>608</v>
      </c>
      <c r="P94" s="2" t="s">
        <v>609</v>
      </c>
      <c r="Q94" s="2" t="s">
        <v>610</v>
      </c>
      <c r="R94" s="2">
        <v>15004</v>
      </c>
      <c r="S94" s="2" t="s">
        <v>37</v>
      </c>
      <c r="T94" s="2" t="s">
        <v>37</v>
      </c>
      <c r="U94" s="2" t="s">
        <v>57</v>
      </c>
      <c r="V94" s="3">
        <v>43346</v>
      </c>
      <c r="W94" s="2" t="s">
        <v>48</v>
      </c>
      <c r="X94" s="2" t="str">
        <f t="shared" si="4"/>
        <v>Zona Q, P.J. Pueblo Joven Huaycan Ucv 200C 4Ta Etapa, Ate, Lima, Lima, Perú</v>
      </c>
      <c r="Y94" s="22">
        <v>-12.0100449</v>
      </c>
      <c r="Z94" s="22">
        <v>-76.827822800000007</v>
      </c>
      <c r="AA94" s="33">
        <f t="shared" si="5"/>
        <v>7.98</v>
      </c>
      <c r="AB94" s="2" t="str">
        <f t="shared" si="6"/>
        <v>🟡 Cerca (5-10 km)</v>
      </c>
      <c r="AC94" s="2" t="str" cm="1">
        <f t="array" ref="AC94">INDEX(PARADEROS_VALIDOS!$C$2:$C$68,MATCH(MIN(6371*ACOS(COS(RADIANS(Y94))*COS(RADIANS(PARADEROS_VALIDOS!$E$2:$E$68))*COS(RADIANS(PARADEROS_VALIDOS!$F$2:$F$68)-RADIANS(Z94))+SIN(RADIANS(Y94))*SIN(RADIANS(PARADEROS_VALIDOS!$E$2:$E$68)))),6371*ACOS(COS(RADIANS(Y94))*COS(RADIANS(PARADEROS_VALIDOS!$E$2:$E$68))*COS(RADIANS(PARADEROS_VALIDOS!$F$2:$F$68)-RADIANS(Z94))+SIN(RADIANS(Y94))*SIN(RADIANS(PARADEROS_VALIDOS!$E$2:$E$68))),0))</f>
        <v>Entrada Horacio</v>
      </c>
      <c r="AD94" s="2" t="str">
        <f>IFERROR(INDEX(PARADEROS_VALIDOS!$A$2:$A$68,MATCH(AC94,PARADEROS_VALIDOS!$C$2:$C$68,0)),"")</f>
        <v>RUTA 5B</v>
      </c>
      <c r="AE94" s="33" cm="1">
        <f t="array" ref="AE94">ROUND(MIN(6371*ACOS(COS(RADIANS(Y94))*COS(RADIANS(PARADEROS_VALIDOS!$E$2:$E$68))*COS(RADIANS(PARADEROS_VALIDOS!$F$2:$F$68)-RADIANS(Z94))+SIN(RADIANS(Y94))*SIN(RADIANS(PARADEROS_VALIDOS!$E$2:$E$68)))),2)</f>
        <v>1.56</v>
      </c>
      <c r="AF94" s="2" t="str">
        <f t="shared" si="7"/>
        <v>🟡 Cerca (1-3 km)</v>
      </c>
      <c r="AG94" s="2"/>
      <c r="AH94" s="2"/>
      <c r="AI94" s="51">
        <v>-11.997563</v>
      </c>
      <c r="AJ94" s="51">
        <v>-76.900062000000005</v>
      </c>
      <c r="AK94" s="2" t="str">
        <f>IFERROR(VLOOKUP(I94,tdcargo[],2,FALSE),"DESCONOCIDO")</f>
        <v>OPERARIO</v>
      </c>
    </row>
    <row r="95" spans="1:37" x14ac:dyDescent="0.35">
      <c r="A95" s="2" t="s">
        <v>611</v>
      </c>
      <c r="B95" s="2" t="s">
        <v>612</v>
      </c>
      <c r="C95" s="2" t="s">
        <v>613</v>
      </c>
      <c r="D95" s="2" t="s">
        <v>614</v>
      </c>
      <c r="E95" s="2">
        <v>28</v>
      </c>
      <c r="F95" s="2" t="s">
        <v>28</v>
      </c>
      <c r="G95" s="2" t="s">
        <v>29</v>
      </c>
      <c r="H95" s="2">
        <v>20509026</v>
      </c>
      <c r="I95" s="2" t="s">
        <v>62</v>
      </c>
      <c r="J95" s="3">
        <v>45120</v>
      </c>
      <c r="K95" s="2" t="s">
        <v>31</v>
      </c>
      <c r="L95" s="2" t="s">
        <v>146</v>
      </c>
      <c r="M95" s="2" t="s">
        <v>147</v>
      </c>
      <c r="N95" s="2" t="s">
        <v>82</v>
      </c>
      <c r="O95" s="2" t="s">
        <v>615</v>
      </c>
      <c r="P95" s="2" t="s">
        <v>36</v>
      </c>
      <c r="Q95" s="2" t="s">
        <v>616</v>
      </c>
      <c r="R95" s="2">
        <v>15510</v>
      </c>
      <c r="S95" s="2" t="s">
        <v>37</v>
      </c>
      <c r="T95" s="2" t="s">
        <v>195</v>
      </c>
      <c r="U95" s="2" t="s">
        <v>196</v>
      </c>
      <c r="V95" s="3">
        <v>45120</v>
      </c>
      <c r="W95" s="2" t="s">
        <v>48</v>
      </c>
      <c r="X95" s="2" t="str">
        <f t="shared" si="4"/>
        <v>Calle Pucallpa Julio C.Tello, San Antonio, Huarochiri, Lima, Perú</v>
      </c>
      <c r="Y95" s="22">
        <v>-11.8289311</v>
      </c>
      <c r="Z95" s="22">
        <v>-76.802893299999994</v>
      </c>
      <c r="AA95" s="33">
        <f t="shared" si="5"/>
        <v>21.53</v>
      </c>
      <c r="AB95" s="2" t="str">
        <f t="shared" si="6"/>
        <v>🔴 Lejos (&gt;20 km)</v>
      </c>
      <c r="AC95" s="2" t="str" cm="1">
        <f t="array" ref="AC95">INDEX(PARADEROS_VALIDOS!$C$2:$C$68,MATCH(MIN(6371*ACOS(COS(RADIANS(Y95))*COS(RADIANS(PARADEROS_VALIDOS!$E$2:$E$68))*COS(RADIANS(PARADEROS_VALIDOS!$F$2:$F$68)-RADIANS(Z95))+SIN(RADIANS(Y95))*SIN(RADIANS(PARADEROS_VALIDOS!$E$2:$E$68)))),6371*ACOS(COS(RADIANS(Y95))*COS(RADIANS(PARADEROS_VALIDOS!$E$2:$E$68))*COS(RADIANS(PARADEROS_VALIDOS!$F$2:$F$68)-RADIANS(Z95))+SIN(RADIANS(Y95))*SIN(RADIANS(PARADEROS_VALIDOS!$E$2:$E$68))),0))</f>
        <v>Paradero Girasoles - Chaclacayo</v>
      </c>
      <c r="AD95" s="2" t="str">
        <f>IFERROR(INDEX(PARADEROS_VALIDOS!$A$2:$A$68,MATCH(AC95,PARADEROS_VALIDOS!$C$2:$C$68,0)),"")</f>
        <v>RUTA 5A</v>
      </c>
      <c r="AE95" s="33" cm="1">
        <f t="array" ref="AE95">ROUND(MIN(6371*ACOS(COS(RADIANS(Y95))*COS(RADIANS(PARADEROS_VALIDOS!$E$2:$E$68))*COS(RADIANS(PARADEROS_VALIDOS!$F$2:$F$68)-RADIANS(Z95))+SIN(RADIANS(Y95))*SIN(RADIANS(PARADEROS_VALIDOS!$E$2:$E$68)))),2)</f>
        <v>16.739999999999998</v>
      </c>
      <c r="AF95" s="2" t="str">
        <f t="shared" si="7"/>
        <v>🔴 Lejos (&gt;5 km)</v>
      </c>
      <c r="AG95" s="2"/>
      <c r="AH95" s="2"/>
      <c r="AI95" s="51">
        <v>-11.997563</v>
      </c>
      <c r="AJ95" s="51">
        <v>-76.900062000000005</v>
      </c>
      <c r="AK95" s="2" t="str">
        <f>IFERROR(VLOOKUP(I95,tdcargo[],2,FALSE),"DESCONOCIDO")</f>
        <v>OPERARIO</v>
      </c>
    </row>
    <row r="96" spans="1:37" x14ac:dyDescent="0.35">
      <c r="A96" s="2" t="s">
        <v>617</v>
      </c>
      <c r="B96" s="2" t="s">
        <v>618</v>
      </c>
      <c r="C96" s="2" t="s">
        <v>619</v>
      </c>
      <c r="D96" s="2" t="s">
        <v>452</v>
      </c>
      <c r="E96" s="2">
        <v>28</v>
      </c>
      <c r="F96" s="2" t="s">
        <v>28</v>
      </c>
      <c r="G96" s="2" t="s">
        <v>29</v>
      </c>
      <c r="H96" s="2">
        <v>20508908</v>
      </c>
      <c r="I96" s="2" t="s">
        <v>30</v>
      </c>
      <c r="J96" s="3">
        <v>45859</v>
      </c>
      <c r="K96" s="2" t="s">
        <v>31</v>
      </c>
      <c r="L96" s="2" t="s">
        <v>32</v>
      </c>
      <c r="M96" s="2" t="s">
        <v>33</v>
      </c>
      <c r="N96" s="2" t="s">
        <v>34</v>
      </c>
      <c r="O96" s="2" t="s">
        <v>227</v>
      </c>
      <c r="P96" s="2" t="s">
        <v>36</v>
      </c>
      <c r="Q96" s="2" t="s">
        <v>620</v>
      </c>
      <c r="R96" s="2">
        <v>15004</v>
      </c>
      <c r="S96" s="2" t="s">
        <v>37</v>
      </c>
      <c r="T96" s="2" t="s">
        <v>37</v>
      </c>
      <c r="U96" s="2" t="s">
        <v>57</v>
      </c>
      <c r="V96" s="3">
        <v>45859</v>
      </c>
      <c r="W96" s="2" t="s">
        <v>39</v>
      </c>
      <c r="X96" s="2" t="str">
        <f t="shared" si="4"/>
        <v>Avenida Huachipa Jicamarca, Ate, Lima, Lima, Perú</v>
      </c>
      <c r="Y96" s="22">
        <v>-12.0123792</v>
      </c>
      <c r="Z96" s="22">
        <v>-76.912988499999997</v>
      </c>
      <c r="AA96" s="33">
        <f t="shared" si="5"/>
        <v>2.17</v>
      </c>
      <c r="AB96" s="2" t="str">
        <f t="shared" si="6"/>
        <v>🟢 Muy Cerca (0-5 km)</v>
      </c>
      <c r="AC96" s="2" t="str" cm="1">
        <f t="array" ref="AC96">INDEX(PARADEROS_VALIDOS!$C$2:$C$68,MATCH(MIN(6371*ACOS(COS(RADIANS(Y96))*COS(RADIANS(PARADEROS_VALIDOS!$E$2:$E$68))*COS(RADIANS(PARADEROS_VALIDOS!$F$2:$F$68)-RADIANS(Z96))+SIN(RADIANS(Y96))*SIN(RADIANS(PARADEROS_VALIDOS!$E$2:$E$68)))),6371*ACOS(COS(RADIANS(Y96))*COS(RADIANS(PARADEROS_VALIDOS!$E$2:$E$68))*COS(RADIANS(PARADEROS_VALIDOS!$F$2:$F$68)-RADIANS(Z96))+SIN(RADIANS(Y96))*SIN(RADIANS(PARADEROS_VALIDOS!$E$2:$E$68))),0))</f>
        <v>Estadio Huachipa</v>
      </c>
      <c r="AD96" s="2" t="str">
        <f>IFERROR(INDEX(PARADEROS_VALIDOS!$A$2:$A$68,MATCH(AC96,PARADEROS_VALIDOS!$C$2:$C$68,0)),"")</f>
        <v>RUTA 5C</v>
      </c>
      <c r="AE96" s="33" cm="1">
        <f t="array" ref="AE96">ROUND(MIN(6371*ACOS(COS(RADIANS(Y96))*COS(RADIANS(PARADEROS_VALIDOS!$E$2:$E$68))*COS(RADIANS(PARADEROS_VALIDOS!$F$2:$F$68)-RADIANS(Z96))+SIN(RADIANS(Y96))*SIN(RADIANS(PARADEROS_VALIDOS!$E$2:$E$68)))),2)</f>
        <v>0.41</v>
      </c>
      <c r="AF96" s="2" t="str">
        <f t="shared" si="7"/>
        <v>🟢 Muy Cerca (0-1 km)</v>
      </c>
      <c r="AG96" s="2"/>
      <c r="AH96" s="2"/>
      <c r="AI96" s="51">
        <v>-11.997563</v>
      </c>
      <c r="AJ96" s="51">
        <v>-76.900062000000005</v>
      </c>
      <c r="AK96" s="2" t="str">
        <f>IFERROR(VLOOKUP(I96,tdcargo[],2,FALSE),"DESCONOCIDO")</f>
        <v>OPERARIO</v>
      </c>
    </row>
    <row r="97" spans="1:37" x14ac:dyDescent="0.35">
      <c r="A97" s="2" t="s">
        <v>621</v>
      </c>
      <c r="B97" s="2" t="s">
        <v>622</v>
      </c>
      <c r="C97" s="2" t="s">
        <v>623</v>
      </c>
      <c r="D97" s="2" t="s">
        <v>624</v>
      </c>
      <c r="E97" s="2">
        <v>21</v>
      </c>
      <c r="F97" s="2" t="s">
        <v>28</v>
      </c>
      <c r="G97" s="2" t="s">
        <v>29</v>
      </c>
      <c r="H97" s="2">
        <v>20508898</v>
      </c>
      <c r="I97" s="2" t="s">
        <v>30</v>
      </c>
      <c r="J97" s="3">
        <v>46041</v>
      </c>
      <c r="K97" s="2" t="s">
        <v>31</v>
      </c>
      <c r="L97" s="2" t="s">
        <v>132</v>
      </c>
      <c r="M97" s="2" t="s">
        <v>133</v>
      </c>
      <c r="N97" s="2" t="s">
        <v>82</v>
      </c>
      <c r="O97" s="2" t="s">
        <v>625</v>
      </c>
      <c r="P97" s="2" t="s">
        <v>88</v>
      </c>
      <c r="Q97" s="2" t="s">
        <v>626</v>
      </c>
      <c r="R97" s="2">
        <v>15457</v>
      </c>
      <c r="S97" s="2" t="s">
        <v>37</v>
      </c>
      <c r="T97" s="2" t="s">
        <v>37</v>
      </c>
      <c r="U97" s="2" t="s">
        <v>76</v>
      </c>
      <c r="V97" s="3">
        <v>46041</v>
      </c>
      <c r="W97" s="2" t="s">
        <v>135</v>
      </c>
      <c r="X97" s="2" t="str">
        <f t="shared" si="4"/>
        <v>Calle Laureles, A.H. Asentamiento Humano CAMPIÑA, Lurigancho, Lima, Lima, Perú</v>
      </c>
      <c r="Y97" s="22">
        <v>-12.018449199999999</v>
      </c>
      <c r="Z97" s="22">
        <v>-76.887644600000002</v>
      </c>
      <c r="AA97" s="33">
        <f t="shared" si="5"/>
        <v>2.69</v>
      </c>
      <c r="AB97" s="2" t="str">
        <f t="shared" si="6"/>
        <v>🟢 Muy Cerca (0-5 km)</v>
      </c>
      <c r="AC97" s="2" t="str" cm="1">
        <f t="array" ref="AC97">INDEX(PARADEROS_VALIDOS!$C$2:$C$68,MATCH(MIN(6371*ACOS(COS(RADIANS(Y97))*COS(RADIANS(PARADEROS_VALIDOS!$E$2:$E$68))*COS(RADIANS(PARADEROS_VALIDOS!$F$2:$F$68)-RADIANS(Z97))+SIN(RADIANS(Y97))*SIN(RADIANS(PARADEROS_VALIDOS!$E$2:$E$68)))),6371*ACOS(COS(RADIANS(Y97))*COS(RADIANS(PARADEROS_VALIDOS!$E$2:$E$68))*COS(RADIANS(PARADEROS_VALIDOS!$F$2:$F$68)-RADIANS(Z97))+SIN(RADIANS(Y97))*SIN(RADIANS(PARADEROS_VALIDOS!$E$2:$E$68))),0))</f>
        <v>Paradero Sta. Clara</v>
      </c>
      <c r="AD97" s="2" t="str">
        <f>IFERROR(INDEX(PARADEROS_VALIDOS!$A$2:$A$68,MATCH(AC97,PARADEROS_VALIDOS!$C$2:$C$68,0)),"")</f>
        <v>RUTA 5C</v>
      </c>
      <c r="AE97" s="33" cm="1">
        <f t="array" ref="AE97">ROUND(MIN(6371*ACOS(COS(RADIANS(Y97))*COS(RADIANS(PARADEROS_VALIDOS!$E$2:$E$68))*COS(RADIANS(PARADEROS_VALIDOS!$F$2:$F$68)-RADIANS(Z97))+SIN(RADIANS(Y97))*SIN(RADIANS(PARADEROS_VALIDOS!$E$2:$E$68)))),2)</f>
        <v>0.48</v>
      </c>
      <c r="AF97" s="2" t="str">
        <f t="shared" si="7"/>
        <v>🟢 Muy Cerca (0-1 km)</v>
      </c>
      <c r="AG97" s="2"/>
      <c r="AH97" s="2"/>
      <c r="AI97" s="51">
        <v>-11.997563</v>
      </c>
      <c r="AJ97" s="51">
        <v>-76.900062000000005</v>
      </c>
      <c r="AK97" s="2" t="str">
        <f>IFERROR(VLOOKUP(I97,tdcargo[],2,FALSE),"DESCONOCIDO")</f>
        <v>OPERARIO</v>
      </c>
    </row>
    <row r="98" spans="1:37" x14ac:dyDescent="0.35">
      <c r="A98" s="2" t="s">
        <v>627</v>
      </c>
      <c r="B98" s="2" t="s">
        <v>628</v>
      </c>
      <c r="C98" s="2" t="s">
        <v>629</v>
      </c>
      <c r="D98" s="2" t="s">
        <v>630</v>
      </c>
      <c r="E98" s="2">
        <v>49</v>
      </c>
      <c r="F98" s="2" t="s">
        <v>28</v>
      </c>
      <c r="G98" s="2" t="s">
        <v>29</v>
      </c>
      <c r="H98" s="2">
        <v>20508880</v>
      </c>
      <c r="I98" s="2" t="s">
        <v>44</v>
      </c>
      <c r="J98" s="3">
        <v>43061</v>
      </c>
      <c r="K98" s="2" t="s">
        <v>31</v>
      </c>
      <c r="L98" s="2" t="s">
        <v>32</v>
      </c>
      <c r="M98" s="2" t="s">
        <v>33</v>
      </c>
      <c r="N98" s="2" t="s">
        <v>34</v>
      </c>
      <c r="O98" s="2" t="s">
        <v>631</v>
      </c>
      <c r="P98" s="2" t="s">
        <v>55</v>
      </c>
      <c r="Q98" s="2" t="s">
        <v>632</v>
      </c>
      <c r="R98" s="2">
        <v>15401</v>
      </c>
      <c r="S98" s="2" t="s">
        <v>37</v>
      </c>
      <c r="T98" s="2" t="s">
        <v>37</v>
      </c>
      <c r="U98" s="2" t="s">
        <v>38</v>
      </c>
      <c r="V98" s="3">
        <v>43061</v>
      </c>
      <c r="W98" s="2" t="s">
        <v>48</v>
      </c>
      <c r="X98" s="2" t="str">
        <f t="shared" si="4"/>
        <v>Avenida Las Torres, Coo. Cooperativa 14 De Febrero, San Juan De Lurigancho, Lima, Lima, Perú</v>
      </c>
      <c r="Y98" s="22">
        <v>-11.968179599999999</v>
      </c>
      <c r="Z98" s="22">
        <v>-77.004263699999996</v>
      </c>
      <c r="AA98" s="33">
        <f t="shared" si="5"/>
        <v>11.8</v>
      </c>
      <c r="AB98" s="2" t="str">
        <f t="shared" si="6"/>
        <v>🟠 Moderada (10-20 km)</v>
      </c>
      <c r="AC98" s="2" t="str" cm="1">
        <f t="array" ref="AC98">INDEX(PARADEROS_VALIDOS!$C$2:$C$68,MATCH(MIN(6371*ACOS(COS(RADIANS(Y98))*COS(RADIANS(PARADEROS_VALIDOS!$E$2:$E$68))*COS(RADIANS(PARADEROS_VALIDOS!$F$2:$F$68)-RADIANS(Z98))+SIN(RADIANS(Y98))*SIN(RADIANS(PARADEROS_VALIDOS!$E$2:$E$68)))),6371*ACOS(COS(RADIANS(Y98))*COS(RADIANS(PARADEROS_VALIDOS!$E$2:$E$68))*COS(RADIANS(PARADEROS_VALIDOS!$F$2:$F$68)-RADIANS(Z98))+SIN(RADIANS(Y98))*SIN(RADIANS(PARADEROS_VALIDOS!$E$2:$E$68))),0))</f>
        <v>Paradero Acho</v>
      </c>
      <c r="AD98" s="2" t="str">
        <f>IFERROR(INDEX(PARADEROS_VALIDOS!$A$2:$A$68,MATCH(AC98,PARADEROS_VALIDOS!$C$2:$C$68,0)),"")</f>
        <v>RUTA 8</v>
      </c>
      <c r="AE98" s="33" cm="1">
        <f t="array" ref="AE98">ROUND(MIN(6371*ACOS(COS(RADIANS(Y98))*COS(RADIANS(PARADEROS_VALIDOS!$E$2:$E$68))*COS(RADIANS(PARADEROS_VALIDOS!$F$2:$F$68)-RADIANS(Z98))+SIN(RADIANS(Y98))*SIN(RADIANS(PARADEROS_VALIDOS!$E$2:$E$68)))),2)</f>
        <v>0.46</v>
      </c>
      <c r="AF98" s="2" t="str">
        <f t="shared" si="7"/>
        <v>🟢 Muy Cerca (0-1 km)</v>
      </c>
      <c r="AG98" s="2"/>
      <c r="AH98" s="2"/>
      <c r="AI98" s="51">
        <v>-11.997563</v>
      </c>
      <c r="AJ98" s="51">
        <v>-76.900062000000005</v>
      </c>
      <c r="AK98" s="2" t="str">
        <f>IFERROR(VLOOKUP(I98,tdcargo[],2,FALSE),"DESCONOCIDO")</f>
        <v>OPERARIO</v>
      </c>
    </row>
    <row r="99" spans="1:37" x14ac:dyDescent="0.35">
      <c r="A99" s="2" t="s">
        <v>633</v>
      </c>
      <c r="B99" s="2" t="s">
        <v>634</v>
      </c>
      <c r="C99" s="2" t="s">
        <v>635</v>
      </c>
      <c r="D99" s="2" t="s">
        <v>51</v>
      </c>
      <c r="E99" s="2">
        <v>42</v>
      </c>
      <c r="F99" s="2" t="s">
        <v>28</v>
      </c>
      <c r="G99" s="2" t="s">
        <v>29</v>
      </c>
      <c r="H99" s="2">
        <v>20508984</v>
      </c>
      <c r="I99" s="2" t="s">
        <v>62</v>
      </c>
      <c r="J99" s="3">
        <v>43500</v>
      </c>
      <c r="K99" s="2" t="s">
        <v>31</v>
      </c>
      <c r="L99" s="2" t="s">
        <v>63</v>
      </c>
      <c r="M99" s="2" t="s">
        <v>64</v>
      </c>
      <c r="N99" s="2" t="s">
        <v>36</v>
      </c>
      <c r="O99" s="2" t="s">
        <v>636</v>
      </c>
      <c r="P99" s="2" t="s">
        <v>36</v>
      </c>
      <c r="Q99" s="2" t="s">
        <v>46</v>
      </c>
      <c r="R99" s="2">
        <v>15004</v>
      </c>
      <c r="S99" s="2" t="s">
        <v>37</v>
      </c>
      <c r="T99" s="2" t="s">
        <v>37</v>
      </c>
      <c r="U99" s="2" t="s">
        <v>57</v>
      </c>
      <c r="V99" s="3">
        <v>43500</v>
      </c>
      <c r="W99" s="2" t="s">
        <v>48</v>
      </c>
      <c r="X99" s="2" t="str">
        <f t="shared" si="4"/>
        <v>Los Angeles Sec F Mz B Lt 35, Ate, Lima, Lima, Perú</v>
      </c>
      <c r="Y99" s="22">
        <v>-12.0269026</v>
      </c>
      <c r="Z99" s="22">
        <v>-76.900693500000003</v>
      </c>
      <c r="AA99" s="33">
        <f t="shared" si="5"/>
        <v>3.26</v>
      </c>
      <c r="AB99" s="2" t="str">
        <f t="shared" si="6"/>
        <v>🟢 Muy Cerca (0-5 km)</v>
      </c>
      <c r="AC99" s="2" t="str" cm="1">
        <f t="array" ref="AC99">INDEX(PARADEROS_VALIDOS!$C$2:$C$68,MATCH(MIN(6371*ACOS(COS(RADIANS(Y99))*COS(RADIANS(PARADEROS_VALIDOS!$E$2:$E$68))*COS(RADIANS(PARADEROS_VALIDOS!$F$2:$F$68)-RADIANS(Z99))+SIN(RADIANS(Y99))*SIN(RADIANS(PARADEROS_VALIDOS!$E$2:$E$68)))),6371*ACOS(COS(RADIANS(Y99))*COS(RADIANS(PARADEROS_VALIDOS!$E$2:$E$68))*COS(RADIANS(PARADEROS_VALIDOS!$F$2:$F$68)-RADIANS(Z99))+SIN(RADIANS(Y99))*SIN(RADIANS(PARADEROS_VALIDOS!$E$2:$E$68))),0))</f>
        <v>Paradero Esperanza</v>
      </c>
      <c r="AD99" s="2" t="str">
        <f>IFERROR(INDEX(PARADEROS_VALIDOS!$A$2:$A$68,MATCH(AC99,PARADEROS_VALIDOS!$C$2:$C$68,0)),"")</f>
        <v>RUTA 4B</v>
      </c>
      <c r="AE99" s="33" cm="1">
        <f t="array" ref="AE99">ROUND(MIN(6371*ACOS(COS(RADIANS(Y99))*COS(RADIANS(PARADEROS_VALIDOS!$E$2:$E$68))*COS(RADIANS(PARADEROS_VALIDOS!$F$2:$F$68)-RADIANS(Z99))+SIN(RADIANS(Y99))*SIN(RADIANS(PARADEROS_VALIDOS!$E$2:$E$68)))),2)</f>
        <v>0.88</v>
      </c>
      <c r="AF99" s="2" t="str">
        <f t="shared" si="7"/>
        <v>🟢 Muy Cerca (0-1 km)</v>
      </c>
      <c r="AG99" s="2"/>
      <c r="AH99" s="2"/>
      <c r="AI99" s="51">
        <v>-11.997563</v>
      </c>
      <c r="AJ99" s="51">
        <v>-76.900062000000005</v>
      </c>
      <c r="AK99" s="2" t="str">
        <f>IFERROR(VLOOKUP(I99,tdcargo[],2,FALSE),"DESCONOCIDO")</f>
        <v>OPERARIO</v>
      </c>
    </row>
    <row r="100" spans="1:37" x14ac:dyDescent="0.35">
      <c r="A100" s="2" t="s">
        <v>637</v>
      </c>
      <c r="B100" s="2" t="s">
        <v>638</v>
      </c>
      <c r="C100" s="2" t="s">
        <v>639</v>
      </c>
      <c r="D100" s="2" t="s">
        <v>640</v>
      </c>
      <c r="E100" s="2">
        <v>39</v>
      </c>
      <c r="F100" s="2" t="s">
        <v>28</v>
      </c>
      <c r="G100" s="2" t="s">
        <v>29</v>
      </c>
      <c r="H100" s="2">
        <v>20509036</v>
      </c>
      <c r="I100" s="2" t="s">
        <v>641</v>
      </c>
      <c r="J100" s="3">
        <v>44795</v>
      </c>
      <c r="K100" s="2" t="s">
        <v>31</v>
      </c>
      <c r="L100" s="2" t="s">
        <v>642</v>
      </c>
      <c r="M100" s="2"/>
      <c r="N100" s="2" t="s">
        <v>34</v>
      </c>
      <c r="O100" s="2" t="s">
        <v>412</v>
      </c>
      <c r="P100" s="2" t="s">
        <v>643</v>
      </c>
      <c r="Q100" s="2" t="s">
        <v>644</v>
      </c>
      <c r="R100" s="2">
        <v>15472</v>
      </c>
      <c r="S100" s="2" t="s">
        <v>37</v>
      </c>
      <c r="T100" s="2" t="s">
        <v>37</v>
      </c>
      <c r="U100" s="2" t="s">
        <v>118</v>
      </c>
      <c r="V100" s="3">
        <v>44795</v>
      </c>
      <c r="W100" s="2" t="s">
        <v>48</v>
      </c>
      <c r="X100" s="2" t="str">
        <f t="shared" si="4"/>
        <v>Avenida Circunvalacion, Res. Residencial Los Girasoles, Chaclacayo, Lima, Lima, Perú</v>
      </c>
      <c r="Y100" s="22">
        <v>-11.9743966</v>
      </c>
      <c r="Z100" s="22">
        <v>-76.783230700000004</v>
      </c>
      <c r="AA100" s="33">
        <f t="shared" si="5"/>
        <v>12.97</v>
      </c>
      <c r="AB100" s="2" t="str">
        <f t="shared" si="6"/>
        <v>🟠 Moderada (10-20 km)</v>
      </c>
      <c r="AC100" s="2" t="str" cm="1">
        <f t="array" ref="AC100">INDEX(PARADEROS_VALIDOS!$C$2:$C$68,MATCH(MIN(6371*ACOS(COS(RADIANS(Y100))*COS(RADIANS(PARADEROS_VALIDOS!$E$2:$E$68))*COS(RADIANS(PARADEROS_VALIDOS!$F$2:$F$68)-RADIANS(Z100))+SIN(RADIANS(Y100))*SIN(RADIANS(PARADEROS_VALIDOS!$E$2:$E$68)))),6371*ACOS(COS(RADIANS(Y100))*COS(RADIANS(PARADEROS_VALIDOS!$E$2:$E$68))*COS(RADIANS(PARADEROS_VALIDOS!$F$2:$F$68)-RADIANS(Z100))+SIN(RADIANS(Y100))*SIN(RADIANS(PARADEROS_VALIDOS!$E$2:$E$68))),0))</f>
        <v>Mercado Ramiro Prialé</v>
      </c>
      <c r="AD100" s="2" t="str">
        <f>IFERROR(INDEX(PARADEROS_VALIDOS!$A$2:$A$68,MATCH(AC100,PARADEROS_VALIDOS!$C$2:$C$68,0)),"")</f>
        <v>RUTA 5A</v>
      </c>
      <c r="AE100" s="33" cm="1">
        <f t="array" ref="AE100">ROUND(MIN(6371*ACOS(COS(RADIANS(Y100))*COS(RADIANS(PARADEROS_VALIDOS!$E$2:$E$68))*COS(RADIANS(PARADEROS_VALIDOS!$F$2:$F$68)-RADIANS(Z100))+SIN(RADIANS(Y100))*SIN(RADIANS(PARADEROS_VALIDOS!$E$2:$E$68)))),2)</f>
        <v>0.66</v>
      </c>
      <c r="AF100" s="2" t="str">
        <f t="shared" si="7"/>
        <v>🟢 Muy Cerca (0-1 km)</v>
      </c>
      <c r="AG100" s="2"/>
      <c r="AH100" s="2"/>
      <c r="AI100" s="51">
        <v>-11.997563</v>
      </c>
      <c r="AJ100" s="51">
        <v>-76.900062000000005</v>
      </c>
      <c r="AK100" s="2" t="str">
        <f>IFERROR(VLOOKUP(I100,tdcargo[],2,FALSE),"DESCONOCIDO")</f>
        <v>STAFF</v>
      </c>
    </row>
    <row r="101" spans="1:37" x14ac:dyDescent="0.35">
      <c r="A101" s="2" t="s">
        <v>645</v>
      </c>
      <c r="B101" s="2" t="s">
        <v>646</v>
      </c>
      <c r="C101" s="2" t="s">
        <v>647</v>
      </c>
      <c r="D101" s="2" t="s">
        <v>414</v>
      </c>
      <c r="E101" s="2">
        <v>25</v>
      </c>
      <c r="F101" s="2" t="s">
        <v>28</v>
      </c>
      <c r="G101" s="2" t="s">
        <v>29</v>
      </c>
      <c r="H101" s="2">
        <v>20508756</v>
      </c>
      <c r="I101" s="2" t="s">
        <v>30</v>
      </c>
      <c r="J101" s="3">
        <v>45628</v>
      </c>
      <c r="K101" s="2" t="s">
        <v>31</v>
      </c>
      <c r="L101" s="2" t="s">
        <v>72</v>
      </c>
      <c r="M101" s="2" t="s">
        <v>73</v>
      </c>
      <c r="N101" s="2" t="s">
        <v>53</v>
      </c>
      <c r="O101" s="2" t="s">
        <v>648</v>
      </c>
      <c r="P101" s="2" t="s">
        <v>36</v>
      </c>
      <c r="Q101" s="2" t="s">
        <v>649</v>
      </c>
      <c r="R101" s="2">
        <v>15457</v>
      </c>
      <c r="S101" s="2" t="s">
        <v>37</v>
      </c>
      <c r="T101" s="2" t="s">
        <v>37</v>
      </c>
      <c r="U101" s="2" t="s">
        <v>76</v>
      </c>
      <c r="V101" s="3">
        <v>45628</v>
      </c>
      <c r="W101" s="2" t="s">
        <v>48</v>
      </c>
      <c r="X101" s="2" t="str">
        <f t="shared" si="4"/>
        <v>Jirón Pedro Sanchez Pedro Sánchez, Lurigancho, Lima, Lima, Perú</v>
      </c>
      <c r="Y101" s="22">
        <v>-11.983685100000001</v>
      </c>
      <c r="Z101" s="22">
        <v>-76.938517599999997</v>
      </c>
      <c r="AA101" s="33">
        <f t="shared" si="5"/>
        <v>4.46</v>
      </c>
      <c r="AB101" s="2" t="str">
        <f t="shared" si="6"/>
        <v>🟢 Muy Cerca (0-5 km)</v>
      </c>
      <c r="AC101" s="2" t="str" cm="1">
        <f t="array" ref="AC101">INDEX(PARADEROS_VALIDOS!$C$2:$C$68,MATCH(MIN(6371*ACOS(COS(RADIANS(Y101))*COS(RADIANS(PARADEROS_VALIDOS!$E$2:$E$68))*COS(RADIANS(PARADEROS_VALIDOS!$F$2:$F$68)-RADIANS(Z101))+SIN(RADIANS(Y101))*SIN(RADIANS(PARADEROS_VALIDOS!$E$2:$E$68)))),6371*ACOS(COS(RADIANS(Y101))*COS(RADIANS(PARADEROS_VALIDOS!$E$2:$E$68))*COS(RADIANS(PARADEROS_VALIDOS!$F$2:$F$68)-RADIANS(Z101))+SIN(RADIANS(Y101))*SIN(RADIANS(PARADEROS_VALIDOS!$E$2:$E$68))),0))</f>
        <v>Paradero Arco San Antonio</v>
      </c>
      <c r="AD101" s="2" t="str">
        <f>IFERROR(INDEX(PARADEROS_VALIDOS!$A$2:$A$68,MATCH(AC101,PARADEROS_VALIDOS!$C$2:$C$68,0)),"")</f>
        <v>RUTA 2</v>
      </c>
      <c r="AE101" s="33" cm="1">
        <f t="array" ref="AE101">ROUND(MIN(6371*ACOS(COS(RADIANS(Y101))*COS(RADIANS(PARADEROS_VALIDOS!$E$2:$E$68))*COS(RADIANS(PARADEROS_VALIDOS!$F$2:$F$68)-RADIANS(Z101))+SIN(RADIANS(Y101))*SIN(RADIANS(PARADEROS_VALIDOS!$E$2:$E$68)))),2)</f>
        <v>4</v>
      </c>
      <c r="AF101" s="2" t="str">
        <f t="shared" si="7"/>
        <v>🟠 Moderada (3-5 km)</v>
      </c>
      <c r="AG101" s="2"/>
      <c r="AH101" s="2"/>
      <c r="AI101" s="51">
        <v>-11.997563</v>
      </c>
      <c r="AJ101" s="51">
        <v>-76.900062000000005</v>
      </c>
      <c r="AK101" s="2" t="str">
        <f>IFERROR(VLOOKUP(I101,tdcargo[],2,FALSE),"DESCONOCIDO")</f>
        <v>OPERARIO</v>
      </c>
    </row>
    <row r="102" spans="1:37" x14ac:dyDescent="0.35">
      <c r="A102" s="2" t="s">
        <v>650</v>
      </c>
      <c r="B102" s="2" t="s">
        <v>651</v>
      </c>
      <c r="C102" s="2" t="s">
        <v>652</v>
      </c>
      <c r="D102" s="2" t="s">
        <v>653</v>
      </c>
      <c r="E102" s="2">
        <v>30</v>
      </c>
      <c r="F102" s="2" t="s">
        <v>28</v>
      </c>
      <c r="G102" s="2" t="s">
        <v>29</v>
      </c>
      <c r="H102" s="2">
        <v>20508963</v>
      </c>
      <c r="I102" s="2" t="s">
        <v>30</v>
      </c>
      <c r="J102" s="3">
        <v>45204</v>
      </c>
      <c r="K102" s="2" t="s">
        <v>31</v>
      </c>
      <c r="L102" s="2" t="s">
        <v>32</v>
      </c>
      <c r="M102" s="2" t="s">
        <v>33</v>
      </c>
      <c r="N102" s="2" t="s">
        <v>36</v>
      </c>
      <c r="O102" s="2" t="s">
        <v>654</v>
      </c>
      <c r="P102" s="2" t="s">
        <v>36</v>
      </c>
      <c r="Q102" s="2" t="s">
        <v>655</v>
      </c>
      <c r="R102" s="2">
        <v>15004</v>
      </c>
      <c r="S102" s="2" t="s">
        <v>37</v>
      </c>
      <c r="T102" s="2" t="s">
        <v>37</v>
      </c>
      <c r="U102" s="2" t="s">
        <v>57</v>
      </c>
      <c r="V102" s="3">
        <v>45204</v>
      </c>
      <c r="W102" s="2" t="s">
        <v>48</v>
      </c>
      <c r="X102" s="2" t="str">
        <f t="shared" si="4"/>
        <v>Ate Vitarte Vec 13 De Junio, Ate, Lima, Lima, Perú</v>
      </c>
      <c r="Y102" s="22">
        <v>-12.1839829</v>
      </c>
      <c r="Z102" s="22">
        <v>-76.9459959</v>
      </c>
      <c r="AA102" s="33">
        <f t="shared" si="5"/>
        <v>21.32</v>
      </c>
      <c r="AB102" s="2" t="str">
        <f t="shared" si="6"/>
        <v>🔴 Lejos (&gt;20 km)</v>
      </c>
      <c r="AC102" s="2" t="str" cm="1">
        <f t="array" ref="AC102">INDEX(PARADEROS_VALIDOS!$C$2:$C$68,MATCH(MIN(6371*ACOS(COS(RADIANS(Y102))*COS(RADIANS(PARADEROS_VALIDOS!$E$2:$E$68))*COS(RADIANS(PARADEROS_VALIDOS!$F$2:$F$68)-RADIANS(Z102))+SIN(RADIANS(Y102))*SIN(RADIANS(PARADEROS_VALIDOS!$E$2:$E$68)))),6371*ACOS(COS(RADIANS(Y102))*COS(RADIANS(PARADEROS_VALIDOS!$E$2:$E$68))*COS(RADIANS(PARADEROS_VALIDOS!$F$2:$F$68)-RADIANS(Z102))+SIN(RADIANS(Y102))*SIN(RADIANS(PARADEROS_VALIDOS!$E$2:$E$68))),0))</f>
        <v>Villa El Salvador (Cruce Av. 1ro de Mayo con ruta C)</v>
      </c>
      <c r="AD102" s="2" t="str">
        <f>IFERROR(INDEX(PARADEROS_VALIDOS!$A$2:$A$68,MATCH(AC102,PARADEROS_VALIDOS!$C$2:$C$68,0)),"")</f>
        <v>RUTA 7</v>
      </c>
      <c r="AE102" s="33" cm="1">
        <f t="array" ref="AE102">ROUND(MIN(6371*ACOS(COS(RADIANS(Y102))*COS(RADIANS(PARADEROS_VALIDOS!$E$2:$E$68))*COS(RADIANS(PARADEROS_VALIDOS!$F$2:$F$68)-RADIANS(Z102))+SIN(RADIANS(Y102))*SIN(RADIANS(PARADEROS_VALIDOS!$E$2:$E$68)))),2)</f>
        <v>2.02</v>
      </c>
      <c r="AF102" s="2" t="str">
        <f t="shared" si="7"/>
        <v>🟡 Cerca (1-3 km)</v>
      </c>
      <c r="AG102" s="2"/>
      <c r="AH102" s="2"/>
      <c r="AI102" s="51">
        <v>-11.997563</v>
      </c>
      <c r="AJ102" s="51">
        <v>-76.900062000000005</v>
      </c>
      <c r="AK102" s="2" t="str">
        <f>IFERROR(VLOOKUP(I102,tdcargo[],2,FALSE),"DESCONOCIDO")</f>
        <v>OPERARIO</v>
      </c>
    </row>
    <row r="103" spans="1:37" x14ac:dyDescent="0.35">
      <c r="A103" s="2" t="s">
        <v>656</v>
      </c>
      <c r="B103" s="2" t="s">
        <v>657</v>
      </c>
      <c r="C103" s="2" t="s">
        <v>467</v>
      </c>
      <c r="D103" s="2" t="s">
        <v>241</v>
      </c>
      <c r="E103" s="2">
        <v>27</v>
      </c>
      <c r="F103" s="2" t="s">
        <v>28</v>
      </c>
      <c r="G103" s="2" t="s">
        <v>29</v>
      </c>
      <c r="H103" s="2">
        <v>20510586</v>
      </c>
      <c r="I103" s="2" t="s">
        <v>30</v>
      </c>
      <c r="J103" s="3">
        <v>45600</v>
      </c>
      <c r="K103" s="2" t="s">
        <v>31</v>
      </c>
      <c r="L103" s="2" t="s">
        <v>72</v>
      </c>
      <c r="M103" s="2" t="s">
        <v>73</v>
      </c>
      <c r="N103" s="2" t="s">
        <v>34</v>
      </c>
      <c r="O103" s="2" t="s">
        <v>658</v>
      </c>
      <c r="P103" s="2" t="s">
        <v>36</v>
      </c>
      <c r="Q103" s="2">
        <v>0</v>
      </c>
      <c r="R103" s="2">
        <v>15004</v>
      </c>
      <c r="S103" s="2" t="s">
        <v>37</v>
      </c>
      <c r="T103" s="2" t="s">
        <v>37</v>
      </c>
      <c r="U103" s="2" t="s">
        <v>57</v>
      </c>
      <c r="V103" s="3">
        <v>45600</v>
      </c>
      <c r="W103" s="2" t="s">
        <v>48</v>
      </c>
      <c r="X103" s="2" t="str">
        <f t="shared" si="4"/>
        <v>Avenida Jose Carlos Mariategui, Ate, Lima, Lima, Perú</v>
      </c>
      <c r="Y103" s="22">
        <v>-12.004671800000001</v>
      </c>
      <c r="Z103" s="22">
        <v>-76.836039499999998</v>
      </c>
      <c r="AA103" s="33">
        <f t="shared" si="5"/>
        <v>7.01</v>
      </c>
      <c r="AB103" s="2" t="str">
        <f t="shared" si="6"/>
        <v>🟡 Cerca (5-10 km)</v>
      </c>
      <c r="AC103" s="2" t="str" cm="1">
        <f t="array" ref="AC103">INDEX(PARADEROS_VALIDOS!$C$2:$C$68,MATCH(MIN(6371*ACOS(COS(RADIANS(Y103))*COS(RADIANS(PARADEROS_VALIDOS!$E$2:$E$68))*COS(RADIANS(PARADEROS_VALIDOS!$F$2:$F$68)-RADIANS(Z103))+SIN(RADIANS(Y103))*SIN(RADIANS(PARADEROS_VALIDOS!$E$2:$E$68)))),6371*ACOS(COS(RADIANS(Y103))*COS(RADIANS(PARADEROS_VALIDOS!$E$2:$E$68))*COS(RADIANS(PARADEROS_VALIDOS!$F$2:$F$68)-RADIANS(Z103))+SIN(RADIANS(Y103))*SIN(RADIANS(PARADEROS_VALIDOS!$E$2:$E$68))),0))</f>
        <v>Entrada Huaycán</v>
      </c>
      <c r="AD103" s="2" t="str">
        <f>IFERROR(INDEX(PARADEROS_VALIDOS!$A$2:$A$68,MATCH(AC103,PARADEROS_VALIDOS!$C$2:$C$68,0)),"")</f>
        <v>RUTA 5B</v>
      </c>
      <c r="AE103" s="33" cm="1">
        <f t="array" ref="AE103">ROUND(MIN(6371*ACOS(COS(RADIANS(Y103))*COS(RADIANS(PARADEROS_VALIDOS!$E$2:$E$68))*COS(RADIANS(PARADEROS_VALIDOS!$F$2:$F$68)-RADIANS(Z103))+SIN(RADIANS(Y103))*SIN(RADIANS(PARADEROS_VALIDOS!$E$2:$E$68)))),2)</f>
        <v>0.55000000000000004</v>
      </c>
      <c r="AF103" s="2" t="str">
        <f t="shared" si="7"/>
        <v>🟢 Muy Cerca (0-1 km)</v>
      </c>
      <c r="AG103" s="2"/>
      <c r="AH103" s="2"/>
      <c r="AI103" s="51">
        <v>-11.997563</v>
      </c>
      <c r="AJ103" s="51">
        <v>-76.900062000000005</v>
      </c>
      <c r="AK103" s="2" t="str">
        <f>IFERROR(VLOOKUP(I103,tdcargo[],2,FALSE),"DESCONOCIDO")</f>
        <v>OPERARIO</v>
      </c>
    </row>
    <row r="104" spans="1:37" x14ac:dyDescent="0.35">
      <c r="A104" s="2" t="s">
        <v>659</v>
      </c>
      <c r="B104" s="2" t="s">
        <v>660</v>
      </c>
      <c r="C104" s="2" t="s">
        <v>661</v>
      </c>
      <c r="D104" s="2" t="s">
        <v>662</v>
      </c>
      <c r="E104" s="2">
        <v>19</v>
      </c>
      <c r="F104" s="2" t="s">
        <v>28</v>
      </c>
      <c r="G104" s="2" t="s">
        <v>29</v>
      </c>
      <c r="H104" s="2">
        <v>20514510</v>
      </c>
      <c r="I104" s="2" t="s">
        <v>30</v>
      </c>
      <c r="J104" s="3">
        <v>46037</v>
      </c>
      <c r="K104" s="2" t="s">
        <v>31</v>
      </c>
      <c r="L104" s="2" t="s">
        <v>132</v>
      </c>
      <c r="M104" s="2" t="s">
        <v>133</v>
      </c>
      <c r="N104" s="2" t="s">
        <v>82</v>
      </c>
      <c r="O104" s="2" t="s">
        <v>663</v>
      </c>
      <c r="P104" s="2" t="s">
        <v>36</v>
      </c>
      <c r="Q104" s="2" t="s">
        <v>664</v>
      </c>
      <c r="R104" s="2">
        <v>15401</v>
      </c>
      <c r="S104" s="2" t="s">
        <v>37</v>
      </c>
      <c r="T104" s="2" t="s">
        <v>37</v>
      </c>
      <c r="U104" s="2" t="s">
        <v>38</v>
      </c>
      <c r="V104" s="3">
        <v>46037</v>
      </c>
      <c r="W104" s="2" t="s">
        <v>135</v>
      </c>
      <c r="X104" s="2" t="str">
        <f t="shared" si="4"/>
        <v>Calle Psj Las Moras 197 CALLE, San Juan De Lurigancho, Lima, Lima, Perú</v>
      </c>
      <c r="Y104" s="22">
        <v>-11.9495252</v>
      </c>
      <c r="Z104" s="22">
        <v>-77.005179600000005</v>
      </c>
      <c r="AA104" s="33">
        <f t="shared" si="5"/>
        <v>12.62</v>
      </c>
      <c r="AB104" s="2" t="str">
        <f t="shared" si="6"/>
        <v>🟠 Moderada (10-20 km)</v>
      </c>
      <c r="AC104" s="2" t="str" cm="1">
        <f t="array" ref="AC104">INDEX(PARADEROS_VALIDOS!$C$2:$C$68,MATCH(MIN(6371*ACOS(COS(RADIANS(Y104))*COS(RADIANS(PARADEROS_VALIDOS!$E$2:$E$68))*COS(RADIANS(PARADEROS_VALIDOS!$F$2:$F$68)-RADIANS(Z104))+SIN(RADIANS(Y104))*SIN(RADIANS(PARADEROS_VALIDOS!$E$2:$E$68)))),6371*ACOS(COS(RADIANS(Y104))*COS(RADIANS(PARADEROS_VALIDOS!$E$2:$E$68))*COS(RADIANS(PARADEROS_VALIDOS!$F$2:$F$68)-RADIANS(Z104))+SIN(RADIANS(Y104))*SIN(RADIANS(PARADEROS_VALIDOS!$E$2:$E$68))),0))</f>
        <v>Paradero Acho</v>
      </c>
      <c r="AD104" s="2" t="str">
        <f>IFERROR(INDEX(PARADEROS_VALIDOS!$A$2:$A$68,MATCH(AC104,PARADEROS_VALIDOS!$C$2:$C$68,0)),"")</f>
        <v>RUTA 8</v>
      </c>
      <c r="AE104" s="33" cm="1">
        <f t="array" ref="AE104">ROUND(MIN(6371*ACOS(COS(RADIANS(Y104))*COS(RADIANS(PARADEROS_VALIDOS!$E$2:$E$68))*COS(RADIANS(PARADEROS_VALIDOS!$F$2:$F$68)-RADIANS(Z104))+SIN(RADIANS(Y104))*SIN(RADIANS(PARADEROS_VALIDOS!$E$2:$E$68)))),2)</f>
        <v>2.54</v>
      </c>
      <c r="AF104" s="2" t="str">
        <f t="shared" si="7"/>
        <v>🟡 Cerca (1-3 km)</v>
      </c>
      <c r="AG104" s="2"/>
      <c r="AH104" s="2"/>
      <c r="AI104" s="51">
        <v>-11.997563</v>
      </c>
      <c r="AJ104" s="51">
        <v>-76.900062000000005</v>
      </c>
      <c r="AK104" s="2" t="str">
        <f>IFERROR(VLOOKUP(I104,tdcargo[],2,FALSE),"DESCONOCIDO")</f>
        <v>OPERARIO</v>
      </c>
    </row>
    <row r="105" spans="1:37" x14ac:dyDescent="0.35">
      <c r="A105" s="2" t="s">
        <v>665</v>
      </c>
      <c r="B105" s="2" t="s">
        <v>666</v>
      </c>
      <c r="C105" s="2" t="s">
        <v>401</v>
      </c>
      <c r="D105" s="2" t="s">
        <v>667</v>
      </c>
      <c r="E105" s="2">
        <v>20</v>
      </c>
      <c r="F105" s="2" t="s">
        <v>28</v>
      </c>
      <c r="G105" s="2" t="s">
        <v>29</v>
      </c>
      <c r="H105" s="2">
        <v>20508863</v>
      </c>
      <c r="I105" s="2" t="s">
        <v>30</v>
      </c>
      <c r="J105" s="3">
        <v>46090</v>
      </c>
      <c r="K105" s="2" t="s">
        <v>31</v>
      </c>
      <c r="L105" s="2" t="s">
        <v>108</v>
      </c>
      <c r="M105" s="2" t="s">
        <v>109</v>
      </c>
      <c r="N105" s="2" t="s">
        <v>82</v>
      </c>
      <c r="O105" s="2" t="s">
        <v>668</v>
      </c>
      <c r="P105" s="2" t="s">
        <v>36</v>
      </c>
      <c r="Q105" s="2" t="s">
        <v>669</v>
      </c>
      <c r="R105" s="2">
        <v>15457</v>
      </c>
      <c r="S105" s="2" t="s">
        <v>37</v>
      </c>
      <c r="T105" s="2" t="s">
        <v>37</v>
      </c>
      <c r="U105" s="2" t="s">
        <v>76</v>
      </c>
      <c r="V105" s="3">
        <v>46090</v>
      </c>
      <c r="W105" s="2" t="s">
        <v>135</v>
      </c>
      <c r="X105" s="2" t="str">
        <f t="shared" si="4"/>
        <v>Calle Los Lirios SAN PEDRO SAN PABLO, Lurigancho, Lima, Lima, Perú</v>
      </c>
      <c r="Y105" s="22">
        <v>-12.001310200000001</v>
      </c>
      <c r="Z105" s="22">
        <v>-77.096490099999997</v>
      </c>
      <c r="AA105" s="33">
        <f t="shared" si="5"/>
        <v>21.37</v>
      </c>
      <c r="AB105" s="2" t="str">
        <f t="shared" si="6"/>
        <v>🔴 Lejos (&gt;20 km)</v>
      </c>
      <c r="AC105" s="2" t="str" cm="1">
        <f t="array" ref="AC105">INDEX(PARADEROS_VALIDOS!$C$2:$C$68,MATCH(MIN(6371*ACOS(COS(RADIANS(Y105))*COS(RADIANS(PARADEROS_VALIDOS!$E$2:$E$68))*COS(RADIANS(PARADEROS_VALIDOS!$F$2:$F$68)-RADIANS(Z105))+SIN(RADIANS(Y105))*SIN(RADIANS(PARADEROS_VALIDOS!$E$2:$E$68)))),6371*ACOS(COS(RADIANS(Y105))*COS(RADIANS(PARADEROS_VALIDOS!$E$2:$E$68))*COS(RADIANS(PARADEROS_VALIDOS!$F$2:$F$68)-RADIANS(Z105))+SIN(RADIANS(Y105))*SIN(RADIANS(PARADEROS_VALIDOS!$E$2:$E$68))),0))</f>
        <v>Paradero Universitaria con San German</v>
      </c>
      <c r="AD105" s="2" t="str">
        <f>IFERROR(INDEX(PARADEROS_VALIDOS!$A$2:$A$68,MATCH(AC105,PARADEROS_VALIDOS!$C$2:$C$68,0)),"")</f>
        <v>RUTA 8</v>
      </c>
      <c r="AE105" s="33" cm="1">
        <f t="array" ref="AE105">ROUND(MIN(6371*ACOS(COS(RADIANS(Y105))*COS(RADIANS(PARADEROS_VALIDOS!$E$2:$E$68))*COS(RADIANS(PARADEROS_VALIDOS!$F$2:$F$68)-RADIANS(Z105))+SIN(RADIANS(Y105))*SIN(RADIANS(PARADEROS_VALIDOS!$E$2:$E$68)))),2)</f>
        <v>1.78</v>
      </c>
      <c r="AF105" s="2" t="str">
        <f t="shared" si="7"/>
        <v>🟡 Cerca (1-3 km)</v>
      </c>
      <c r="AG105" s="2"/>
      <c r="AH105" s="2"/>
      <c r="AI105" s="51">
        <v>-11.997563</v>
      </c>
      <c r="AJ105" s="51">
        <v>-76.900062000000005</v>
      </c>
      <c r="AK105" s="2" t="str">
        <f>IFERROR(VLOOKUP(I105,tdcargo[],2,FALSE),"DESCONOCIDO")</f>
        <v>OPERARIO</v>
      </c>
    </row>
    <row r="106" spans="1:37" x14ac:dyDescent="0.35">
      <c r="A106" s="2" t="s">
        <v>670</v>
      </c>
      <c r="B106" s="2" t="s">
        <v>671</v>
      </c>
      <c r="C106" s="2" t="s">
        <v>672</v>
      </c>
      <c r="D106" s="2" t="s">
        <v>273</v>
      </c>
      <c r="E106" s="2">
        <v>21</v>
      </c>
      <c r="F106" s="2" t="s">
        <v>28</v>
      </c>
      <c r="G106" s="2" t="s">
        <v>29</v>
      </c>
      <c r="H106" s="2">
        <v>20508996</v>
      </c>
      <c r="I106" s="2" t="s">
        <v>30</v>
      </c>
      <c r="J106" s="3">
        <v>46083</v>
      </c>
      <c r="K106" s="2" t="s">
        <v>31</v>
      </c>
      <c r="L106" s="2" t="s">
        <v>63</v>
      </c>
      <c r="M106" s="2" t="s">
        <v>64</v>
      </c>
      <c r="N106" s="2" t="s">
        <v>82</v>
      </c>
      <c r="O106" s="2" t="s">
        <v>673</v>
      </c>
      <c r="P106" s="2" t="s">
        <v>36</v>
      </c>
      <c r="Q106" s="2" t="s">
        <v>674</v>
      </c>
      <c r="R106" s="2">
        <v>15001</v>
      </c>
      <c r="S106" s="2" t="s">
        <v>37</v>
      </c>
      <c r="T106" s="2" t="s">
        <v>37</v>
      </c>
      <c r="U106" s="2" t="s">
        <v>37</v>
      </c>
      <c r="V106" s="3">
        <v>46083</v>
      </c>
      <c r="W106" s="2" t="s">
        <v>135</v>
      </c>
      <c r="X106" s="2" t="str">
        <f t="shared" si="4"/>
        <v>Calle Ucv 23 B Lote 38 R Zona R, Lima, Lima, Lima, Perú</v>
      </c>
      <c r="Y106" s="22">
        <v>-12.0466888</v>
      </c>
      <c r="Z106" s="22">
        <v>-77.043088600000004</v>
      </c>
      <c r="AA106" s="33">
        <f t="shared" si="5"/>
        <v>16.489999999999998</v>
      </c>
      <c r="AB106" s="2" t="str">
        <f t="shared" si="6"/>
        <v>🟠 Moderada (10-20 km)</v>
      </c>
      <c r="AC106" s="2" t="str" cm="1">
        <f t="array" ref="AC106">INDEX(PARADEROS_VALIDOS!$C$2:$C$68,MATCH(MIN(6371*ACOS(COS(RADIANS(Y106))*COS(RADIANS(PARADEROS_VALIDOS!$E$2:$E$68))*COS(RADIANS(PARADEROS_VALIDOS!$F$2:$F$68)-RADIANS(Z106))+SIN(RADIANS(Y106))*SIN(RADIANS(PARADEROS_VALIDOS!$E$2:$E$68)))),6371*ACOS(COS(RADIANS(Y106))*COS(RADIANS(PARADEROS_VALIDOS!$E$2:$E$68))*COS(RADIANS(PARADEROS_VALIDOS!$F$2:$F$68)-RADIANS(Z106))+SIN(RADIANS(Y106))*SIN(RADIANS(PARADEROS_VALIDOS!$E$2:$E$68))),0))</f>
        <v>Paradero Rompemuelle</v>
      </c>
      <c r="AD106" s="2" t="str">
        <f>IFERROR(INDEX(PARADEROS_VALIDOS!$A$2:$A$68,MATCH(AC106,PARADEROS_VALIDOS!$C$2:$C$68,0)),"")</f>
        <v>RUTA 3</v>
      </c>
      <c r="AE106" s="33" cm="1">
        <f t="array" ref="AE106">ROUND(MIN(6371*ACOS(COS(RADIANS(Y106))*COS(RADIANS(PARADEROS_VALIDOS!$E$2:$E$68))*COS(RADIANS(PARADEROS_VALIDOS!$F$2:$F$68)-RADIANS(Z106))+SIN(RADIANS(Y106))*SIN(RADIANS(PARADEROS_VALIDOS!$E$2:$E$68)))),2)</f>
        <v>0</v>
      </c>
      <c r="AF106" s="2" t="str">
        <f t="shared" si="7"/>
        <v>🟢 Muy Cerca (0-1 km)</v>
      </c>
      <c r="AG106" s="2"/>
      <c r="AH106" s="2"/>
      <c r="AI106" s="51">
        <v>-11.997563</v>
      </c>
      <c r="AJ106" s="51">
        <v>-76.900062000000005</v>
      </c>
      <c r="AK106" s="2" t="str">
        <f>IFERROR(VLOOKUP(I106,tdcargo[],2,FALSE),"DESCONOCIDO")</f>
        <v>OPERARIO</v>
      </c>
    </row>
    <row r="107" spans="1:37" x14ac:dyDescent="0.35">
      <c r="A107" s="2" t="s">
        <v>675</v>
      </c>
      <c r="B107" s="2" t="s">
        <v>676</v>
      </c>
      <c r="C107" s="2" t="s">
        <v>677</v>
      </c>
      <c r="D107" s="2" t="s">
        <v>678</v>
      </c>
      <c r="E107" s="2">
        <v>36</v>
      </c>
      <c r="F107" s="2" t="s">
        <v>28</v>
      </c>
      <c r="G107" s="2" t="s">
        <v>29</v>
      </c>
      <c r="H107" s="2">
        <v>20515996</v>
      </c>
      <c r="I107" s="2" t="s">
        <v>307</v>
      </c>
      <c r="J107" s="3">
        <v>43243</v>
      </c>
      <c r="K107" s="2" t="s">
        <v>31</v>
      </c>
      <c r="L107" s="2" t="s">
        <v>32</v>
      </c>
      <c r="M107" s="2" t="s">
        <v>33</v>
      </c>
      <c r="N107" s="2" t="s">
        <v>36</v>
      </c>
      <c r="O107" s="2" t="s">
        <v>679</v>
      </c>
      <c r="P107" s="2" t="s">
        <v>88</v>
      </c>
      <c r="Q107" s="2" t="s">
        <v>679</v>
      </c>
      <c r="R107" s="2">
        <v>15004</v>
      </c>
      <c r="S107" s="2" t="s">
        <v>37</v>
      </c>
      <c r="T107" s="2" t="s">
        <v>37</v>
      </c>
      <c r="U107" s="2" t="s">
        <v>57</v>
      </c>
      <c r="V107" s="3">
        <v>43243</v>
      </c>
      <c r="W107" s="2" t="s">
        <v>48</v>
      </c>
      <c r="X107" s="2" t="str">
        <f t="shared" si="4"/>
        <v>Ucv 200, A.H. Asentamiento Humano Ucv 200, Ate, Lima, Lima, Perú</v>
      </c>
      <c r="Y107" s="22">
        <v>-12.0100449</v>
      </c>
      <c r="Z107" s="22">
        <v>-76.827822800000007</v>
      </c>
      <c r="AA107" s="33">
        <f t="shared" si="5"/>
        <v>7.98</v>
      </c>
      <c r="AB107" s="2" t="str">
        <f t="shared" si="6"/>
        <v>🟡 Cerca (5-10 km)</v>
      </c>
      <c r="AC107" s="2" t="str" cm="1">
        <f t="array" ref="AC107">INDEX(PARADEROS_VALIDOS!$C$2:$C$68,MATCH(MIN(6371*ACOS(COS(RADIANS(Y107))*COS(RADIANS(PARADEROS_VALIDOS!$E$2:$E$68))*COS(RADIANS(PARADEROS_VALIDOS!$F$2:$F$68)-RADIANS(Z107))+SIN(RADIANS(Y107))*SIN(RADIANS(PARADEROS_VALIDOS!$E$2:$E$68)))),6371*ACOS(COS(RADIANS(Y107))*COS(RADIANS(PARADEROS_VALIDOS!$E$2:$E$68))*COS(RADIANS(PARADEROS_VALIDOS!$F$2:$F$68)-RADIANS(Z107))+SIN(RADIANS(Y107))*SIN(RADIANS(PARADEROS_VALIDOS!$E$2:$E$68))),0))</f>
        <v>Entrada Horacio</v>
      </c>
      <c r="AD107" s="2" t="str">
        <f>IFERROR(INDEX(PARADEROS_VALIDOS!$A$2:$A$68,MATCH(AC107,PARADEROS_VALIDOS!$C$2:$C$68,0)),"")</f>
        <v>RUTA 5B</v>
      </c>
      <c r="AE107" s="33" cm="1">
        <f t="array" ref="AE107">ROUND(MIN(6371*ACOS(COS(RADIANS(Y107))*COS(RADIANS(PARADEROS_VALIDOS!$E$2:$E$68))*COS(RADIANS(PARADEROS_VALIDOS!$F$2:$F$68)-RADIANS(Z107))+SIN(RADIANS(Y107))*SIN(RADIANS(PARADEROS_VALIDOS!$E$2:$E$68)))),2)</f>
        <v>1.56</v>
      </c>
      <c r="AF107" s="2" t="str">
        <f t="shared" si="7"/>
        <v>🟡 Cerca (1-3 km)</v>
      </c>
      <c r="AG107" s="2"/>
      <c r="AH107" s="2"/>
      <c r="AI107" s="51">
        <v>-11.997563</v>
      </c>
      <c r="AJ107" s="51">
        <v>-76.900062000000005</v>
      </c>
      <c r="AK107" s="2" t="str">
        <f>IFERROR(VLOOKUP(I107,tdcargo[],2,FALSE),"DESCONOCIDO")</f>
        <v>OPERARIO</v>
      </c>
    </row>
    <row r="108" spans="1:37" x14ac:dyDescent="0.35">
      <c r="A108" s="2" t="s">
        <v>680</v>
      </c>
      <c r="B108" s="2" t="s">
        <v>681</v>
      </c>
      <c r="C108" s="2" t="s">
        <v>682</v>
      </c>
      <c r="D108" s="2" t="s">
        <v>683</v>
      </c>
      <c r="E108" s="2">
        <v>27</v>
      </c>
      <c r="F108" s="2" t="s">
        <v>28</v>
      </c>
      <c r="G108" s="2" t="s">
        <v>29</v>
      </c>
      <c r="H108" s="2">
        <v>20514997</v>
      </c>
      <c r="I108" s="2" t="s">
        <v>336</v>
      </c>
      <c r="J108" s="3">
        <v>45964</v>
      </c>
      <c r="K108" s="2" t="s">
        <v>31</v>
      </c>
      <c r="L108" s="2" t="s">
        <v>328</v>
      </c>
      <c r="M108" s="2" t="s">
        <v>329</v>
      </c>
      <c r="N108" s="2" t="s">
        <v>82</v>
      </c>
      <c r="O108" s="2" t="s">
        <v>684</v>
      </c>
      <c r="P108" s="2" t="s">
        <v>36</v>
      </c>
      <c r="Q108" s="2" t="s">
        <v>685</v>
      </c>
      <c r="R108" s="2">
        <v>15121</v>
      </c>
      <c r="S108" s="2" t="s">
        <v>37</v>
      </c>
      <c r="T108" s="2" t="s">
        <v>37</v>
      </c>
      <c r="U108" s="2" t="s">
        <v>686</v>
      </c>
      <c r="V108" s="3">
        <v>45964</v>
      </c>
      <c r="W108" s="2" t="s">
        <v>39</v>
      </c>
      <c r="X108" s="2" t="str">
        <f t="shared" si="4"/>
        <v>Calle Caudivilla Los Sauces De Caraba, Carabayllo, Lima, Lima, Perú</v>
      </c>
      <c r="Y108" s="22">
        <v>-11.8734766</v>
      </c>
      <c r="Z108" s="22">
        <v>-77.045755</v>
      </c>
      <c r="AA108" s="33">
        <f t="shared" si="5"/>
        <v>21.01</v>
      </c>
      <c r="AB108" s="2" t="str">
        <f t="shared" si="6"/>
        <v>🔴 Lejos (&gt;20 km)</v>
      </c>
      <c r="AC108" s="2" t="str" cm="1">
        <f t="array" ref="AC108">INDEX(PARADEROS_VALIDOS!$C$2:$C$68,MATCH(MIN(6371*ACOS(COS(RADIANS(Y108))*COS(RADIANS(PARADEROS_VALIDOS!$E$2:$E$68))*COS(RADIANS(PARADEROS_VALIDOS!$F$2:$F$68)-RADIANS(Z108))+SIN(RADIANS(Y108))*SIN(RADIANS(PARADEROS_VALIDOS!$E$2:$E$68)))),6371*ACOS(COS(RADIANS(Y108))*COS(RADIANS(PARADEROS_VALIDOS!$E$2:$E$68))*COS(RADIANS(PARADEROS_VALIDOS!$F$2:$F$68)-RADIANS(Z108))+SIN(RADIANS(Y108))*SIN(RADIANS(PARADEROS_VALIDOS!$E$2:$E$68))),0))</f>
        <v>Paradero Cesar Vallejo</v>
      </c>
      <c r="AD108" s="2" t="str">
        <f>IFERROR(INDEX(PARADEROS_VALIDOS!$A$2:$A$68,MATCH(AC108,PARADEROS_VALIDOS!$C$2:$C$68,0)),"")</f>
        <v>RUTA 4B</v>
      </c>
      <c r="AE108" s="33" cm="1">
        <f t="array" ref="AE108">ROUND(MIN(6371*ACOS(COS(RADIANS(Y108))*COS(RADIANS(PARADEROS_VALIDOS!$E$2:$E$68))*COS(RADIANS(PARADEROS_VALIDOS!$F$2:$F$68)-RADIANS(Z108))+SIN(RADIANS(Y108))*SIN(RADIANS(PARADEROS_VALIDOS!$E$2:$E$68)))),2)</f>
        <v>8.89</v>
      </c>
      <c r="AF108" s="2" t="str">
        <f t="shared" si="7"/>
        <v>🔴 Lejos (&gt;5 km)</v>
      </c>
      <c r="AG108" s="2"/>
      <c r="AH108" s="2"/>
      <c r="AI108" s="51">
        <v>-11.997563</v>
      </c>
      <c r="AJ108" s="51">
        <v>-76.900062000000005</v>
      </c>
      <c r="AK108" s="2" t="str">
        <f>IFERROR(VLOOKUP(I108,tdcargo[],2,FALSE),"DESCONOCIDO")</f>
        <v>STAFF</v>
      </c>
    </row>
    <row r="109" spans="1:37" x14ac:dyDescent="0.35">
      <c r="A109" s="2" t="s">
        <v>125</v>
      </c>
      <c r="B109" s="2" t="s">
        <v>687</v>
      </c>
      <c r="C109" s="2" t="s">
        <v>343</v>
      </c>
      <c r="D109" s="2" t="s">
        <v>688</v>
      </c>
      <c r="E109" s="2">
        <v>37</v>
      </c>
      <c r="F109" s="2" t="s">
        <v>28</v>
      </c>
      <c r="G109" s="2" t="s">
        <v>29</v>
      </c>
      <c r="H109" s="2">
        <v>20508721</v>
      </c>
      <c r="I109" s="2" t="s">
        <v>689</v>
      </c>
      <c r="J109" s="3">
        <v>43535</v>
      </c>
      <c r="K109" s="2" t="s">
        <v>31</v>
      </c>
      <c r="L109" s="2" t="s">
        <v>328</v>
      </c>
      <c r="M109" s="2" t="s">
        <v>329</v>
      </c>
      <c r="N109" s="2" t="s">
        <v>82</v>
      </c>
      <c r="O109" s="2" t="s">
        <v>690</v>
      </c>
      <c r="P109" s="2" t="s">
        <v>186</v>
      </c>
      <c r="Q109" s="2"/>
      <c r="R109" s="2">
        <v>15084</v>
      </c>
      <c r="S109" s="2" t="s">
        <v>37</v>
      </c>
      <c r="T109" s="2" t="s">
        <v>37</v>
      </c>
      <c r="U109" s="2" t="s">
        <v>691</v>
      </c>
      <c r="V109" s="3">
        <v>45722</v>
      </c>
      <c r="W109" s="2" t="s">
        <v>125</v>
      </c>
      <c r="X109" s="2" t="str">
        <f t="shared" si="4"/>
        <v>Calle Eleazar Blanco 348, Urb. Urbanización, Pueblo Libre, Lima, Lima, Perú</v>
      </c>
      <c r="Y109" s="22">
        <v>-12.078266299999999</v>
      </c>
      <c r="Z109" s="22">
        <v>-77.069095899999994</v>
      </c>
      <c r="AA109" s="33">
        <f t="shared" si="5"/>
        <v>20.46</v>
      </c>
      <c r="AB109" s="2" t="str">
        <f t="shared" si="6"/>
        <v>🔴 Lejos (&gt;20 km)</v>
      </c>
      <c r="AC109" s="2" t="str" cm="1">
        <f t="array" ref="AC109">INDEX(PARADEROS_VALIDOS!$C$2:$C$68,MATCH(MIN(6371*ACOS(COS(RADIANS(Y109))*COS(RADIANS(PARADEROS_VALIDOS!$E$2:$E$68))*COS(RADIANS(PARADEROS_VALIDOS!$F$2:$F$68)-RADIANS(Z109))+SIN(RADIANS(Y109))*SIN(RADIANS(PARADEROS_VALIDOS!$E$2:$E$68)))),6371*ACOS(COS(RADIANS(Y109))*COS(RADIANS(PARADEROS_VALIDOS!$E$2:$E$68))*COS(RADIANS(PARADEROS_VALIDOS!$F$2:$F$68)-RADIANS(Z109))+SIN(RADIANS(Y109))*SIN(RADIANS(PARADEROS_VALIDOS!$E$2:$E$68))),0))</f>
        <v>Universitaria con La Marina</v>
      </c>
      <c r="AD109" s="2" t="str">
        <f>IFERROR(INDEX(PARADEROS_VALIDOS!$A$2:$A$68,MATCH(AC109,PARADEROS_VALIDOS!$C$2:$C$68,0)),"")</f>
        <v>RUTA 9</v>
      </c>
      <c r="AE109" s="33" cm="1">
        <f t="array" ref="AE109">ROUND(MIN(6371*ACOS(COS(RADIANS(Y109))*COS(RADIANS(PARADEROS_VALIDOS!$E$2:$E$68))*COS(RADIANS(PARADEROS_VALIDOS!$F$2:$F$68)-RADIANS(Z109))+SIN(RADIANS(Y109))*SIN(RADIANS(PARADEROS_VALIDOS!$E$2:$E$68)))),2)</f>
        <v>1.38</v>
      </c>
      <c r="AF109" s="2" t="str">
        <f t="shared" si="7"/>
        <v>🟡 Cerca (1-3 km)</v>
      </c>
      <c r="AG109" s="2"/>
      <c r="AH109" s="2"/>
      <c r="AI109" s="51">
        <v>-11.997563</v>
      </c>
      <c r="AJ109" s="51">
        <v>-76.900062000000005</v>
      </c>
      <c r="AK109" s="2" t="str">
        <f>IFERROR(VLOOKUP(I109,tdcargo[],2,FALSE),"DESCONOCIDO")</f>
        <v>STAFF</v>
      </c>
    </row>
    <row r="110" spans="1:37" x14ac:dyDescent="0.35">
      <c r="A110" s="2" t="s">
        <v>692</v>
      </c>
      <c r="B110" s="2" t="s">
        <v>693</v>
      </c>
      <c r="C110" s="2" t="s">
        <v>219</v>
      </c>
      <c r="D110" s="2" t="s">
        <v>694</v>
      </c>
      <c r="E110" s="2">
        <v>29</v>
      </c>
      <c r="F110" s="2" t="s">
        <v>28</v>
      </c>
      <c r="G110" s="2" t="s">
        <v>29</v>
      </c>
      <c r="H110" s="2">
        <v>20508807</v>
      </c>
      <c r="I110" s="2" t="s">
        <v>30</v>
      </c>
      <c r="J110" s="3">
        <v>46097</v>
      </c>
      <c r="K110" s="2" t="s">
        <v>31</v>
      </c>
      <c r="L110" s="2" t="s">
        <v>108</v>
      </c>
      <c r="M110" s="2" t="s">
        <v>109</v>
      </c>
      <c r="N110" s="2" t="s">
        <v>82</v>
      </c>
      <c r="O110" s="2" t="s">
        <v>695</v>
      </c>
      <c r="P110" s="2" t="s">
        <v>36</v>
      </c>
      <c r="Q110" s="2" t="s">
        <v>696</v>
      </c>
      <c r="R110" s="2">
        <v>15457</v>
      </c>
      <c r="S110" s="2" t="s">
        <v>37</v>
      </c>
      <c r="T110" s="2" t="s">
        <v>37</v>
      </c>
      <c r="U110" s="2" t="s">
        <v>76</v>
      </c>
      <c r="V110" s="3">
        <v>46097</v>
      </c>
      <c r="W110" s="2" t="s">
        <v>135</v>
      </c>
      <c r="X110" s="2" t="str">
        <f t="shared" si="4"/>
        <v>Calle Quirio Nicolas Pier QUIRIO, Lurigancho, Lima, Lima, Perú</v>
      </c>
      <c r="Y110" s="22">
        <v>-11.957208899999999</v>
      </c>
      <c r="Z110" s="22">
        <v>-76.934134400000005</v>
      </c>
      <c r="AA110" s="33">
        <f t="shared" si="5"/>
        <v>5.82</v>
      </c>
      <c r="AB110" s="2" t="str">
        <f t="shared" si="6"/>
        <v>🟡 Cerca (5-10 km)</v>
      </c>
      <c r="AC110" s="2" t="str" cm="1">
        <f t="array" ref="AC110">INDEX(PARADEROS_VALIDOS!$C$2:$C$68,MATCH(MIN(6371*ACOS(COS(RADIANS(Y110))*COS(RADIANS(PARADEROS_VALIDOS!$E$2:$E$68))*COS(RADIANS(PARADEROS_VALIDOS!$F$2:$F$68)-RADIANS(Z110))+SIN(RADIANS(Y110))*SIN(RADIANS(PARADEROS_VALIDOS!$E$2:$E$68)))),6371*ACOS(COS(RADIANS(Y110))*COS(RADIANS(PARADEROS_VALIDOS!$E$2:$E$68))*COS(RADIANS(PARADEROS_VALIDOS!$F$2:$F$68)-RADIANS(Z110))+SIN(RADIANS(Y110))*SIN(RADIANS(PARADEROS_VALIDOS!$E$2:$E$68))),0))</f>
        <v>Paradero Arco San Antonio</v>
      </c>
      <c r="AD110" s="2" t="str">
        <f>IFERROR(INDEX(PARADEROS_VALIDOS!$A$2:$A$68,MATCH(AC110,PARADEROS_VALIDOS!$C$2:$C$68,0)),"")</f>
        <v>RUTA 2</v>
      </c>
      <c r="AE110" s="33" cm="1">
        <f t="array" ref="AE110">ROUND(MIN(6371*ACOS(COS(RADIANS(Y110))*COS(RADIANS(PARADEROS_VALIDOS!$E$2:$E$68))*COS(RADIANS(PARADEROS_VALIDOS!$F$2:$F$68)-RADIANS(Z110))+SIN(RADIANS(Y110))*SIN(RADIANS(PARADEROS_VALIDOS!$E$2:$E$68)))),2)</f>
        <v>5.26</v>
      </c>
      <c r="AF110" s="2" t="str">
        <f t="shared" si="7"/>
        <v>🔴 Lejos (&gt;5 km)</v>
      </c>
      <c r="AG110" s="2"/>
      <c r="AH110" s="2"/>
      <c r="AI110" s="51">
        <v>-11.997563</v>
      </c>
      <c r="AJ110" s="51">
        <v>-76.900062000000005</v>
      </c>
      <c r="AK110" s="2" t="str">
        <f>IFERROR(VLOOKUP(I110,tdcargo[],2,FALSE),"DESCONOCIDO")</f>
        <v>OPERARIO</v>
      </c>
    </row>
    <row r="111" spans="1:37" x14ac:dyDescent="0.35">
      <c r="A111" s="2" t="s">
        <v>697</v>
      </c>
      <c r="B111" s="2" t="s">
        <v>698</v>
      </c>
      <c r="C111" s="2" t="s">
        <v>467</v>
      </c>
      <c r="D111" s="2" t="s">
        <v>699</v>
      </c>
      <c r="E111" s="2">
        <v>32</v>
      </c>
      <c r="F111" s="2" t="s">
        <v>28</v>
      </c>
      <c r="G111" s="2" t="s">
        <v>29</v>
      </c>
      <c r="H111" s="2">
        <v>20509019</v>
      </c>
      <c r="I111" s="2" t="s">
        <v>30</v>
      </c>
      <c r="J111" s="3">
        <v>46097</v>
      </c>
      <c r="K111" s="2" t="s">
        <v>31</v>
      </c>
      <c r="L111" s="2" t="s">
        <v>146</v>
      </c>
      <c r="M111" s="2" t="s">
        <v>147</v>
      </c>
      <c r="N111" s="2" t="s">
        <v>34</v>
      </c>
      <c r="O111" s="2" t="s">
        <v>700</v>
      </c>
      <c r="P111" s="2" t="s">
        <v>36</v>
      </c>
      <c r="Q111" s="2" t="s">
        <v>701</v>
      </c>
      <c r="R111" s="2">
        <v>15457</v>
      </c>
      <c r="S111" s="2" t="s">
        <v>37</v>
      </c>
      <c r="T111" s="2" t="s">
        <v>37</v>
      </c>
      <c r="U111" s="2" t="s">
        <v>76</v>
      </c>
      <c r="V111" s="3">
        <v>46097</v>
      </c>
      <c r="W111" s="2" t="s">
        <v>135</v>
      </c>
      <c r="X111" s="2" t="str">
        <f t="shared" si="4"/>
        <v>Avenida Napoles SECTOR LOS OLIVOS, Lurigancho, Lima, Lima, Perú</v>
      </c>
      <c r="Y111" s="22">
        <v>-11.9782929</v>
      </c>
      <c r="Z111" s="22">
        <v>-76.937892700000006</v>
      </c>
      <c r="AA111" s="33">
        <f t="shared" si="5"/>
        <v>4.6399999999999997</v>
      </c>
      <c r="AB111" s="2" t="str">
        <f t="shared" si="6"/>
        <v>🟢 Muy Cerca (0-5 km)</v>
      </c>
      <c r="AC111" s="2" t="str" cm="1">
        <f t="array" ref="AC111">INDEX(PARADEROS_VALIDOS!$C$2:$C$68,MATCH(MIN(6371*ACOS(COS(RADIANS(Y111))*COS(RADIANS(PARADEROS_VALIDOS!$E$2:$E$68))*COS(RADIANS(PARADEROS_VALIDOS!$F$2:$F$68)-RADIANS(Z111))+SIN(RADIANS(Y111))*SIN(RADIANS(PARADEROS_VALIDOS!$E$2:$E$68)))),6371*ACOS(COS(RADIANS(Y111))*COS(RADIANS(PARADEROS_VALIDOS!$E$2:$E$68))*COS(RADIANS(PARADEROS_VALIDOS!$F$2:$F$68)-RADIANS(Z111))+SIN(RADIANS(Y111))*SIN(RADIANS(PARADEROS_VALIDOS!$E$2:$E$68))),0))</f>
        <v>Paradero Arco San Antonio</v>
      </c>
      <c r="AD111" s="2" t="str">
        <f>IFERROR(INDEX(PARADEROS_VALIDOS!$A$2:$A$68,MATCH(AC111,PARADEROS_VALIDOS!$C$2:$C$68,0)),"")</f>
        <v>RUTA 2</v>
      </c>
      <c r="AE111" s="33" cm="1">
        <f t="array" ref="AE111">ROUND(MIN(6371*ACOS(COS(RADIANS(Y111))*COS(RADIANS(PARADEROS_VALIDOS!$E$2:$E$68))*COS(RADIANS(PARADEROS_VALIDOS!$F$2:$F$68)-RADIANS(Z111))+SIN(RADIANS(Y111))*SIN(RADIANS(PARADEROS_VALIDOS!$E$2:$E$68)))),2)</f>
        <v>4.1399999999999997</v>
      </c>
      <c r="AF111" s="2" t="str">
        <f t="shared" si="7"/>
        <v>🟠 Moderada (3-5 km)</v>
      </c>
      <c r="AG111" s="2"/>
      <c r="AH111" s="2"/>
      <c r="AI111" s="51">
        <v>-11.997563</v>
      </c>
      <c r="AJ111" s="51">
        <v>-76.900062000000005</v>
      </c>
      <c r="AK111" s="2" t="str">
        <f>IFERROR(VLOOKUP(I111,tdcargo[],2,FALSE),"DESCONOCIDO")</f>
        <v>OPERARIO</v>
      </c>
    </row>
    <row r="112" spans="1:37" x14ac:dyDescent="0.35">
      <c r="A112" s="2" t="s">
        <v>702</v>
      </c>
      <c r="B112" s="2" t="s">
        <v>703</v>
      </c>
      <c r="C112" s="2" t="s">
        <v>385</v>
      </c>
      <c r="D112" s="2" t="s">
        <v>704</v>
      </c>
      <c r="E112" s="2">
        <v>18</v>
      </c>
      <c r="F112" s="2" t="s">
        <v>28</v>
      </c>
      <c r="G112" s="2" t="s">
        <v>29</v>
      </c>
      <c r="H112" s="2">
        <v>20508873</v>
      </c>
      <c r="I112" s="2" t="s">
        <v>30</v>
      </c>
      <c r="J112" s="3">
        <v>46097</v>
      </c>
      <c r="K112" s="2" t="s">
        <v>31</v>
      </c>
      <c r="L112" s="2" t="s">
        <v>108</v>
      </c>
      <c r="M112" s="2" t="s">
        <v>109</v>
      </c>
      <c r="N112" s="2" t="s">
        <v>36</v>
      </c>
      <c r="O112" s="2" t="s">
        <v>705</v>
      </c>
      <c r="P112" s="2" t="s">
        <v>36</v>
      </c>
      <c r="Q112" s="2" t="s">
        <v>706</v>
      </c>
      <c r="R112" s="2">
        <v>15004</v>
      </c>
      <c r="S112" s="2" t="s">
        <v>37</v>
      </c>
      <c r="T112" s="2" t="s">
        <v>37</v>
      </c>
      <c r="U112" s="2" t="s">
        <v>57</v>
      </c>
      <c r="V112" s="3">
        <v>46097</v>
      </c>
      <c r="W112" s="2" t="s">
        <v>135</v>
      </c>
      <c r="X112" s="2" t="str">
        <f t="shared" si="4"/>
        <v>Huaycan ZONA Z, Ate, Lima, Lima, Perú</v>
      </c>
      <c r="Y112" s="22">
        <v>-12.0109124</v>
      </c>
      <c r="Z112" s="22">
        <v>-76.799288000000004</v>
      </c>
      <c r="AA112" s="33">
        <f t="shared" si="5"/>
        <v>11.06</v>
      </c>
      <c r="AB112" s="2" t="str">
        <f t="shared" si="6"/>
        <v>🟠 Moderada (10-20 km)</v>
      </c>
      <c r="AC112" s="2" t="str" cm="1">
        <f t="array" ref="AC112">INDEX(PARADEROS_VALIDOS!$C$2:$C$68,MATCH(MIN(6371*ACOS(COS(RADIANS(Y112))*COS(RADIANS(PARADEROS_VALIDOS!$E$2:$E$68))*COS(RADIANS(PARADEROS_VALIDOS!$F$2:$F$68)-RADIANS(Z112))+SIN(RADIANS(Y112))*SIN(RADIANS(PARADEROS_VALIDOS!$E$2:$E$68)))),6371*ACOS(COS(RADIANS(Y112))*COS(RADIANS(PARADEROS_VALIDOS!$E$2:$E$68))*COS(RADIANS(PARADEROS_VALIDOS!$F$2:$F$68)-RADIANS(Z112))+SIN(RADIANS(Y112))*SIN(RADIANS(PARADEROS_VALIDOS!$E$2:$E$68))),0))</f>
        <v>Paradero Aurora</v>
      </c>
      <c r="AD112" s="2" t="str">
        <f>IFERROR(INDEX(PARADEROS_VALIDOS!$A$2:$A$68,MATCH(AC112,PARADEROS_VALIDOS!$C$2:$C$68,0)),"")</f>
        <v>RUTA 3</v>
      </c>
      <c r="AE112" s="33" cm="1">
        <f t="array" ref="AE112">ROUND(MIN(6371*ACOS(COS(RADIANS(Y112))*COS(RADIANS(PARADEROS_VALIDOS!$E$2:$E$68))*COS(RADIANS(PARADEROS_VALIDOS!$F$2:$F$68)-RADIANS(Z112))+SIN(RADIANS(Y112))*SIN(RADIANS(PARADEROS_VALIDOS!$E$2:$E$68)))),2)</f>
        <v>3.03</v>
      </c>
      <c r="AF112" s="2" t="str">
        <f t="shared" si="7"/>
        <v>🟠 Moderada (3-5 km)</v>
      </c>
      <c r="AG112" s="2"/>
      <c r="AH112" s="2"/>
      <c r="AI112" s="51">
        <v>-11.997563</v>
      </c>
      <c r="AJ112" s="51">
        <v>-76.900062000000005</v>
      </c>
      <c r="AK112" s="2" t="str">
        <f>IFERROR(VLOOKUP(I112,tdcargo[],2,FALSE),"DESCONOCIDO")</f>
        <v>OPERARIO</v>
      </c>
    </row>
    <row r="113" spans="1:37" x14ac:dyDescent="0.35">
      <c r="A113" s="2" t="s">
        <v>707</v>
      </c>
      <c r="B113" s="2" t="s">
        <v>708</v>
      </c>
      <c r="C113" s="2" t="s">
        <v>709</v>
      </c>
      <c r="D113" s="2" t="s">
        <v>42</v>
      </c>
      <c r="E113" s="2">
        <v>34</v>
      </c>
      <c r="F113" s="2" t="s">
        <v>28</v>
      </c>
      <c r="G113" s="2" t="s">
        <v>29</v>
      </c>
      <c r="H113" s="2">
        <v>20509008</v>
      </c>
      <c r="I113" s="2" t="s">
        <v>372</v>
      </c>
      <c r="J113" s="3">
        <v>42908</v>
      </c>
      <c r="K113" s="2" t="s">
        <v>31</v>
      </c>
      <c r="L113" s="2" t="s">
        <v>373</v>
      </c>
      <c r="M113" s="2" t="s">
        <v>374</v>
      </c>
      <c r="N113" s="2" t="s">
        <v>34</v>
      </c>
      <c r="O113" s="2" t="s">
        <v>710</v>
      </c>
      <c r="P113" s="2" t="s">
        <v>36</v>
      </c>
      <c r="Q113" s="2" t="s">
        <v>711</v>
      </c>
      <c r="R113" s="2">
        <v>15472</v>
      </c>
      <c r="S113" s="2" t="s">
        <v>37</v>
      </c>
      <c r="T113" s="2" t="s">
        <v>37</v>
      </c>
      <c r="U113" s="2" t="s">
        <v>118</v>
      </c>
      <c r="V113" s="3">
        <v>42908</v>
      </c>
      <c r="W113" s="2" t="s">
        <v>48</v>
      </c>
      <c r="X113" s="2" t="str">
        <f t="shared" si="4"/>
        <v>Avenida Las Retamas Villa Rica, Chaclacayo, Lima, Lima, Perú</v>
      </c>
      <c r="Y113" s="22">
        <v>-11.994483199999999</v>
      </c>
      <c r="Z113" s="22">
        <v>-76.828735499999993</v>
      </c>
      <c r="AA113" s="33">
        <f t="shared" si="5"/>
        <v>7.77</v>
      </c>
      <c r="AB113" s="2" t="str">
        <f t="shared" si="6"/>
        <v>🟡 Cerca (5-10 km)</v>
      </c>
      <c r="AC113" s="2" t="str" cm="1">
        <f t="array" ref="AC113">INDEX(PARADEROS_VALIDOS!$C$2:$C$68,MATCH(MIN(6371*ACOS(COS(RADIANS(Y113))*COS(RADIANS(PARADEROS_VALIDOS!$E$2:$E$68))*COS(RADIANS(PARADEROS_VALIDOS!$F$2:$F$68)-RADIANS(Z113))+SIN(RADIANS(Y113))*SIN(RADIANS(PARADEROS_VALIDOS!$E$2:$E$68)))),6371*ACOS(COS(RADIANS(Y113))*COS(RADIANS(PARADEROS_VALIDOS!$E$2:$E$68))*COS(RADIANS(PARADEROS_VALIDOS!$F$2:$F$68)-RADIANS(Z113))+SIN(RADIANS(Y113))*SIN(RADIANS(PARADEROS_VALIDOS!$E$2:$E$68))),0))</f>
        <v>Entrada Huaycán</v>
      </c>
      <c r="AD113" s="2" t="str">
        <f>IFERROR(INDEX(PARADEROS_VALIDOS!$A$2:$A$68,MATCH(AC113,PARADEROS_VALIDOS!$C$2:$C$68,0)),"")</f>
        <v>RUTA 5B</v>
      </c>
      <c r="AE113" s="33" cm="1">
        <f t="array" ref="AE113">ROUND(MIN(6371*ACOS(COS(RADIANS(Y113))*COS(RADIANS(PARADEROS_VALIDOS!$E$2:$E$68))*COS(RADIANS(PARADEROS_VALIDOS!$F$2:$F$68)-RADIANS(Z113))+SIN(RADIANS(Y113))*SIN(RADIANS(PARADEROS_VALIDOS!$E$2:$E$68)))),2)</f>
        <v>1.25</v>
      </c>
      <c r="AF113" s="2" t="str">
        <f t="shared" si="7"/>
        <v>🟡 Cerca (1-3 km)</v>
      </c>
      <c r="AG113" s="2"/>
      <c r="AH113" s="2"/>
      <c r="AI113" s="51">
        <v>-11.997563</v>
      </c>
      <c r="AJ113" s="51">
        <v>-76.900062000000005</v>
      </c>
      <c r="AK113" s="2" t="str">
        <f>IFERROR(VLOOKUP(I113,tdcargo[],2,FALSE),"DESCONOCIDO")</f>
        <v>OPERARIO</v>
      </c>
    </row>
    <row r="114" spans="1:37" x14ac:dyDescent="0.35">
      <c r="A114" s="2" t="s">
        <v>712</v>
      </c>
      <c r="B114" s="2" t="s">
        <v>713</v>
      </c>
      <c r="C114" s="2" t="s">
        <v>714</v>
      </c>
      <c r="D114" s="2" t="s">
        <v>715</v>
      </c>
      <c r="E114" s="2">
        <v>26</v>
      </c>
      <c r="F114" s="2" t="s">
        <v>28</v>
      </c>
      <c r="G114" s="2" t="s">
        <v>29</v>
      </c>
      <c r="H114" s="2">
        <v>20512197</v>
      </c>
      <c r="I114" s="2" t="s">
        <v>30</v>
      </c>
      <c r="J114" s="3">
        <v>45881</v>
      </c>
      <c r="K114" s="2" t="s">
        <v>31</v>
      </c>
      <c r="L114" s="2" t="s">
        <v>108</v>
      </c>
      <c r="M114" s="2" t="s">
        <v>109</v>
      </c>
      <c r="N114" s="2" t="s">
        <v>36</v>
      </c>
      <c r="O114" s="2" t="s">
        <v>716</v>
      </c>
      <c r="P114" s="2" t="s">
        <v>36</v>
      </c>
      <c r="Q114" s="2" t="s">
        <v>717</v>
      </c>
      <c r="R114" s="2">
        <v>15004</v>
      </c>
      <c r="S114" s="2" t="s">
        <v>37</v>
      </c>
      <c r="T114" s="2" t="s">
        <v>37</v>
      </c>
      <c r="U114" s="2" t="s">
        <v>57</v>
      </c>
      <c r="V114" s="3">
        <v>45881</v>
      </c>
      <c r="W114" s="2" t="s">
        <v>39</v>
      </c>
      <c r="X114" s="2" t="str">
        <f t="shared" si="4"/>
        <v>Jackeline Torres Alvarez Asc Casa Huertas Nin, Ate, Lima, Lima, Perú</v>
      </c>
      <c r="Y114" s="22">
        <v>-12.1141881</v>
      </c>
      <c r="Z114" s="22">
        <v>-77.013958299999999</v>
      </c>
      <c r="AA114" s="33">
        <f t="shared" si="5"/>
        <v>17.93</v>
      </c>
      <c r="AB114" s="2" t="str">
        <f t="shared" si="6"/>
        <v>🟠 Moderada (10-20 km)</v>
      </c>
      <c r="AC114" s="2" t="str" cm="1">
        <f t="array" ref="AC114">INDEX(PARADEROS_VALIDOS!$C$2:$C$68,MATCH(MIN(6371*ACOS(COS(RADIANS(Y114))*COS(RADIANS(PARADEROS_VALIDOS!$E$2:$E$68))*COS(RADIANS(PARADEROS_VALIDOS!$F$2:$F$68)-RADIANS(Z114))+SIN(RADIANS(Y114))*SIN(RADIANS(PARADEROS_VALIDOS!$E$2:$E$68)))),6371*ACOS(COS(RADIANS(Y114))*COS(RADIANS(PARADEROS_VALIDOS!$E$2:$E$68))*COS(RADIANS(PARADEROS_VALIDOS!$F$2:$F$68)-RADIANS(Z114))+SIN(RADIANS(Y114))*SIN(RADIANS(PARADEROS_VALIDOS!$E$2:$E$68))),0))</f>
        <v>Paradero Berlín con Javier prado (cruzando el semáforo) aplica solo al ingreso.</v>
      </c>
      <c r="AD114" s="2" t="str">
        <f>IFERROR(INDEX(PARADEROS_VALIDOS!$A$2:$A$68,MATCH(AC114,PARADEROS_VALIDOS!$C$2:$C$68,0)),"")</f>
        <v>RUTA 4A</v>
      </c>
      <c r="AE114" s="33" cm="1">
        <f t="array" ref="AE114">ROUND(MIN(6371*ACOS(COS(RADIANS(Y114))*COS(RADIANS(PARADEROS_VALIDOS!$E$2:$E$68))*COS(RADIANS(PARADEROS_VALIDOS!$F$2:$F$68)-RADIANS(Z114))+SIN(RADIANS(Y114))*SIN(RADIANS(PARADEROS_VALIDOS!$E$2:$E$68)))),2)</f>
        <v>2.69</v>
      </c>
      <c r="AF114" s="2" t="str">
        <f t="shared" si="7"/>
        <v>🟡 Cerca (1-3 km)</v>
      </c>
      <c r="AG114" s="2"/>
      <c r="AH114" s="2"/>
      <c r="AI114" s="51">
        <v>-11.997563</v>
      </c>
      <c r="AJ114" s="51">
        <v>-76.900062000000005</v>
      </c>
      <c r="AK114" s="2" t="str">
        <f>IFERROR(VLOOKUP(I114,tdcargo[],2,FALSE),"DESCONOCIDO")</f>
        <v>OPERARIO</v>
      </c>
    </row>
    <row r="115" spans="1:37" x14ac:dyDescent="0.35">
      <c r="A115" s="2" t="s">
        <v>718</v>
      </c>
      <c r="B115" s="2" t="s">
        <v>719</v>
      </c>
      <c r="C115" s="2" t="s">
        <v>720</v>
      </c>
      <c r="D115" s="2" t="s">
        <v>721</v>
      </c>
      <c r="E115" s="2">
        <v>36</v>
      </c>
      <c r="F115" s="2" t="s">
        <v>28</v>
      </c>
      <c r="G115" s="2" t="s">
        <v>29</v>
      </c>
      <c r="H115" s="2">
        <v>20515633</v>
      </c>
      <c r="I115" s="2" t="s">
        <v>62</v>
      </c>
      <c r="J115" s="3">
        <v>45378</v>
      </c>
      <c r="K115" s="2" t="s">
        <v>31</v>
      </c>
      <c r="L115" s="2" t="s">
        <v>72</v>
      </c>
      <c r="M115" s="2" t="s">
        <v>73</v>
      </c>
      <c r="N115" s="2" t="s">
        <v>36</v>
      </c>
      <c r="O115" s="2" t="s">
        <v>46</v>
      </c>
      <c r="P115" s="2" t="s">
        <v>36</v>
      </c>
      <c r="Q115" s="2" t="s">
        <v>722</v>
      </c>
      <c r="R115" s="2">
        <v>15457</v>
      </c>
      <c r="S115" s="2" t="s">
        <v>37</v>
      </c>
      <c r="T115" s="2" t="s">
        <v>37</v>
      </c>
      <c r="U115" s="2" t="s">
        <v>76</v>
      </c>
      <c r="V115" s="3">
        <v>45378</v>
      </c>
      <c r="W115" s="2" t="s">
        <v>48</v>
      </c>
      <c r="X115" s="2" t="str">
        <f t="shared" si="4"/>
        <v>Nd Casa Huerta La Campiã‘A, Lurigancho, Lima, Lima, Perú</v>
      </c>
      <c r="Y115" s="22">
        <v>-11.928603499999999</v>
      </c>
      <c r="Z115" s="22">
        <v>-76.683861399999998</v>
      </c>
      <c r="AA115" s="33">
        <f t="shared" si="5"/>
        <v>24.74</v>
      </c>
      <c r="AB115" s="2" t="str">
        <f t="shared" si="6"/>
        <v>🔴 Lejos (&gt;20 km)</v>
      </c>
      <c r="AC115" s="2" t="str" cm="1">
        <f t="array" ref="AC115">INDEX(PARADEROS_VALIDOS!$C$2:$C$68,MATCH(MIN(6371*ACOS(COS(RADIANS(Y115))*COS(RADIANS(PARADEROS_VALIDOS!$E$2:$E$68))*COS(RADIANS(PARADEROS_VALIDOS!$F$2:$F$68)-RADIANS(Z115))+SIN(RADIANS(Y115))*SIN(RADIANS(PARADEROS_VALIDOS!$E$2:$E$68)))),6371*ACOS(COS(RADIANS(Y115))*COS(RADIANS(PARADEROS_VALIDOS!$E$2:$E$68))*COS(RADIANS(PARADEROS_VALIDOS!$F$2:$F$68)-RADIANS(Z115))+SIN(RADIANS(Y115))*SIN(RADIANS(PARADEROS_VALIDOS!$E$2:$E$68))),0))</f>
        <v>Paradero Girasoles - Chaclacayo</v>
      </c>
      <c r="AD115" s="2" t="str">
        <f>IFERROR(INDEX(PARADEROS_VALIDOS!$A$2:$A$68,MATCH(AC115,PARADEROS_VALIDOS!$C$2:$C$68,0)),"")</f>
        <v>RUTA 5A</v>
      </c>
      <c r="AE115" s="33" cm="1">
        <f t="array" ref="AE115">ROUND(MIN(6371*ACOS(COS(RADIANS(Y115))*COS(RADIANS(PARADEROS_VALIDOS!$E$2:$E$68))*COS(RADIANS(PARADEROS_VALIDOS!$F$2:$F$68)-RADIANS(Z115))+SIN(RADIANS(Y115))*SIN(RADIANS(PARADEROS_VALIDOS!$E$2:$E$68)))),2)</f>
        <v>11.01</v>
      </c>
      <c r="AF115" s="2" t="str">
        <f t="shared" si="7"/>
        <v>🔴 Lejos (&gt;5 km)</v>
      </c>
      <c r="AG115" s="2"/>
      <c r="AH115" s="2"/>
      <c r="AI115" s="51">
        <v>-11.997563</v>
      </c>
      <c r="AJ115" s="51">
        <v>-76.900062000000005</v>
      </c>
      <c r="AK115" s="2" t="str">
        <f>IFERROR(VLOOKUP(I115,tdcargo[],2,FALSE),"DESCONOCIDO")</f>
        <v>OPERARIO</v>
      </c>
    </row>
    <row r="116" spans="1:37" x14ac:dyDescent="0.35">
      <c r="A116" s="2" t="s">
        <v>723</v>
      </c>
      <c r="B116" s="2" t="s">
        <v>724</v>
      </c>
      <c r="C116" s="2" t="s">
        <v>725</v>
      </c>
      <c r="D116" s="2" t="s">
        <v>364</v>
      </c>
      <c r="E116" s="2">
        <v>23</v>
      </c>
      <c r="F116" s="2" t="s">
        <v>28</v>
      </c>
      <c r="G116" s="2" t="s">
        <v>29</v>
      </c>
      <c r="H116" s="2">
        <v>20514512</v>
      </c>
      <c r="I116" s="2" t="s">
        <v>30</v>
      </c>
      <c r="J116" s="3">
        <v>46055</v>
      </c>
      <c r="K116" s="2" t="s">
        <v>31</v>
      </c>
      <c r="L116" s="2" t="s">
        <v>132</v>
      </c>
      <c r="M116" s="2" t="s">
        <v>133</v>
      </c>
      <c r="N116" s="2" t="s">
        <v>34</v>
      </c>
      <c r="O116" s="2" t="s">
        <v>726</v>
      </c>
      <c r="P116" s="2" t="s">
        <v>88</v>
      </c>
      <c r="Q116" s="2" t="s">
        <v>727</v>
      </c>
      <c r="R116" s="2">
        <v>15004</v>
      </c>
      <c r="S116" s="2" t="s">
        <v>37</v>
      </c>
      <c r="T116" s="2" t="s">
        <v>37</v>
      </c>
      <c r="U116" s="2" t="s">
        <v>57</v>
      </c>
      <c r="V116" s="3">
        <v>46055</v>
      </c>
      <c r="W116" s="2" t="s">
        <v>135</v>
      </c>
      <c r="X116" s="2" t="str">
        <f t="shared" si="4"/>
        <v>Avenida Zona E, A.H. Asentamiento Humano HUAYCAN, Ate, Lima, Lima, Perú</v>
      </c>
      <c r="Y116" s="22">
        <v>-12.016273200000001</v>
      </c>
      <c r="Z116" s="22">
        <v>-76.823802400000005</v>
      </c>
      <c r="AA116" s="33">
        <f t="shared" si="5"/>
        <v>8.5500000000000007</v>
      </c>
      <c r="AB116" s="2" t="str">
        <f t="shared" si="6"/>
        <v>🟡 Cerca (5-10 km)</v>
      </c>
      <c r="AC116" s="2" t="str" cm="1">
        <f t="array" ref="AC116">INDEX(PARADEROS_VALIDOS!$C$2:$C$68,MATCH(MIN(6371*ACOS(COS(RADIANS(Y116))*COS(RADIANS(PARADEROS_VALIDOS!$E$2:$E$68))*COS(RADIANS(PARADEROS_VALIDOS!$F$2:$F$68)-RADIANS(Z116))+SIN(RADIANS(Y116))*SIN(RADIANS(PARADEROS_VALIDOS!$E$2:$E$68)))),6371*ACOS(COS(RADIANS(Y116))*COS(RADIANS(PARADEROS_VALIDOS!$E$2:$E$68))*COS(RADIANS(PARADEROS_VALIDOS!$F$2:$F$68)-RADIANS(Z116))+SIN(RADIANS(Y116))*SIN(RADIANS(PARADEROS_VALIDOS!$E$2:$E$68))),0))</f>
        <v>Paradero Aurora</v>
      </c>
      <c r="AD116" s="2" t="str">
        <f>IFERROR(INDEX(PARADEROS_VALIDOS!$A$2:$A$68,MATCH(AC116,PARADEROS_VALIDOS!$C$2:$C$68,0)),"")</f>
        <v>RUTA 3</v>
      </c>
      <c r="AE116" s="33" cm="1">
        <f t="array" ref="AE116">ROUND(MIN(6371*ACOS(COS(RADIANS(Y116))*COS(RADIANS(PARADEROS_VALIDOS!$E$2:$E$68))*COS(RADIANS(PARADEROS_VALIDOS!$F$2:$F$68)-RADIANS(Z116))+SIN(RADIANS(Y116))*SIN(RADIANS(PARADEROS_VALIDOS!$E$2:$E$68)))),2)</f>
        <v>1.07</v>
      </c>
      <c r="AF116" s="2" t="str">
        <f t="shared" si="7"/>
        <v>🟡 Cerca (1-3 km)</v>
      </c>
      <c r="AG116" s="2"/>
      <c r="AH116" s="2"/>
      <c r="AI116" s="51">
        <v>-11.997563</v>
      </c>
      <c r="AJ116" s="51">
        <v>-76.900062000000005</v>
      </c>
      <c r="AK116" s="2" t="str">
        <f>IFERROR(VLOOKUP(I116,tdcargo[],2,FALSE),"DESCONOCIDO")</f>
        <v>OPERARIO</v>
      </c>
    </row>
    <row r="117" spans="1:37" x14ac:dyDescent="0.35">
      <c r="A117" s="2" t="s">
        <v>728</v>
      </c>
      <c r="B117" s="2" t="s">
        <v>729</v>
      </c>
      <c r="C117" s="2" t="s">
        <v>730</v>
      </c>
      <c r="D117" s="2" t="s">
        <v>500</v>
      </c>
      <c r="E117" s="2">
        <v>24</v>
      </c>
      <c r="F117" s="2" t="s">
        <v>28</v>
      </c>
      <c r="G117" s="2" t="s">
        <v>29</v>
      </c>
      <c r="H117" s="2">
        <v>20511562</v>
      </c>
      <c r="I117" s="2" t="s">
        <v>30</v>
      </c>
      <c r="J117" s="3">
        <v>46055</v>
      </c>
      <c r="K117" s="2" t="s">
        <v>31</v>
      </c>
      <c r="L117" s="2" t="s">
        <v>108</v>
      </c>
      <c r="M117" s="2" t="s">
        <v>109</v>
      </c>
      <c r="N117" s="2" t="s">
        <v>36</v>
      </c>
      <c r="O117" s="2" t="s">
        <v>731</v>
      </c>
      <c r="P117" s="2" t="s">
        <v>186</v>
      </c>
      <c r="Q117" s="2" t="s">
        <v>732</v>
      </c>
      <c r="R117" s="2">
        <v>15007</v>
      </c>
      <c r="S117" s="2" t="s">
        <v>37</v>
      </c>
      <c r="T117" s="2" t="s">
        <v>37</v>
      </c>
      <c r="U117" s="2" t="s">
        <v>367</v>
      </c>
      <c r="V117" s="3">
        <v>46055</v>
      </c>
      <c r="W117" s="2" t="s">
        <v>135</v>
      </c>
      <c r="X117" s="2" t="str">
        <f t="shared" si="4"/>
        <v>Fortaleza, Urb. Urbanización ANDAHUAYLAS, Santa Anita, Lima, Lima, Perú</v>
      </c>
      <c r="Y117" s="22">
        <v>-12.0381236</v>
      </c>
      <c r="Z117" s="22">
        <v>-76.969981899999993</v>
      </c>
      <c r="AA117" s="33">
        <f t="shared" si="5"/>
        <v>8.84</v>
      </c>
      <c r="AB117" s="2" t="str">
        <f t="shared" si="6"/>
        <v>🟡 Cerca (5-10 km)</v>
      </c>
      <c r="AC117" s="2" t="str" cm="1">
        <f t="array" ref="AC117">INDEX(PARADEROS_VALIDOS!$C$2:$C$68,MATCH(MIN(6371*ACOS(COS(RADIANS(Y117))*COS(RADIANS(PARADEROS_VALIDOS!$E$2:$E$68))*COS(RADIANS(PARADEROS_VALIDOS!$F$2:$F$68)-RADIANS(Z117))+SIN(RADIANS(Y117))*SIN(RADIANS(PARADEROS_VALIDOS!$E$2:$E$68)))),6371*ACOS(COS(RADIANS(Y117))*COS(RADIANS(PARADEROS_VALIDOS!$E$2:$E$68))*COS(RADIANS(PARADEROS_VALIDOS!$F$2:$F$68)-RADIANS(Z117))+SIN(RADIANS(Y117))*SIN(RADIANS(PARADEROS_VALIDOS!$E$2:$E$68))),0))</f>
        <v>Municipalidad de Santa Anita</v>
      </c>
      <c r="AD117" s="2" t="str">
        <f>IFERROR(INDEX(PARADEROS_VALIDOS!$A$2:$A$68,MATCH(AC117,PARADEROS_VALIDOS!$C$2:$C$68,0)),"")</f>
        <v>RUTA 4A</v>
      </c>
      <c r="AE117" s="33" cm="1">
        <f t="array" ref="AE117">ROUND(MIN(6371*ACOS(COS(RADIANS(Y117))*COS(RADIANS(PARADEROS_VALIDOS!$E$2:$E$68))*COS(RADIANS(PARADEROS_VALIDOS!$F$2:$F$68)-RADIANS(Z117))+SIN(RADIANS(Y117))*SIN(RADIANS(PARADEROS_VALIDOS!$E$2:$E$68)))),2)</f>
        <v>0.57999999999999996</v>
      </c>
      <c r="AF117" s="2" t="str">
        <f t="shared" si="7"/>
        <v>🟢 Muy Cerca (0-1 km)</v>
      </c>
      <c r="AG117" s="2"/>
      <c r="AH117" s="2"/>
      <c r="AI117" s="51">
        <v>-11.997563</v>
      </c>
      <c r="AJ117" s="51">
        <v>-76.900062000000005</v>
      </c>
      <c r="AK117" s="2" t="str">
        <f>IFERROR(VLOOKUP(I117,tdcargo[],2,FALSE),"DESCONOCIDO")</f>
        <v>OPERARIO</v>
      </c>
    </row>
    <row r="118" spans="1:37" x14ac:dyDescent="0.35">
      <c r="A118" s="2" t="s">
        <v>733</v>
      </c>
      <c r="B118" s="2" t="s">
        <v>734</v>
      </c>
      <c r="C118" s="2" t="s">
        <v>435</v>
      </c>
      <c r="D118" s="2" t="s">
        <v>735</v>
      </c>
      <c r="E118" s="2">
        <v>21</v>
      </c>
      <c r="F118" s="2" t="s">
        <v>28</v>
      </c>
      <c r="G118" s="2" t="s">
        <v>29</v>
      </c>
      <c r="H118" s="2">
        <v>20508895</v>
      </c>
      <c r="I118" s="2" t="s">
        <v>30</v>
      </c>
      <c r="J118" s="3">
        <v>45579</v>
      </c>
      <c r="K118" s="2" t="s">
        <v>31</v>
      </c>
      <c r="L118" s="2" t="s">
        <v>132</v>
      </c>
      <c r="M118" s="2" t="s">
        <v>133</v>
      </c>
      <c r="N118" s="2" t="s">
        <v>148</v>
      </c>
      <c r="O118" s="2" t="s">
        <v>736</v>
      </c>
      <c r="P118" s="2" t="s">
        <v>36</v>
      </c>
      <c r="Q118" s="2" t="s">
        <v>737</v>
      </c>
      <c r="R118" s="2">
        <v>15401</v>
      </c>
      <c r="S118" s="2" t="s">
        <v>37</v>
      </c>
      <c r="T118" s="2" t="s">
        <v>37</v>
      </c>
      <c r="U118" s="2" t="s">
        <v>38</v>
      </c>
      <c r="V118" s="3">
        <v>45579</v>
      </c>
      <c r="W118" s="2" t="s">
        <v>48</v>
      </c>
      <c r="X118" s="2" t="str">
        <f t="shared" si="4"/>
        <v>Pasaje Psj Brasil Aahh San Juan De Campoy, San Juan De Lurigancho, Lima, Lima, Perú</v>
      </c>
      <c r="Y118" s="22">
        <v>-12.0192576</v>
      </c>
      <c r="Z118" s="22">
        <v>-76.955513400000001</v>
      </c>
      <c r="AA118" s="33">
        <f t="shared" si="5"/>
        <v>6.5</v>
      </c>
      <c r="AB118" s="2" t="str">
        <f t="shared" si="6"/>
        <v>🟡 Cerca (5-10 km)</v>
      </c>
      <c r="AC118" s="2" t="str" cm="1">
        <f t="array" ref="AC118">INDEX(PARADEROS_VALIDOS!$C$2:$C$68,MATCH(MIN(6371*ACOS(COS(RADIANS(Y118))*COS(RADIANS(PARADEROS_VALIDOS!$E$2:$E$68))*COS(RADIANS(PARADEROS_VALIDOS!$F$2:$F$68)-RADIANS(Z118))+SIN(RADIANS(Y118))*SIN(RADIANS(PARADEROS_VALIDOS!$E$2:$E$68)))),6371*ACOS(COS(RADIANS(Y118))*COS(RADIANS(PARADEROS_VALIDOS!$E$2:$E$68))*COS(RADIANS(PARADEROS_VALIDOS!$F$2:$F$68)-RADIANS(Z118))+SIN(RADIANS(Y118))*SIN(RADIANS(PARADEROS_VALIDOS!$E$2:$E$68))),0))</f>
        <v>Paradero Bayóvar</v>
      </c>
      <c r="AD118" s="2" t="str">
        <f>IFERROR(INDEX(PARADEROS_VALIDOS!$A$2:$A$68,MATCH(AC118,PARADEROS_VALIDOS!$C$2:$C$68,0)),"")</f>
        <v>RUTA 6A</v>
      </c>
      <c r="AE118" s="33" cm="1">
        <f t="array" ref="AE118">ROUND(MIN(6371*ACOS(COS(RADIANS(Y118))*COS(RADIANS(PARADEROS_VALIDOS!$E$2:$E$68))*COS(RADIANS(PARADEROS_VALIDOS!$F$2:$F$68)-RADIANS(Z118))+SIN(RADIANS(Y118))*SIN(RADIANS(PARADEROS_VALIDOS!$E$2:$E$68)))),2)</f>
        <v>1.3</v>
      </c>
      <c r="AF118" s="2" t="str">
        <f t="shared" si="7"/>
        <v>🟡 Cerca (1-3 km)</v>
      </c>
      <c r="AG118" s="2"/>
      <c r="AH118" s="2"/>
      <c r="AI118" s="51">
        <v>-11.997563</v>
      </c>
      <c r="AJ118" s="51">
        <v>-76.900062000000005</v>
      </c>
      <c r="AK118" s="2" t="str">
        <f>IFERROR(VLOOKUP(I118,tdcargo[],2,FALSE),"DESCONOCIDO")</f>
        <v>OPERARIO</v>
      </c>
    </row>
    <row r="119" spans="1:37" x14ac:dyDescent="0.35">
      <c r="A119" s="2" t="s">
        <v>738</v>
      </c>
      <c r="B119" s="2" t="s">
        <v>739</v>
      </c>
      <c r="C119" s="2" t="s">
        <v>740</v>
      </c>
      <c r="D119" s="2" t="s">
        <v>741</v>
      </c>
      <c r="E119" s="2">
        <v>39</v>
      </c>
      <c r="F119" s="2" t="s">
        <v>28</v>
      </c>
      <c r="G119" s="2" t="s">
        <v>29</v>
      </c>
      <c r="H119" s="2">
        <v>20508916</v>
      </c>
      <c r="I119" s="2" t="s">
        <v>30</v>
      </c>
      <c r="J119" s="3">
        <v>45719</v>
      </c>
      <c r="K119" s="2" t="s">
        <v>31</v>
      </c>
      <c r="L119" s="2" t="s">
        <v>132</v>
      </c>
      <c r="M119" s="2" t="s">
        <v>133</v>
      </c>
      <c r="N119" s="2" t="s">
        <v>36</v>
      </c>
      <c r="O119" s="2" t="s">
        <v>742</v>
      </c>
      <c r="P119" s="2" t="s">
        <v>36</v>
      </c>
      <c r="Q119" s="2" t="s">
        <v>227</v>
      </c>
      <c r="R119" s="2">
        <v>15001</v>
      </c>
      <c r="S119" s="2" t="s">
        <v>37</v>
      </c>
      <c r="T119" s="2" t="s">
        <v>37</v>
      </c>
      <c r="U119" s="2" t="s">
        <v>37</v>
      </c>
      <c r="V119" s="3">
        <v>45719</v>
      </c>
      <c r="W119" s="2" t="s">
        <v>77</v>
      </c>
      <c r="X119" s="2" t="str">
        <f t="shared" si="4"/>
        <v>Casa Huerta La Campiã‘A Mz N Lt 5 Huachipa, Lima, Lima, Lima, Perú</v>
      </c>
      <c r="Y119" s="22">
        <v>-12.014094699999999</v>
      </c>
      <c r="Z119" s="22">
        <v>-76.916338100000004</v>
      </c>
      <c r="AA119" s="33">
        <f t="shared" si="5"/>
        <v>2.5499999999999998</v>
      </c>
      <c r="AB119" s="2" t="str">
        <f t="shared" si="6"/>
        <v>🟢 Muy Cerca (0-5 km)</v>
      </c>
      <c r="AC119" s="2" t="str" cm="1">
        <f t="array" ref="AC119">INDEX(PARADEROS_VALIDOS!$C$2:$C$68,MATCH(MIN(6371*ACOS(COS(RADIANS(Y119))*COS(RADIANS(PARADEROS_VALIDOS!$E$2:$E$68))*COS(RADIANS(PARADEROS_VALIDOS!$F$2:$F$68)-RADIANS(Z119))+SIN(RADIANS(Y119))*SIN(RADIANS(PARADEROS_VALIDOS!$E$2:$E$68)))),6371*ACOS(COS(RADIANS(Y119))*COS(RADIANS(PARADEROS_VALIDOS!$E$2:$E$68))*COS(RADIANS(PARADEROS_VALIDOS!$F$2:$F$68)-RADIANS(Z119))+SIN(RADIANS(Y119))*SIN(RADIANS(PARADEROS_VALIDOS!$E$2:$E$68))),0))</f>
        <v>Estadio Huachipa</v>
      </c>
      <c r="AD119" s="2" t="str">
        <f>IFERROR(INDEX(PARADEROS_VALIDOS!$A$2:$A$68,MATCH(AC119,PARADEROS_VALIDOS!$C$2:$C$68,0)),"")</f>
        <v>RUTA 5C</v>
      </c>
      <c r="AE119" s="33" cm="1">
        <f t="array" ref="AE119">ROUND(MIN(6371*ACOS(COS(RADIANS(Y119))*COS(RADIANS(PARADEROS_VALIDOS!$E$2:$E$68))*COS(RADIANS(PARADEROS_VALIDOS!$F$2:$F$68)-RADIANS(Z119))+SIN(RADIANS(Y119))*SIN(RADIANS(PARADEROS_VALIDOS!$E$2:$E$68)))),2)</f>
        <v>0</v>
      </c>
      <c r="AF119" s="2" t="str">
        <f t="shared" si="7"/>
        <v>🟢 Muy Cerca (0-1 km)</v>
      </c>
      <c r="AG119" s="2"/>
      <c r="AH119" s="2"/>
      <c r="AI119" s="51">
        <v>-11.997563</v>
      </c>
      <c r="AJ119" s="51">
        <v>-76.900062000000005</v>
      </c>
      <c r="AK119" s="2" t="str">
        <f>IFERROR(VLOOKUP(I119,tdcargo[],2,FALSE),"DESCONOCIDO")</f>
        <v>OPERARIO</v>
      </c>
    </row>
    <row r="120" spans="1:37" x14ac:dyDescent="0.35">
      <c r="A120" s="2" t="s">
        <v>743</v>
      </c>
      <c r="B120" s="2" t="s">
        <v>744</v>
      </c>
      <c r="C120" s="2" t="s">
        <v>745</v>
      </c>
      <c r="D120" s="2" t="s">
        <v>746</v>
      </c>
      <c r="E120" s="2">
        <v>27</v>
      </c>
      <c r="F120" s="2" t="s">
        <v>28</v>
      </c>
      <c r="G120" s="2" t="s">
        <v>29</v>
      </c>
      <c r="H120" s="2">
        <v>20508958</v>
      </c>
      <c r="I120" s="2" t="s">
        <v>30</v>
      </c>
      <c r="J120" s="3">
        <v>45719</v>
      </c>
      <c r="K120" s="2" t="s">
        <v>31</v>
      </c>
      <c r="L120" s="2" t="s">
        <v>132</v>
      </c>
      <c r="M120" s="2" t="s">
        <v>133</v>
      </c>
      <c r="N120" s="2" t="s">
        <v>148</v>
      </c>
      <c r="O120" s="2" t="s">
        <v>747</v>
      </c>
      <c r="P120" s="2" t="s">
        <v>36</v>
      </c>
      <c r="Q120" s="2" t="s">
        <v>748</v>
      </c>
      <c r="R120" s="2">
        <v>15457</v>
      </c>
      <c r="S120" s="2" t="s">
        <v>37</v>
      </c>
      <c r="T120" s="2" t="s">
        <v>37</v>
      </c>
      <c r="U120" s="2" t="s">
        <v>76</v>
      </c>
      <c r="V120" s="3">
        <v>45719</v>
      </c>
      <c r="W120" s="2" t="s">
        <v>77</v>
      </c>
      <c r="X120" s="2" t="str">
        <f t="shared" si="4"/>
        <v>Pasaje Casualidad Nieveria Nieveria, Lurigancho, Lima, Lima, Perú</v>
      </c>
      <c r="Y120" s="22">
        <v>-11.983333</v>
      </c>
      <c r="Z120" s="22">
        <v>-76.916667000000004</v>
      </c>
      <c r="AA120" s="33">
        <f t="shared" si="5"/>
        <v>2.4</v>
      </c>
      <c r="AB120" s="2" t="str">
        <f t="shared" si="6"/>
        <v>🟢 Muy Cerca (0-5 km)</v>
      </c>
      <c r="AC120" s="2" t="str" cm="1">
        <f t="array" ref="AC120">INDEX(PARADEROS_VALIDOS!$C$2:$C$68,MATCH(MIN(6371*ACOS(COS(RADIANS(Y120))*COS(RADIANS(PARADEROS_VALIDOS!$E$2:$E$68))*COS(RADIANS(PARADEROS_VALIDOS!$F$2:$F$68)-RADIANS(Z120))+SIN(RADIANS(Y120))*SIN(RADIANS(PARADEROS_VALIDOS!$E$2:$E$68)))),6371*ACOS(COS(RADIANS(Y120))*COS(RADIANS(PARADEROS_VALIDOS!$E$2:$E$68))*COS(RADIANS(PARADEROS_VALIDOS!$F$2:$F$68)-RADIANS(Z120))+SIN(RADIANS(Y120))*SIN(RADIANS(PARADEROS_VALIDOS!$E$2:$E$68))),0))</f>
        <v>Paradero Arco San Antonio</v>
      </c>
      <c r="AD120" s="2" t="str">
        <f>IFERROR(INDEX(PARADEROS_VALIDOS!$A$2:$A$68,MATCH(AC120,PARADEROS_VALIDOS!$C$2:$C$68,0)),"")</f>
        <v>RUTA 2</v>
      </c>
      <c r="AE120" s="33" cm="1">
        <f t="array" ref="AE120">ROUND(MIN(6371*ACOS(COS(RADIANS(Y120))*COS(RADIANS(PARADEROS_VALIDOS!$E$2:$E$68))*COS(RADIANS(PARADEROS_VALIDOS!$F$2:$F$68)-RADIANS(Z120))+SIN(RADIANS(Y120))*SIN(RADIANS(PARADEROS_VALIDOS!$E$2:$E$68)))),2)</f>
        <v>1.86</v>
      </c>
      <c r="AF120" s="2" t="str">
        <f t="shared" si="7"/>
        <v>🟡 Cerca (1-3 km)</v>
      </c>
      <c r="AG120" s="2"/>
      <c r="AH120" s="2"/>
      <c r="AI120" s="51">
        <v>-11.997563</v>
      </c>
      <c r="AJ120" s="51">
        <v>-76.900062000000005</v>
      </c>
      <c r="AK120" s="2" t="str">
        <f>IFERROR(VLOOKUP(I120,tdcargo[],2,FALSE),"DESCONOCIDO")</f>
        <v>OPERARIO</v>
      </c>
    </row>
    <row r="121" spans="1:37" x14ac:dyDescent="0.35">
      <c r="A121" s="2" t="s">
        <v>749</v>
      </c>
      <c r="B121" s="2" t="s">
        <v>750</v>
      </c>
      <c r="C121" s="2" t="s">
        <v>87</v>
      </c>
      <c r="D121" s="2" t="s">
        <v>319</v>
      </c>
      <c r="E121" s="2">
        <v>34</v>
      </c>
      <c r="F121" s="2" t="s">
        <v>28</v>
      </c>
      <c r="G121" s="2" t="s">
        <v>29</v>
      </c>
      <c r="H121" s="2">
        <v>20508979</v>
      </c>
      <c r="I121" s="2" t="s">
        <v>30</v>
      </c>
      <c r="J121" s="3">
        <v>45537</v>
      </c>
      <c r="K121" s="2" t="s">
        <v>31</v>
      </c>
      <c r="L121" s="2" t="s">
        <v>132</v>
      </c>
      <c r="M121" s="2" t="s">
        <v>133</v>
      </c>
      <c r="N121" s="2" t="s">
        <v>148</v>
      </c>
      <c r="O121" s="2" t="s">
        <v>751</v>
      </c>
      <c r="P121" s="2" t="s">
        <v>36</v>
      </c>
      <c r="Q121" s="2" t="s">
        <v>752</v>
      </c>
      <c r="R121" s="2">
        <v>15510</v>
      </c>
      <c r="S121" s="2" t="s">
        <v>37</v>
      </c>
      <c r="T121" s="2" t="s">
        <v>195</v>
      </c>
      <c r="U121" s="2" t="s">
        <v>196</v>
      </c>
      <c r="V121" s="3">
        <v>45537</v>
      </c>
      <c r="W121" s="2" t="s">
        <v>48</v>
      </c>
      <c r="X121" s="2" t="str">
        <f t="shared" si="4"/>
        <v>Pasaje Las Dalias Asoc.El Mirador, San Antonio, Huarochiri, Lima, Perú</v>
      </c>
      <c r="Y121" s="22">
        <v>-11.952795999999999</v>
      </c>
      <c r="Z121" s="22">
        <v>-77.007480900000004</v>
      </c>
      <c r="AA121" s="33">
        <f t="shared" si="5"/>
        <v>12.7</v>
      </c>
      <c r="AB121" s="2" t="str">
        <f t="shared" si="6"/>
        <v>🟠 Moderada (10-20 km)</v>
      </c>
      <c r="AC121" s="2" t="str" cm="1">
        <f t="array" ref="AC121">INDEX(PARADEROS_VALIDOS!$C$2:$C$68,MATCH(MIN(6371*ACOS(COS(RADIANS(Y121))*COS(RADIANS(PARADEROS_VALIDOS!$E$2:$E$68))*COS(RADIANS(PARADEROS_VALIDOS!$F$2:$F$68)-RADIANS(Z121))+SIN(RADIANS(Y121))*SIN(RADIANS(PARADEROS_VALIDOS!$E$2:$E$68)))),6371*ACOS(COS(RADIANS(Y121))*COS(RADIANS(PARADEROS_VALIDOS!$E$2:$E$68))*COS(RADIANS(PARADEROS_VALIDOS!$F$2:$F$68)-RADIANS(Z121))+SIN(RADIANS(Y121))*SIN(RADIANS(PARADEROS_VALIDOS!$E$2:$E$68))),0))</f>
        <v>Paradero Acho</v>
      </c>
      <c r="AD121" s="2" t="str">
        <f>IFERROR(INDEX(PARADEROS_VALIDOS!$A$2:$A$68,MATCH(AC121,PARADEROS_VALIDOS!$C$2:$C$68,0)),"")</f>
        <v>RUTA 8</v>
      </c>
      <c r="AE121" s="33" cm="1">
        <f t="array" ref="AE121">ROUND(MIN(6371*ACOS(COS(RADIANS(Y121))*COS(RADIANS(PARADEROS_VALIDOS!$E$2:$E$68))*COS(RADIANS(PARADEROS_VALIDOS!$F$2:$F$68)-RADIANS(Z121))+SIN(RADIANS(Y121))*SIN(RADIANS(PARADEROS_VALIDOS!$E$2:$E$68)))),2)</f>
        <v>2.2000000000000002</v>
      </c>
      <c r="AF121" s="2" t="str">
        <f t="shared" si="7"/>
        <v>🟡 Cerca (1-3 km)</v>
      </c>
      <c r="AG121" s="2"/>
      <c r="AH121" s="2"/>
      <c r="AI121" s="51">
        <v>-11.997563</v>
      </c>
      <c r="AJ121" s="51">
        <v>-76.900062000000005</v>
      </c>
      <c r="AK121" s="2" t="str">
        <f>IFERROR(VLOOKUP(I121,tdcargo[],2,FALSE),"DESCONOCIDO")</f>
        <v>OPERARIO</v>
      </c>
    </row>
    <row r="122" spans="1:37" x14ac:dyDescent="0.35">
      <c r="A122" s="2" t="s">
        <v>753</v>
      </c>
      <c r="B122" s="2" t="s">
        <v>754</v>
      </c>
      <c r="C122" s="2" t="s">
        <v>755</v>
      </c>
      <c r="D122" s="2" t="s">
        <v>756</v>
      </c>
      <c r="E122" s="2">
        <v>45</v>
      </c>
      <c r="F122" s="2" t="s">
        <v>28</v>
      </c>
      <c r="G122" s="2" t="s">
        <v>29</v>
      </c>
      <c r="H122" s="2">
        <v>20511565</v>
      </c>
      <c r="I122" s="2" t="s">
        <v>30</v>
      </c>
      <c r="J122" s="3">
        <v>45705</v>
      </c>
      <c r="K122" s="2" t="s">
        <v>31</v>
      </c>
      <c r="L122" s="2" t="s">
        <v>132</v>
      </c>
      <c r="M122" s="2" t="s">
        <v>133</v>
      </c>
      <c r="N122" s="2" t="s">
        <v>34</v>
      </c>
      <c r="O122" s="2" t="s">
        <v>757</v>
      </c>
      <c r="P122" s="2" t="s">
        <v>36</v>
      </c>
      <c r="Q122" s="2" t="s">
        <v>758</v>
      </c>
      <c r="R122" s="2">
        <v>15457</v>
      </c>
      <c r="S122" s="2" t="s">
        <v>37</v>
      </c>
      <c r="T122" s="2" t="s">
        <v>37</v>
      </c>
      <c r="U122" s="2" t="s">
        <v>76</v>
      </c>
      <c r="V122" s="3">
        <v>45705</v>
      </c>
      <c r="W122" s="2" t="s">
        <v>77</v>
      </c>
      <c r="X122" s="2" t="str">
        <f t="shared" si="4"/>
        <v>Avenida Pitajalla Cajamarquilla Lurigancho _Chosica, Lurigancho, Lima, Lima, Perú</v>
      </c>
      <c r="Y122" s="22">
        <v>-11.984105100000001</v>
      </c>
      <c r="Z122" s="22">
        <v>-76.9183594</v>
      </c>
      <c r="AA122" s="33">
        <f t="shared" si="5"/>
        <v>2.4900000000000002</v>
      </c>
      <c r="AB122" s="2" t="str">
        <f t="shared" si="6"/>
        <v>🟢 Muy Cerca (0-5 km)</v>
      </c>
      <c r="AC122" s="2" t="str" cm="1">
        <f t="array" ref="AC122">INDEX(PARADEROS_VALIDOS!$C$2:$C$68,MATCH(MIN(6371*ACOS(COS(RADIANS(Y122))*COS(RADIANS(PARADEROS_VALIDOS!$E$2:$E$68))*COS(RADIANS(PARADEROS_VALIDOS!$F$2:$F$68)-RADIANS(Z122))+SIN(RADIANS(Y122))*SIN(RADIANS(PARADEROS_VALIDOS!$E$2:$E$68)))),6371*ACOS(COS(RADIANS(Y122))*COS(RADIANS(PARADEROS_VALIDOS!$E$2:$E$68))*COS(RADIANS(PARADEROS_VALIDOS!$F$2:$F$68)-RADIANS(Z122))+SIN(RADIANS(Y122))*SIN(RADIANS(PARADEROS_VALIDOS!$E$2:$E$68))),0))</f>
        <v>Paradero Arco San Antonio</v>
      </c>
      <c r="AD122" s="2" t="str">
        <f>IFERROR(INDEX(PARADEROS_VALIDOS!$A$2:$A$68,MATCH(AC122,PARADEROS_VALIDOS!$C$2:$C$68,0)),"")</f>
        <v>RUTA 2</v>
      </c>
      <c r="AE122" s="33" cm="1">
        <f t="array" ref="AE122">ROUND(MIN(6371*ACOS(COS(RADIANS(Y122))*COS(RADIANS(PARADEROS_VALIDOS!$E$2:$E$68))*COS(RADIANS(PARADEROS_VALIDOS!$F$2:$F$68)-RADIANS(Z122))+SIN(RADIANS(Y122))*SIN(RADIANS(PARADEROS_VALIDOS!$E$2:$E$68)))),2)</f>
        <v>1.96</v>
      </c>
      <c r="AF122" s="2" t="str">
        <f t="shared" si="7"/>
        <v>🟡 Cerca (1-3 km)</v>
      </c>
      <c r="AG122" s="2"/>
      <c r="AH122" s="2"/>
      <c r="AI122" s="51">
        <v>-11.997563</v>
      </c>
      <c r="AJ122" s="51">
        <v>-76.900062000000005</v>
      </c>
      <c r="AK122" s="2" t="str">
        <f>IFERROR(VLOOKUP(I122,tdcargo[],2,FALSE),"DESCONOCIDO")</f>
        <v>OPERARIO</v>
      </c>
    </row>
    <row r="123" spans="1:37" x14ac:dyDescent="0.35">
      <c r="A123" s="2" t="s">
        <v>287</v>
      </c>
      <c r="B123" s="2" t="s">
        <v>759</v>
      </c>
      <c r="C123" s="2" t="s">
        <v>760</v>
      </c>
      <c r="D123" s="2" t="s">
        <v>350</v>
      </c>
      <c r="E123" s="2">
        <v>33</v>
      </c>
      <c r="F123" s="2" t="s">
        <v>28</v>
      </c>
      <c r="G123" s="2" t="s">
        <v>29</v>
      </c>
      <c r="H123" s="2">
        <v>20514982</v>
      </c>
      <c r="I123" s="2" t="s">
        <v>761</v>
      </c>
      <c r="J123" s="3">
        <v>44459</v>
      </c>
      <c r="K123" s="2" t="s">
        <v>31</v>
      </c>
      <c r="L123" s="2" t="s">
        <v>183</v>
      </c>
      <c r="M123" s="2" t="s">
        <v>184</v>
      </c>
      <c r="N123" s="2" t="s">
        <v>36</v>
      </c>
      <c r="O123" s="2" t="s">
        <v>762</v>
      </c>
      <c r="P123" s="2" t="s">
        <v>66</v>
      </c>
      <c r="Q123" s="2" t="s">
        <v>763</v>
      </c>
      <c r="R123" s="2">
        <v>15401</v>
      </c>
      <c r="S123" s="2" t="s">
        <v>37</v>
      </c>
      <c r="T123" s="2" t="s">
        <v>37</v>
      </c>
      <c r="U123" s="2" t="s">
        <v>38</v>
      </c>
      <c r="V123" s="3">
        <v>44459</v>
      </c>
      <c r="W123" s="2" t="s">
        <v>48</v>
      </c>
      <c r="X123" s="2" t="str">
        <f t="shared" si="4"/>
        <v>Asoc.De Vivienda El Triunfo, U.V. Unidad Vecinal El Triunfo, San Juan De Lurigancho, Lima, Lima, Perú</v>
      </c>
      <c r="Y123" s="22">
        <v>-12.0140017</v>
      </c>
      <c r="Z123" s="22">
        <v>-77.013937200000001</v>
      </c>
      <c r="AA123" s="33">
        <f t="shared" si="5"/>
        <v>12.52</v>
      </c>
      <c r="AB123" s="2" t="str">
        <f t="shared" si="6"/>
        <v>🟠 Moderada (10-20 km)</v>
      </c>
      <c r="AC123" s="2" t="str" cm="1">
        <f t="array" ref="AC123">INDEX(PARADEROS_VALIDOS!$C$2:$C$68,MATCH(MIN(6371*ACOS(COS(RADIANS(Y123))*COS(RADIANS(PARADEROS_VALIDOS!$E$2:$E$68))*COS(RADIANS(PARADEROS_VALIDOS!$F$2:$F$68)-RADIANS(Z123))+SIN(RADIANS(Y123))*SIN(RADIANS(PARADEROS_VALIDOS!$E$2:$E$68)))),6371*ACOS(COS(RADIANS(Y123))*COS(RADIANS(PARADEROS_VALIDOS!$E$2:$E$68))*COS(RADIANS(PARADEROS_VALIDOS!$F$2:$F$68)-RADIANS(Z123))+SIN(RADIANS(Y123))*SIN(RADIANS(PARADEROS_VALIDOS!$E$2:$E$68))),0))</f>
        <v>Paradero Metro Hacienda</v>
      </c>
      <c r="AD123" s="2" t="str">
        <f>IFERROR(INDEX(PARADEROS_VALIDOS!$A$2:$A$68,MATCH(AC123,PARADEROS_VALIDOS!$C$2:$C$68,0)),"")</f>
        <v>RUTA 6B</v>
      </c>
      <c r="AE123" s="33" cm="1">
        <f t="array" ref="AE123">ROUND(MIN(6371*ACOS(COS(RADIANS(Y123))*COS(RADIANS(PARADEROS_VALIDOS!$E$2:$E$68))*COS(RADIANS(PARADEROS_VALIDOS!$F$2:$F$68)-RADIANS(Z123))+SIN(RADIANS(Y123))*SIN(RADIANS(PARADEROS_VALIDOS!$E$2:$E$68)))),2)</f>
        <v>1.1399999999999999</v>
      </c>
      <c r="AF123" s="2" t="str">
        <f t="shared" si="7"/>
        <v>🟡 Cerca (1-3 km)</v>
      </c>
      <c r="AG123" s="2"/>
      <c r="AH123" s="2"/>
      <c r="AI123" s="51">
        <v>-11.997563</v>
      </c>
      <c r="AJ123" s="51">
        <v>-76.900062000000005</v>
      </c>
      <c r="AK123" s="2" t="str">
        <f>IFERROR(VLOOKUP(I123,tdcargo[],2,FALSE),"DESCONOCIDO")</f>
        <v>STAFF</v>
      </c>
    </row>
    <row r="124" spans="1:37" x14ac:dyDescent="0.35">
      <c r="A124" s="2" t="s">
        <v>764</v>
      </c>
      <c r="B124" s="2" t="s">
        <v>765</v>
      </c>
      <c r="C124" s="2" t="s">
        <v>766</v>
      </c>
      <c r="D124" s="2" t="s">
        <v>767</v>
      </c>
      <c r="E124" s="2">
        <v>54</v>
      </c>
      <c r="F124" s="2" t="s">
        <v>28</v>
      </c>
      <c r="G124" s="2" t="s">
        <v>29</v>
      </c>
      <c r="H124" s="2">
        <v>20512082</v>
      </c>
      <c r="I124" s="2" t="s">
        <v>44</v>
      </c>
      <c r="J124" s="3">
        <v>44595</v>
      </c>
      <c r="K124" s="2" t="s">
        <v>31</v>
      </c>
      <c r="L124" s="2" t="s">
        <v>100</v>
      </c>
      <c r="M124" s="2" t="s">
        <v>101</v>
      </c>
      <c r="N124" s="2" t="s">
        <v>36</v>
      </c>
      <c r="O124" s="2" t="s">
        <v>768</v>
      </c>
      <c r="P124" s="2" t="s">
        <v>66</v>
      </c>
      <c r="Q124" s="2" t="s">
        <v>768</v>
      </c>
      <c r="R124" s="2">
        <v>15457</v>
      </c>
      <c r="S124" s="2" t="s">
        <v>37</v>
      </c>
      <c r="T124" s="2" t="s">
        <v>37</v>
      </c>
      <c r="U124" s="2" t="s">
        <v>76</v>
      </c>
      <c r="V124" s="3">
        <v>44595</v>
      </c>
      <c r="W124" s="2" t="s">
        <v>48</v>
      </c>
      <c r="X124" s="2" t="str">
        <f t="shared" si="4"/>
        <v>Los Geraneos De Huachipa, U.V. Unidad Vecinal Los Geraneos De Huachipa, Lurigancho, Lima, Lima, Perú</v>
      </c>
      <c r="Y124" s="22">
        <v>-12.014094699999999</v>
      </c>
      <c r="Z124" s="22">
        <v>-76.916338100000004</v>
      </c>
      <c r="AA124" s="33">
        <f t="shared" si="5"/>
        <v>2.5499999999999998</v>
      </c>
      <c r="AB124" s="2" t="str">
        <f t="shared" si="6"/>
        <v>🟢 Muy Cerca (0-5 km)</v>
      </c>
      <c r="AC124" s="2" t="str" cm="1">
        <f t="array" ref="AC124">INDEX(PARADEROS_VALIDOS!$C$2:$C$68,MATCH(MIN(6371*ACOS(COS(RADIANS(Y124))*COS(RADIANS(PARADEROS_VALIDOS!$E$2:$E$68))*COS(RADIANS(PARADEROS_VALIDOS!$F$2:$F$68)-RADIANS(Z124))+SIN(RADIANS(Y124))*SIN(RADIANS(PARADEROS_VALIDOS!$E$2:$E$68)))),6371*ACOS(COS(RADIANS(Y124))*COS(RADIANS(PARADEROS_VALIDOS!$E$2:$E$68))*COS(RADIANS(PARADEROS_VALIDOS!$F$2:$F$68)-RADIANS(Z124))+SIN(RADIANS(Y124))*SIN(RADIANS(PARADEROS_VALIDOS!$E$2:$E$68))),0))</f>
        <v>Estadio Huachipa</v>
      </c>
      <c r="AD124" s="2" t="str">
        <f>IFERROR(INDEX(PARADEROS_VALIDOS!$A$2:$A$68,MATCH(AC124,PARADEROS_VALIDOS!$C$2:$C$68,0)),"")</f>
        <v>RUTA 5C</v>
      </c>
      <c r="AE124" s="33" cm="1">
        <f t="array" ref="AE124">ROUND(MIN(6371*ACOS(COS(RADIANS(Y124))*COS(RADIANS(PARADEROS_VALIDOS!$E$2:$E$68))*COS(RADIANS(PARADEROS_VALIDOS!$F$2:$F$68)-RADIANS(Z124))+SIN(RADIANS(Y124))*SIN(RADIANS(PARADEROS_VALIDOS!$E$2:$E$68)))),2)</f>
        <v>0</v>
      </c>
      <c r="AF124" s="2" t="str">
        <f t="shared" si="7"/>
        <v>🟢 Muy Cerca (0-1 km)</v>
      </c>
      <c r="AG124" s="2"/>
      <c r="AH124" s="2"/>
      <c r="AI124" s="51">
        <v>-11.997563</v>
      </c>
      <c r="AJ124" s="51">
        <v>-76.900062000000005</v>
      </c>
      <c r="AK124" s="2" t="str">
        <f>IFERROR(VLOOKUP(I124,tdcargo[],2,FALSE),"DESCONOCIDO")</f>
        <v>OPERARIO</v>
      </c>
    </row>
    <row r="125" spans="1:37" x14ac:dyDescent="0.35">
      <c r="A125" s="2" t="s">
        <v>769</v>
      </c>
      <c r="B125" s="2" t="s">
        <v>770</v>
      </c>
      <c r="C125" s="2" t="s">
        <v>771</v>
      </c>
      <c r="D125" s="2" t="s">
        <v>213</v>
      </c>
      <c r="E125" s="2">
        <v>22</v>
      </c>
      <c r="F125" s="2" t="s">
        <v>28</v>
      </c>
      <c r="G125" s="2" t="s">
        <v>29</v>
      </c>
      <c r="H125" s="2">
        <v>20508872</v>
      </c>
      <c r="I125" s="2" t="s">
        <v>30</v>
      </c>
      <c r="J125" s="3">
        <v>45908</v>
      </c>
      <c r="K125" s="2" t="s">
        <v>31</v>
      </c>
      <c r="L125" s="2" t="s">
        <v>108</v>
      </c>
      <c r="M125" s="2" t="s">
        <v>109</v>
      </c>
      <c r="N125" s="2" t="s">
        <v>36</v>
      </c>
      <c r="O125" s="2" t="s">
        <v>83</v>
      </c>
      <c r="P125" s="2" t="s">
        <v>36</v>
      </c>
      <c r="Q125" s="2" t="s">
        <v>772</v>
      </c>
      <c r="R125" s="2">
        <v>15510</v>
      </c>
      <c r="S125" s="2" t="s">
        <v>37</v>
      </c>
      <c r="T125" s="2" t="s">
        <v>195</v>
      </c>
      <c r="U125" s="2" t="s">
        <v>196</v>
      </c>
      <c r="V125" s="3">
        <v>45908</v>
      </c>
      <c r="W125" s="2" t="s">
        <v>39</v>
      </c>
      <c r="X125" s="2" t="str">
        <f t="shared" si="4"/>
        <v>Los Rosales Sector Jicamarca, San Antonio, Huarochiri, Lima, Perú</v>
      </c>
      <c r="Y125" s="22">
        <v>-11.7392059</v>
      </c>
      <c r="Z125" s="22">
        <v>-76.704434599999999</v>
      </c>
      <c r="AA125" s="33">
        <f t="shared" si="5"/>
        <v>35.76</v>
      </c>
      <c r="AB125" s="2" t="str">
        <f t="shared" si="6"/>
        <v>🔴 Lejos (&gt;20 km)</v>
      </c>
      <c r="AC125" s="2" t="str" cm="1">
        <f t="array" ref="AC125">INDEX(PARADEROS_VALIDOS!$C$2:$C$68,MATCH(MIN(6371*ACOS(COS(RADIANS(Y125))*COS(RADIANS(PARADEROS_VALIDOS!$E$2:$E$68))*COS(RADIANS(PARADEROS_VALIDOS!$F$2:$F$68)-RADIANS(Z125))+SIN(RADIANS(Y125))*SIN(RADIANS(PARADEROS_VALIDOS!$E$2:$E$68)))),6371*ACOS(COS(RADIANS(Y125))*COS(RADIANS(PARADEROS_VALIDOS!$E$2:$E$68))*COS(RADIANS(PARADEROS_VALIDOS!$F$2:$F$68)-RADIANS(Z125))+SIN(RADIANS(Y125))*SIN(RADIANS(PARADEROS_VALIDOS!$E$2:$E$68))),0))</f>
        <v>Paradero Girasoles - Chaclacayo</v>
      </c>
      <c r="AD125" s="2" t="str">
        <f>IFERROR(INDEX(PARADEROS_VALIDOS!$A$2:$A$68,MATCH(AC125,PARADEROS_VALIDOS!$C$2:$C$68,0)),"")</f>
        <v>RUTA 5A</v>
      </c>
      <c r="AE125" s="33" cm="1">
        <f t="array" ref="AE125">ROUND(MIN(6371*ACOS(COS(RADIANS(Y125))*COS(RADIANS(PARADEROS_VALIDOS!$E$2:$E$68))*COS(RADIANS(PARADEROS_VALIDOS!$F$2:$F$68)-RADIANS(Z125))+SIN(RADIANS(Y125))*SIN(RADIANS(PARADEROS_VALIDOS!$E$2:$E$68)))),2)</f>
        <v>27.4</v>
      </c>
      <c r="AF125" s="2" t="str">
        <f t="shared" si="7"/>
        <v>🔴 Lejos (&gt;5 km)</v>
      </c>
      <c r="AG125" s="2"/>
      <c r="AH125" s="2"/>
      <c r="AI125" s="51">
        <v>-11.997563</v>
      </c>
      <c r="AJ125" s="51">
        <v>-76.900062000000005</v>
      </c>
      <c r="AK125" s="2" t="str">
        <f>IFERROR(VLOOKUP(I125,tdcargo[],2,FALSE),"DESCONOCIDO")</f>
        <v>OPERARIO</v>
      </c>
    </row>
    <row r="126" spans="1:37" x14ac:dyDescent="0.35">
      <c r="A126" s="2" t="s">
        <v>773</v>
      </c>
      <c r="B126" s="2" t="s">
        <v>774</v>
      </c>
      <c r="C126" s="2" t="s">
        <v>451</v>
      </c>
      <c r="D126" s="2" t="s">
        <v>775</v>
      </c>
      <c r="E126" s="2">
        <v>21</v>
      </c>
      <c r="F126" s="2" t="s">
        <v>28</v>
      </c>
      <c r="G126" s="2" t="s">
        <v>29</v>
      </c>
      <c r="H126" s="2">
        <v>20508907</v>
      </c>
      <c r="I126" s="2" t="s">
        <v>30</v>
      </c>
      <c r="J126" s="3">
        <v>46041</v>
      </c>
      <c r="K126" s="2" t="s">
        <v>31</v>
      </c>
      <c r="L126" s="2" t="s">
        <v>132</v>
      </c>
      <c r="M126" s="2" t="s">
        <v>133</v>
      </c>
      <c r="N126" s="2" t="s">
        <v>36</v>
      </c>
      <c r="O126" s="2" t="s">
        <v>776</v>
      </c>
      <c r="P126" s="2" t="s">
        <v>88</v>
      </c>
      <c r="Q126" s="2" t="s">
        <v>777</v>
      </c>
      <c r="R126" s="2">
        <v>15457</v>
      </c>
      <c r="S126" s="2" t="s">
        <v>37</v>
      </c>
      <c r="T126" s="2" t="s">
        <v>37</v>
      </c>
      <c r="U126" s="2" t="s">
        <v>76</v>
      </c>
      <c r="V126" s="3">
        <v>46041</v>
      </c>
      <c r="W126" s="2" t="s">
        <v>135</v>
      </c>
      <c r="X126" s="2" t="str">
        <f t="shared" si="4"/>
        <v>Lurigancho/ Chosica, A.H. Asentamiento Humano CAMPIÑA SECTOR A, Lurigancho, Lima, Lima, Perú</v>
      </c>
      <c r="Y126" s="22">
        <v>-11.9645346</v>
      </c>
      <c r="Z126" s="22">
        <v>-77.007865499999994</v>
      </c>
      <c r="AA126" s="33">
        <f t="shared" si="5"/>
        <v>12.29</v>
      </c>
      <c r="AB126" s="2" t="str">
        <f t="shared" si="6"/>
        <v>🟠 Moderada (10-20 km)</v>
      </c>
      <c r="AC126" s="2" t="str" cm="1">
        <f t="array" ref="AC126">INDEX(PARADEROS_VALIDOS!$C$2:$C$68,MATCH(MIN(6371*ACOS(COS(RADIANS(Y126))*COS(RADIANS(PARADEROS_VALIDOS!$E$2:$E$68))*COS(RADIANS(PARADEROS_VALIDOS!$F$2:$F$68)-RADIANS(Z126))+SIN(RADIANS(Y126))*SIN(RADIANS(PARADEROS_VALIDOS!$E$2:$E$68)))),6371*ACOS(COS(RADIANS(Y126))*COS(RADIANS(PARADEROS_VALIDOS!$E$2:$E$68))*COS(RADIANS(PARADEROS_VALIDOS!$F$2:$F$68)-RADIANS(Z126))+SIN(RADIANS(Y126))*SIN(RADIANS(PARADEROS_VALIDOS!$E$2:$E$68))),0))</f>
        <v>Paradero Acho</v>
      </c>
      <c r="AD126" s="2" t="str">
        <f>IFERROR(INDEX(PARADEROS_VALIDOS!$A$2:$A$68,MATCH(AC126,PARADEROS_VALIDOS!$C$2:$C$68,0)),"")</f>
        <v>RUTA 8</v>
      </c>
      <c r="AE126" s="33" cm="1">
        <f t="array" ref="AE126">ROUND(MIN(6371*ACOS(COS(RADIANS(Y126))*COS(RADIANS(PARADEROS_VALIDOS!$E$2:$E$68))*COS(RADIANS(PARADEROS_VALIDOS!$F$2:$F$68)-RADIANS(Z126))+SIN(RADIANS(Y126))*SIN(RADIANS(PARADEROS_VALIDOS!$E$2:$E$68)))),2)</f>
        <v>0.96</v>
      </c>
      <c r="AF126" s="2" t="str">
        <f t="shared" si="7"/>
        <v>🟢 Muy Cerca (0-1 km)</v>
      </c>
      <c r="AG126" s="2"/>
      <c r="AH126" s="2"/>
      <c r="AI126" s="51">
        <v>-11.997563</v>
      </c>
      <c r="AJ126" s="51">
        <v>-76.900062000000005</v>
      </c>
      <c r="AK126" s="2" t="str">
        <f>IFERROR(VLOOKUP(I126,tdcargo[],2,FALSE),"DESCONOCIDO")</f>
        <v>OPERARIO</v>
      </c>
    </row>
    <row r="127" spans="1:37" x14ac:dyDescent="0.35">
      <c r="A127" s="2" t="s">
        <v>778</v>
      </c>
      <c r="B127" s="2" t="s">
        <v>779</v>
      </c>
      <c r="C127" s="2" t="s">
        <v>780</v>
      </c>
      <c r="D127" s="2" t="s">
        <v>781</v>
      </c>
      <c r="E127" s="2">
        <v>38</v>
      </c>
      <c r="F127" s="2" t="s">
        <v>28</v>
      </c>
      <c r="G127" s="2" t="s">
        <v>29</v>
      </c>
      <c r="H127" s="2">
        <v>20508770</v>
      </c>
      <c r="I127" s="2" t="s">
        <v>44</v>
      </c>
      <c r="J127" s="3">
        <v>44105</v>
      </c>
      <c r="K127" s="2" t="s">
        <v>31</v>
      </c>
      <c r="L127" s="2" t="s">
        <v>100</v>
      </c>
      <c r="M127" s="2" t="s">
        <v>101</v>
      </c>
      <c r="N127" s="2" t="s">
        <v>34</v>
      </c>
      <c r="O127" s="2" t="s">
        <v>591</v>
      </c>
      <c r="P127" s="2" t="s">
        <v>36</v>
      </c>
      <c r="Q127" s="2" t="s">
        <v>782</v>
      </c>
      <c r="R127" s="2">
        <v>15457</v>
      </c>
      <c r="S127" s="2" t="s">
        <v>37</v>
      </c>
      <c r="T127" s="2" t="s">
        <v>37</v>
      </c>
      <c r="U127" s="2" t="s">
        <v>76</v>
      </c>
      <c r="V127" s="3">
        <v>44105</v>
      </c>
      <c r="W127" s="2" t="s">
        <v>48</v>
      </c>
      <c r="X127" s="2" t="str">
        <f t="shared" si="4"/>
        <v>Avenida Las Casuarinas Yanacoto, Lurigancho, Lima, Lima, Perú</v>
      </c>
      <c r="Y127" s="22">
        <v>-11.946487299999999</v>
      </c>
      <c r="Z127" s="22">
        <v>-76.727930900000004</v>
      </c>
      <c r="AA127" s="33">
        <f t="shared" si="5"/>
        <v>19.57</v>
      </c>
      <c r="AB127" s="2" t="str">
        <f t="shared" si="6"/>
        <v>🟠 Moderada (10-20 km)</v>
      </c>
      <c r="AC127" s="2" t="str" cm="1">
        <f t="array" ref="AC127">INDEX(PARADEROS_VALIDOS!$C$2:$C$68,MATCH(MIN(6371*ACOS(COS(RADIANS(Y127))*COS(RADIANS(PARADEROS_VALIDOS!$E$2:$E$68))*COS(RADIANS(PARADEROS_VALIDOS!$F$2:$F$68)-RADIANS(Z127))+SIN(RADIANS(Y127))*SIN(RADIANS(PARADEROS_VALIDOS!$E$2:$E$68)))),6371*ACOS(COS(RADIANS(Y127))*COS(RADIANS(PARADEROS_VALIDOS!$E$2:$E$68))*COS(RADIANS(PARADEROS_VALIDOS!$F$2:$F$68)-RADIANS(Z127))+SIN(RADIANS(Y127))*SIN(RADIANS(PARADEROS_VALIDOS!$E$2:$E$68))),0))</f>
        <v>Paradero Girasoles - Chaclacayo</v>
      </c>
      <c r="AD127" s="2" t="str">
        <f>IFERROR(INDEX(PARADEROS_VALIDOS!$A$2:$A$68,MATCH(AC127,PARADEROS_VALIDOS!$C$2:$C$68,0)),"")</f>
        <v>RUTA 5A</v>
      </c>
      <c r="AE127" s="33" cm="1">
        <f t="array" ref="AE127">ROUND(MIN(6371*ACOS(COS(RADIANS(Y127))*COS(RADIANS(PARADEROS_VALIDOS!$E$2:$E$68))*COS(RADIANS(PARADEROS_VALIDOS!$F$2:$F$68)-RADIANS(Z127))+SIN(RADIANS(Y127))*SIN(RADIANS(PARADEROS_VALIDOS!$E$2:$E$68)))),2)</f>
        <v>5.88</v>
      </c>
      <c r="AF127" s="2" t="str">
        <f t="shared" si="7"/>
        <v>🔴 Lejos (&gt;5 km)</v>
      </c>
      <c r="AG127" s="2"/>
      <c r="AH127" s="2"/>
      <c r="AI127" s="51">
        <v>-11.997563</v>
      </c>
      <c r="AJ127" s="51">
        <v>-76.900062000000005</v>
      </c>
      <c r="AK127" s="2" t="str">
        <f>IFERROR(VLOOKUP(I127,tdcargo[],2,FALSE),"DESCONOCIDO")</f>
        <v>OPERARIO</v>
      </c>
    </row>
    <row r="128" spans="1:37" x14ac:dyDescent="0.35">
      <c r="A128" s="2" t="s">
        <v>783</v>
      </c>
      <c r="B128" s="2" t="s">
        <v>784</v>
      </c>
      <c r="C128" s="2" t="s">
        <v>785</v>
      </c>
      <c r="D128" s="2" t="s">
        <v>786</v>
      </c>
      <c r="E128" s="2">
        <v>47</v>
      </c>
      <c r="F128" s="2" t="s">
        <v>28</v>
      </c>
      <c r="G128" s="2" t="s">
        <v>29</v>
      </c>
      <c r="H128" s="2">
        <v>20508887</v>
      </c>
      <c r="I128" s="2" t="s">
        <v>44</v>
      </c>
      <c r="J128" s="3">
        <v>43090</v>
      </c>
      <c r="K128" s="2" t="s">
        <v>31</v>
      </c>
      <c r="L128" s="2" t="s">
        <v>32</v>
      </c>
      <c r="M128" s="2" t="s">
        <v>33</v>
      </c>
      <c r="N128" s="2" t="s">
        <v>34</v>
      </c>
      <c r="O128" s="2" t="s">
        <v>787</v>
      </c>
      <c r="P128" s="2" t="s">
        <v>66</v>
      </c>
      <c r="Q128" s="2" t="s">
        <v>788</v>
      </c>
      <c r="R128" s="2">
        <v>15004</v>
      </c>
      <c r="S128" s="2" t="s">
        <v>37</v>
      </c>
      <c r="T128" s="2" t="s">
        <v>37</v>
      </c>
      <c r="U128" s="2" t="s">
        <v>57</v>
      </c>
      <c r="V128" s="3">
        <v>43090</v>
      </c>
      <c r="W128" s="2" t="s">
        <v>48</v>
      </c>
      <c r="X128" s="2" t="str">
        <f t="shared" si="4"/>
        <v>Avenida San Martin, U.V. Unidad Vecinal Los Girasoles De Santa Clara, Ate, Lima, Lima, Perú</v>
      </c>
      <c r="Y128" s="22">
        <v>-12.0202679</v>
      </c>
      <c r="Z128" s="22">
        <v>-76.889206099999996</v>
      </c>
      <c r="AA128" s="33">
        <f t="shared" si="5"/>
        <v>2.79</v>
      </c>
      <c r="AB128" s="2" t="str">
        <f t="shared" si="6"/>
        <v>🟢 Muy Cerca (0-5 km)</v>
      </c>
      <c r="AC128" s="2" t="str" cm="1">
        <f t="array" ref="AC128">INDEX(PARADEROS_VALIDOS!$C$2:$C$68,MATCH(MIN(6371*ACOS(COS(RADIANS(Y128))*COS(RADIANS(PARADEROS_VALIDOS!$E$2:$E$68))*COS(RADIANS(PARADEROS_VALIDOS!$F$2:$F$68)-RADIANS(Z128))+SIN(RADIANS(Y128))*SIN(RADIANS(PARADEROS_VALIDOS!$E$2:$E$68)))),6371*ACOS(COS(RADIANS(Y128))*COS(RADIANS(PARADEROS_VALIDOS!$E$2:$E$68))*COS(RADIANS(PARADEROS_VALIDOS!$F$2:$F$68)-RADIANS(Z128))+SIN(RADIANS(Y128))*SIN(RADIANS(PARADEROS_VALIDOS!$E$2:$E$68))),0))</f>
        <v>Paradero Sta. Clara</v>
      </c>
      <c r="AD128" s="2" t="str">
        <f>IFERROR(INDEX(PARADEROS_VALIDOS!$A$2:$A$68,MATCH(AC128,PARADEROS_VALIDOS!$C$2:$C$68,0)),"")</f>
        <v>RUTA 5C</v>
      </c>
      <c r="AE128" s="33" cm="1">
        <f t="array" ref="AE128">ROUND(MIN(6371*ACOS(COS(RADIANS(Y128))*COS(RADIANS(PARADEROS_VALIDOS!$E$2:$E$68))*COS(RADIANS(PARADEROS_VALIDOS!$F$2:$F$68)-RADIANS(Z128))+SIN(RADIANS(Y128))*SIN(RADIANS(PARADEROS_VALIDOS!$E$2:$E$68)))),2)</f>
        <v>0.74</v>
      </c>
      <c r="AF128" s="2" t="str">
        <f t="shared" si="7"/>
        <v>🟢 Muy Cerca (0-1 km)</v>
      </c>
      <c r="AG128" s="2"/>
      <c r="AH128" s="2"/>
      <c r="AI128" s="51">
        <v>-11.997563</v>
      </c>
      <c r="AJ128" s="51">
        <v>-76.900062000000005</v>
      </c>
      <c r="AK128" s="2" t="str">
        <f>IFERROR(VLOOKUP(I128,tdcargo[],2,FALSE),"DESCONOCIDO")</f>
        <v>OPERARIO</v>
      </c>
    </row>
    <row r="129" spans="1:37" x14ac:dyDescent="0.35">
      <c r="A129" s="2" t="s">
        <v>789</v>
      </c>
      <c r="B129" s="2" t="s">
        <v>790</v>
      </c>
      <c r="C129" s="2" t="s">
        <v>791</v>
      </c>
      <c r="D129" s="2" t="s">
        <v>792</v>
      </c>
      <c r="E129" s="2">
        <v>29</v>
      </c>
      <c r="F129" s="2" t="s">
        <v>28</v>
      </c>
      <c r="G129" s="2" t="s">
        <v>29</v>
      </c>
      <c r="H129" s="2">
        <v>20508939</v>
      </c>
      <c r="I129" s="2" t="s">
        <v>44</v>
      </c>
      <c r="J129" s="3">
        <v>43237</v>
      </c>
      <c r="K129" s="2" t="s">
        <v>31</v>
      </c>
      <c r="L129" s="2" t="s">
        <v>32</v>
      </c>
      <c r="M129" s="2" t="s">
        <v>33</v>
      </c>
      <c r="N129" s="2" t="s">
        <v>793</v>
      </c>
      <c r="O129" s="2" t="s">
        <v>748</v>
      </c>
      <c r="P129" s="2" t="s">
        <v>36</v>
      </c>
      <c r="Q129" s="2" t="s">
        <v>794</v>
      </c>
      <c r="R129" s="2">
        <v>15457</v>
      </c>
      <c r="S129" s="2" t="s">
        <v>37</v>
      </c>
      <c r="T129" s="2" t="s">
        <v>37</v>
      </c>
      <c r="U129" s="2" t="s">
        <v>76</v>
      </c>
      <c r="V129" s="3">
        <v>43237</v>
      </c>
      <c r="W129" s="2" t="s">
        <v>48</v>
      </c>
      <c r="X129" s="2" t="str">
        <f t="shared" si="4"/>
        <v>Carretera Nieveria Agrp Fam La Rinconada Antonio Nieveria, Lurigancho, Lima, Lima, Perú</v>
      </c>
      <c r="Y129" s="22">
        <v>-11.997489399999999</v>
      </c>
      <c r="Z129" s="22">
        <v>-76.919619499999996</v>
      </c>
      <c r="AA129" s="33">
        <f t="shared" si="5"/>
        <v>2.13</v>
      </c>
      <c r="AB129" s="2" t="str">
        <f t="shared" si="6"/>
        <v>🟢 Muy Cerca (0-5 km)</v>
      </c>
      <c r="AC129" s="2" t="str" cm="1">
        <f t="array" ref="AC129">INDEX(PARADEROS_VALIDOS!$C$2:$C$68,MATCH(MIN(6371*ACOS(COS(RADIANS(Y129))*COS(RADIANS(PARADEROS_VALIDOS!$E$2:$E$68))*COS(RADIANS(PARADEROS_VALIDOS!$F$2:$F$68)-RADIANS(Z129))+SIN(RADIANS(Y129))*SIN(RADIANS(PARADEROS_VALIDOS!$E$2:$E$68)))),6371*ACOS(COS(RADIANS(Y129))*COS(RADIANS(PARADEROS_VALIDOS!$E$2:$E$68))*COS(RADIANS(PARADEROS_VALIDOS!$F$2:$F$68)-RADIANS(Z129))+SIN(RADIANS(Y129))*SIN(RADIANS(PARADEROS_VALIDOS!$E$2:$E$68))),0))</f>
        <v>Paradero Arco San Antonio</v>
      </c>
      <c r="AD129" s="2" t="str">
        <f>IFERROR(INDEX(PARADEROS_VALIDOS!$A$2:$A$68,MATCH(AC129,PARADEROS_VALIDOS!$C$2:$C$68,0)),"")</f>
        <v>RUTA 2</v>
      </c>
      <c r="AE129" s="33" cm="1">
        <f t="array" ref="AE129">ROUND(MIN(6371*ACOS(COS(RADIANS(Y129))*COS(RADIANS(PARADEROS_VALIDOS!$E$2:$E$68))*COS(RADIANS(PARADEROS_VALIDOS!$F$2:$F$68)-RADIANS(Z129))+SIN(RADIANS(Y129))*SIN(RADIANS(PARADEROS_VALIDOS!$E$2:$E$68)))),2)</f>
        <v>1.85</v>
      </c>
      <c r="AF129" s="2" t="str">
        <f t="shared" si="7"/>
        <v>🟡 Cerca (1-3 km)</v>
      </c>
      <c r="AG129" s="2"/>
      <c r="AH129" s="2"/>
      <c r="AI129" s="51">
        <v>-11.997563</v>
      </c>
      <c r="AJ129" s="51">
        <v>-76.900062000000005</v>
      </c>
      <c r="AK129" s="2" t="str">
        <f>IFERROR(VLOOKUP(I129,tdcargo[],2,FALSE),"DESCONOCIDO")</f>
        <v>OPERARIO</v>
      </c>
    </row>
    <row r="130" spans="1:37" x14ac:dyDescent="0.35">
      <c r="A130" s="2" t="s">
        <v>795</v>
      </c>
      <c r="B130" s="2" t="s">
        <v>796</v>
      </c>
      <c r="C130" s="2" t="s">
        <v>797</v>
      </c>
      <c r="D130" s="2" t="s">
        <v>363</v>
      </c>
      <c r="E130" s="2">
        <v>30</v>
      </c>
      <c r="F130" s="2" t="s">
        <v>28</v>
      </c>
      <c r="G130" s="2" t="s">
        <v>29</v>
      </c>
      <c r="H130" s="2">
        <v>20508991</v>
      </c>
      <c r="I130" s="2" t="s">
        <v>62</v>
      </c>
      <c r="J130" s="3">
        <v>43899</v>
      </c>
      <c r="K130" s="2" t="s">
        <v>31</v>
      </c>
      <c r="L130" s="2" t="s">
        <v>63</v>
      </c>
      <c r="M130" s="2" t="s">
        <v>64</v>
      </c>
      <c r="N130" s="2" t="s">
        <v>34</v>
      </c>
      <c r="O130" s="2" t="s">
        <v>798</v>
      </c>
      <c r="P130" s="2" t="s">
        <v>36</v>
      </c>
      <c r="Q130" s="2" t="s">
        <v>799</v>
      </c>
      <c r="R130" s="2">
        <v>15004</v>
      </c>
      <c r="S130" s="2" t="s">
        <v>37</v>
      </c>
      <c r="T130" s="2" t="s">
        <v>37</v>
      </c>
      <c r="U130" s="2" t="s">
        <v>57</v>
      </c>
      <c r="V130" s="3">
        <v>43899</v>
      </c>
      <c r="W130" s="2" t="s">
        <v>48</v>
      </c>
      <c r="X130" s="2" t="str">
        <f t="shared" ref="X130:X193" si="8">_xlfn.LET(_xlpm.parte1,TRIM(IF(OR(N130="Otros / No aplica",N130=""),"",N130&amp;" ")&amp;O130&amp;IF(AND(P130&lt;&gt;"",P130&lt;&gt;"Otros / No aplica"),", "&amp;P130,"")&amp;IF(AND(Q130&lt;&gt;"",Q130&lt;&gt;"Nd",Q130&lt;&gt;0,Q130&lt;&gt;"0")," "&amp;Q130,"")),_xlpm.parte2,U130&amp;", "&amp;T130&amp;", "&amp;S130&amp;", Perú",IF(LEFT(_xlpm.parte1,1)=",",TRIM(MID(_xlpm.parte1,2,255))&amp;", "&amp;_xlpm.parte2,IF(_xlpm.parte1="",_xlpm.parte2,_xlpm.parte1&amp;", "&amp;_xlpm.parte2)))</f>
        <v>Avenida 15 De Julio K, Ate, Lima, Lima, Perú</v>
      </c>
      <c r="Y130" s="22">
        <v>-12.016420999999999</v>
      </c>
      <c r="Z130" s="22">
        <v>-76.825003800000005</v>
      </c>
      <c r="AA130" s="33">
        <f t="shared" ref="AA130:AA193" si="9">ROUND(6371*ACOS(COS(RADIANS(-11.997563))*COS(RADIANS(Y130))*COS(RADIANS(Z130)-RADIANS(-76.900062))+SIN(RADIANS(-11.997563))*SIN(RADIANS(Y130))),2)</f>
        <v>8.43</v>
      </c>
      <c r="AB130" s="2" t="str">
        <f t="shared" ref="AB130:AB193" si="10">IF(AA130&lt;=5,"🟢 Muy Cerca (0-5 km)",IF(AA130&lt;=10,"🟡 Cerca (5-10 km)",IF(AA130&lt;=20,"🟠 Moderada (10-20 km)","🔴 Lejos (&gt;20 km)")))</f>
        <v>🟡 Cerca (5-10 km)</v>
      </c>
      <c r="AC130" s="2" t="str" cm="1">
        <f t="array" ref="AC130">INDEX(PARADEROS_VALIDOS!$C$2:$C$68,MATCH(MIN(6371*ACOS(COS(RADIANS(Y130))*COS(RADIANS(PARADEROS_VALIDOS!$E$2:$E$68))*COS(RADIANS(PARADEROS_VALIDOS!$F$2:$F$68)-RADIANS(Z130))+SIN(RADIANS(Y130))*SIN(RADIANS(PARADEROS_VALIDOS!$E$2:$E$68)))),6371*ACOS(COS(RADIANS(Y130))*COS(RADIANS(PARADEROS_VALIDOS!$E$2:$E$68))*COS(RADIANS(PARADEROS_VALIDOS!$F$2:$F$68)-RADIANS(Z130))+SIN(RADIANS(Y130))*SIN(RADIANS(PARADEROS_VALIDOS!$E$2:$E$68))),0))</f>
        <v>Paradero Aurora</v>
      </c>
      <c r="AD130" s="2" t="str">
        <f>IFERROR(INDEX(PARADEROS_VALIDOS!$A$2:$A$68,MATCH(AC130,PARADEROS_VALIDOS!$C$2:$C$68,0)),"")</f>
        <v>RUTA 3</v>
      </c>
      <c r="AE130" s="33" cm="1">
        <f t="array" ref="AE130">ROUND(MIN(6371*ACOS(COS(RADIANS(Y130))*COS(RADIANS(PARADEROS_VALIDOS!$E$2:$E$68))*COS(RADIANS(PARADEROS_VALIDOS!$F$2:$F$68)-RADIANS(Z130))+SIN(RADIANS(Y130))*SIN(RADIANS(PARADEROS_VALIDOS!$E$2:$E$68)))),2)</f>
        <v>1.08</v>
      </c>
      <c r="AF130" s="2" t="str">
        <f t="shared" ref="AF130:AF193" si="11">IF(AE130&lt;=1,"🟢 Muy Cerca (0-1 km)",IF(AE130&lt;=3,"🟡 Cerca (1-3 km)",IF(AE130&lt;=5,"🟠 Moderada (3-5 km)","🔴 Lejos (&gt;5 km)")))</f>
        <v>🟡 Cerca (1-3 km)</v>
      </c>
      <c r="AG130" s="2"/>
      <c r="AH130" s="2"/>
      <c r="AI130" s="51">
        <v>-11.997563</v>
      </c>
      <c r="AJ130" s="51">
        <v>-76.900062000000005</v>
      </c>
      <c r="AK130" s="2" t="str">
        <f>IFERROR(VLOOKUP(I130,tdcargo[],2,FALSE),"DESCONOCIDO")</f>
        <v>OPERARIO</v>
      </c>
    </row>
    <row r="131" spans="1:37" x14ac:dyDescent="0.35">
      <c r="A131" s="2" t="s">
        <v>800</v>
      </c>
      <c r="B131" s="2" t="s">
        <v>801</v>
      </c>
      <c r="C131" s="2" t="s">
        <v>766</v>
      </c>
      <c r="D131" s="2" t="s">
        <v>802</v>
      </c>
      <c r="E131" s="2">
        <v>25</v>
      </c>
      <c r="F131" s="2" t="s">
        <v>28</v>
      </c>
      <c r="G131" s="2" t="s">
        <v>29</v>
      </c>
      <c r="H131" s="2">
        <v>20508750</v>
      </c>
      <c r="I131" s="2" t="s">
        <v>30</v>
      </c>
      <c r="J131" s="3">
        <v>45075</v>
      </c>
      <c r="K131" s="2" t="s">
        <v>31</v>
      </c>
      <c r="L131" s="2" t="s">
        <v>100</v>
      </c>
      <c r="M131" s="2" t="s">
        <v>101</v>
      </c>
      <c r="N131" s="2" t="s">
        <v>82</v>
      </c>
      <c r="O131" s="2" t="s">
        <v>803</v>
      </c>
      <c r="P131" s="2" t="s">
        <v>66</v>
      </c>
      <c r="Q131" s="2" t="s">
        <v>804</v>
      </c>
      <c r="R131" s="2">
        <v>15004</v>
      </c>
      <c r="S131" s="2" t="s">
        <v>37</v>
      </c>
      <c r="T131" s="2" t="s">
        <v>37</v>
      </c>
      <c r="U131" s="2" t="s">
        <v>57</v>
      </c>
      <c r="V131" s="3">
        <v>45075</v>
      </c>
      <c r="W131" s="2" t="s">
        <v>48</v>
      </c>
      <c r="X131" s="2" t="str">
        <f t="shared" si="8"/>
        <v>Calle Santa Rosa, U.V. Unidad Vecinal Arena Santa Clara Ate, Ate, Lima, Lima, Perú</v>
      </c>
      <c r="Y131" s="22">
        <v>-12.017621699999999</v>
      </c>
      <c r="Z131" s="22">
        <v>-76.883129699999998</v>
      </c>
      <c r="AA131" s="33">
        <f t="shared" si="9"/>
        <v>2.89</v>
      </c>
      <c r="AB131" s="2" t="str">
        <f t="shared" si="10"/>
        <v>🟢 Muy Cerca (0-5 km)</v>
      </c>
      <c r="AC131" s="2" t="str" cm="1">
        <f t="array" ref="AC131">INDEX(PARADEROS_VALIDOS!$C$2:$C$68,MATCH(MIN(6371*ACOS(COS(RADIANS(Y131))*COS(RADIANS(PARADEROS_VALIDOS!$E$2:$E$68))*COS(RADIANS(PARADEROS_VALIDOS!$F$2:$F$68)-RADIANS(Z131))+SIN(RADIANS(Y131))*SIN(RADIANS(PARADEROS_VALIDOS!$E$2:$E$68)))),6371*ACOS(COS(RADIANS(Y131))*COS(RADIANS(PARADEROS_VALIDOS!$E$2:$E$68))*COS(RADIANS(PARADEROS_VALIDOS!$F$2:$F$68)-RADIANS(Z131))+SIN(RADIANS(Y131))*SIN(RADIANS(PARADEROS_VALIDOS!$E$2:$E$68))),0))</f>
        <v>Paradero la Cruz</v>
      </c>
      <c r="AD131" s="2" t="str">
        <f>IFERROR(INDEX(PARADEROS_VALIDOS!$A$2:$A$68,MATCH(AC131,PARADEROS_VALIDOS!$C$2:$C$68,0)),"")</f>
        <v>RUTA 4B</v>
      </c>
      <c r="AE131" s="33" cm="1">
        <f t="array" ref="AE131">ROUND(MIN(6371*ACOS(COS(RADIANS(Y131))*COS(RADIANS(PARADEROS_VALIDOS!$E$2:$E$68))*COS(RADIANS(PARADEROS_VALIDOS!$F$2:$F$68)-RADIANS(Z131))+SIN(RADIANS(Y131))*SIN(RADIANS(PARADEROS_VALIDOS!$E$2:$E$68)))),2)</f>
        <v>0.38</v>
      </c>
      <c r="AF131" s="2" t="str">
        <f t="shared" si="11"/>
        <v>🟢 Muy Cerca (0-1 km)</v>
      </c>
      <c r="AG131" s="2"/>
      <c r="AH131" s="2"/>
      <c r="AI131" s="51">
        <v>-11.997563</v>
      </c>
      <c r="AJ131" s="51">
        <v>-76.900062000000005</v>
      </c>
      <c r="AK131" s="2" t="str">
        <f>IFERROR(VLOOKUP(I131,tdcargo[],2,FALSE),"DESCONOCIDO")</f>
        <v>OPERARIO</v>
      </c>
    </row>
    <row r="132" spans="1:37" x14ac:dyDescent="0.35">
      <c r="A132" s="2" t="s">
        <v>805</v>
      </c>
      <c r="B132" s="2" t="s">
        <v>252</v>
      </c>
      <c r="C132" s="2" t="s">
        <v>806</v>
      </c>
      <c r="D132" s="2" t="s">
        <v>806</v>
      </c>
      <c r="E132" s="2">
        <v>25</v>
      </c>
      <c r="F132" s="2" t="s">
        <v>28</v>
      </c>
      <c r="G132" s="2" t="s">
        <v>29</v>
      </c>
      <c r="H132" s="2">
        <v>20508764</v>
      </c>
      <c r="I132" s="2" t="s">
        <v>30</v>
      </c>
      <c r="J132" s="3">
        <v>45474</v>
      </c>
      <c r="K132" s="2" t="s">
        <v>31</v>
      </c>
      <c r="L132" s="2" t="s">
        <v>72</v>
      </c>
      <c r="M132" s="2" t="s">
        <v>73</v>
      </c>
      <c r="N132" s="2" t="s">
        <v>82</v>
      </c>
      <c r="O132" s="2" t="s">
        <v>807</v>
      </c>
      <c r="P132" s="2" t="s">
        <v>36</v>
      </c>
      <c r="Q132" s="2" t="s">
        <v>808</v>
      </c>
      <c r="R132" s="2">
        <v>15401</v>
      </c>
      <c r="S132" s="2" t="s">
        <v>37</v>
      </c>
      <c r="T132" s="2" t="s">
        <v>37</v>
      </c>
      <c r="U132" s="2" t="s">
        <v>38</v>
      </c>
      <c r="V132" s="3">
        <v>45474</v>
      </c>
      <c r="W132" s="2" t="s">
        <v>48</v>
      </c>
      <c r="X132" s="2" t="str">
        <f t="shared" si="8"/>
        <v>Calle Los Jazmines De Jerusalen Canto Bello, San Juan De Lurigancho, Lima, Lima, Perú</v>
      </c>
      <c r="Y132" s="22">
        <v>-11.9777474</v>
      </c>
      <c r="Z132" s="22">
        <v>-77.013984100000002</v>
      </c>
      <c r="AA132" s="33">
        <f t="shared" si="9"/>
        <v>12.59</v>
      </c>
      <c r="AB132" s="2" t="str">
        <f t="shared" si="10"/>
        <v>🟠 Moderada (10-20 km)</v>
      </c>
      <c r="AC132" s="2" t="str" cm="1">
        <f t="array" ref="AC132">INDEX(PARADEROS_VALIDOS!$C$2:$C$68,MATCH(MIN(6371*ACOS(COS(RADIANS(Y132))*COS(RADIANS(PARADEROS_VALIDOS!$E$2:$E$68))*COS(RADIANS(PARADEROS_VALIDOS!$F$2:$F$68)-RADIANS(Z132))+SIN(RADIANS(Y132))*SIN(RADIANS(PARADEROS_VALIDOS!$E$2:$E$68)))),6371*ACOS(COS(RADIANS(Y132))*COS(RADIANS(PARADEROS_VALIDOS!$E$2:$E$68))*COS(RADIANS(PARADEROS_VALIDOS!$F$2:$F$68)-RADIANS(Z132))+SIN(RADIANS(Y132))*SIN(RADIANS(PARADEROS_VALIDOS!$E$2:$E$68))),0))</f>
        <v>Paradero Acho</v>
      </c>
      <c r="AD132" s="2" t="str">
        <f>IFERROR(INDEX(PARADEROS_VALIDOS!$A$2:$A$68,MATCH(AC132,PARADEROS_VALIDOS!$C$2:$C$68,0)),"")</f>
        <v>RUTA 8</v>
      </c>
      <c r="AE132" s="33" cm="1">
        <f t="array" ref="AE132">ROUND(MIN(6371*ACOS(COS(RADIANS(Y132))*COS(RADIANS(PARADEROS_VALIDOS!$E$2:$E$68))*COS(RADIANS(PARADEROS_VALIDOS!$F$2:$F$68)-RADIANS(Z132))+SIN(RADIANS(Y132))*SIN(RADIANS(PARADEROS_VALIDOS!$E$2:$E$68)))),2)</f>
        <v>1.24</v>
      </c>
      <c r="AF132" s="2" t="str">
        <f t="shared" si="11"/>
        <v>🟡 Cerca (1-3 km)</v>
      </c>
      <c r="AG132" s="2"/>
      <c r="AH132" s="2"/>
      <c r="AI132" s="51">
        <v>-11.997563</v>
      </c>
      <c r="AJ132" s="51">
        <v>-76.900062000000005</v>
      </c>
      <c r="AK132" s="2" t="str">
        <f>IFERROR(VLOOKUP(I132,tdcargo[],2,FALSE),"DESCONOCIDO")</f>
        <v>OPERARIO</v>
      </c>
    </row>
    <row r="133" spans="1:37" x14ac:dyDescent="0.35">
      <c r="A133" s="2" t="s">
        <v>809</v>
      </c>
      <c r="B133" s="2" t="s">
        <v>810</v>
      </c>
      <c r="C133" s="2" t="s">
        <v>811</v>
      </c>
      <c r="D133" s="2" t="s">
        <v>812</v>
      </c>
      <c r="E133" s="2">
        <v>30</v>
      </c>
      <c r="F133" s="2" t="s">
        <v>28</v>
      </c>
      <c r="G133" s="2" t="s">
        <v>29</v>
      </c>
      <c r="H133" s="2">
        <v>20508897</v>
      </c>
      <c r="I133" s="2" t="s">
        <v>30</v>
      </c>
      <c r="J133" s="3">
        <v>44791</v>
      </c>
      <c r="K133" s="2" t="s">
        <v>31</v>
      </c>
      <c r="L133" s="2" t="s">
        <v>72</v>
      </c>
      <c r="M133" s="2" t="s">
        <v>73</v>
      </c>
      <c r="N133" s="2" t="s">
        <v>82</v>
      </c>
      <c r="O133" s="2" t="s">
        <v>813</v>
      </c>
      <c r="P133" s="2" t="s">
        <v>66</v>
      </c>
      <c r="Q133" s="2" t="s">
        <v>814</v>
      </c>
      <c r="R133" s="2">
        <v>15004</v>
      </c>
      <c r="S133" s="2" t="s">
        <v>37</v>
      </c>
      <c r="T133" s="2" t="s">
        <v>37</v>
      </c>
      <c r="U133" s="2" t="s">
        <v>57</v>
      </c>
      <c r="V133" s="3">
        <v>44791</v>
      </c>
      <c r="W133" s="2" t="s">
        <v>48</v>
      </c>
      <c r="X133" s="2" t="str">
        <f t="shared" si="8"/>
        <v>Calle Progresista, U.V. Unidad Vecinal Ceres Medio, Ate, Lima, Lima, Perú</v>
      </c>
      <c r="Y133" s="22">
        <v>-12.032143700000001</v>
      </c>
      <c r="Z133" s="22">
        <v>-76.926494199999993</v>
      </c>
      <c r="AA133" s="33">
        <f t="shared" si="9"/>
        <v>4.8</v>
      </c>
      <c r="AB133" s="2" t="str">
        <f t="shared" si="10"/>
        <v>🟢 Muy Cerca (0-5 km)</v>
      </c>
      <c r="AC133" s="2" t="str" cm="1">
        <f t="array" ref="AC133">INDEX(PARADEROS_VALIDOS!$C$2:$C$68,MATCH(MIN(6371*ACOS(COS(RADIANS(Y133))*COS(RADIANS(PARADEROS_VALIDOS!$E$2:$E$68))*COS(RADIANS(PARADEROS_VALIDOS!$F$2:$F$68)-RADIANS(Z133))+SIN(RADIANS(Y133))*SIN(RADIANS(PARADEROS_VALIDOS!$E$2:$E$68)))),6371*ACOS(COS(RADIANS(Y133))*COS(RADIANS(PARADEROS_VALIDOS!$E$2:$E$68))*COS(RADIANS(PARADEROS_VALIDOS!$F$2:$F$68)-RADIANS(Z133))+SIN(RADIANS(Y133))*SIN(RADIANS(PARADEROS_VALIDOS!$E$2:$E$68))),0))</f>
        <v>Panadería Marcela (cruce de la carretera central, con Av. Jose Carlos Mariátegui)</v>
      </c>
      <c r="AD133" s="2" t="str">
        <f>IFERROR(INDEX(PARADEROS_VALIDOS!$A$2:$A$68,MATCH(AC133,PARADEROS_VALIDOS!$C$2:$C$68,0)),"")</f>
        <v>RUTA 4B</v>
      </c>
      <c r="AE133" s="33" cm="1">
        <f t="array" ref="AE133">ROUND(MIN(6371*ACOS(COS(RADIANS(Y133))*COS(RADIANS(PARADEROS_VALIDOS!$E$2:$E$68))*COS(RADIANS(PARADEROS_VALIDOS!$F$2:$F$68)-RADIANS(Z133))+SIN(RADIANS(Y133))*SIN(RADIANS(PARADEROS_VALIDOS!$E$2:$E$68)))),2)</f>
        <v>0.89</v>
      </c>
      <c r="AF133" s="2" t="str">
        <f t="shared" si="11"/>
        <v>🟢 Muy Cerca (0-1 km)</v>
      </c>
      <c r="AG133" s="2"/>
      <c r="AH133" s="2"/>
      <c r="AI133" s="51">
        <v>-11.997563</v>
      </c>
      <c r="AJ133" s="51">
        <v>-76.900062000000005</v>
      </c>
      <c r="AK133" s="2" t="str">
        <f>IFERROR(VLOOKUP(I133,tdcargo[],2,FALSE),"DESCONOCIDO")</f>
        <v>OPERARIO</v>
      </c>
    </row>
    <row r="134" spans="1:37" x14ac:dyDescent="0.35">
      <c r="A134" s="2" t="s">
        <v>815</v>
      </c>
      <c r="B134" s="2" t="s">
        <v>816</v>
      </c>
      <c r="C134" s="2" t="s">
        <v>363</v>
      </c>
      <c r="D134" s="2" t="s">
        <v>678</v>
      </c>
      <c r="E134" s="2">
        <v>26</v>
      </c>
      <c r="F134" s="2" t="s">
        <v>28</v>
      </c>
      <c r="G134" s="2" t="s">
        <v>29</v>
      </c>
      <c r="H134" s="2">
        <v>20510594</v>
      </c>
      <c r="I134" s="2" t="s">
        <v>30</v>
      </c>
      <c r="J134" s="3">
        <v>45583</v>
      </c>
      <c r="K134" s="2" t="s">
        <v>31</v>
      </c>
      <c r="L134" s="2" t="s">
        <v>100</v>
      </c>
      <c r="M134" s="2" t="s">
        <v>101</v>
      </c>
      <c r="N134" s="2" t="s">
        <v>36</v>
      </c>
      <c r="O134" s="2" t="s">
        <v>817</v>
      </c>
      <c r="P134" s="2" t="s">
        <v>36</v>
      </c>
      <c r="Q134" s="2" t="s">
        <v>818</v>
      </c>
      <c r="R134" s="2">
        <v>15457</v>
      </c>
      <c r="S134" s="2" t="s">
        <v>37</v>
      </c>
      <c r="T134" s="2" t="s">
        <v>37</v>
      </c>
      <c r="U134" s="2" t="s">
        <v>76</v>
      </c>
      <c r="V134" s="3">
        <v>45583</v>
      </c>
      <c r="W134" s="2" t="s">
        <v>48</v>
      </c>
      <c r="X134" s="2" t="str">
        <f t="shared" si="8"/>
        <v>Asoc.Sol De Cajamarquilla Mz.N Lote 2 Sol De Cajamarquilla, Lurigancho, Lima, Lima, Perú</v>
      </c>
      <c r="Y134" s="22">
        <v>-11.984105100000001</v>
      </c>
      <c r="Z134" s="22">
        <v>-76.9183594</v>
      </c>
      <c r="AA134" s="33">
        <f t="shared" si="9"/>
        <v>2.4900000000000002</v>
      </c>
      <c r="AB134" s="2" t="str">
        <f t="shared" si="10"/>
        <v>🟢 Muy Cerca (0-5 km)</v>
      </c>
      <c r="AC134" s="2" t="str" cm="1">
        <f t="array" ref="AC134">INDEX(PARADEROS_VALIDOS!$C$2:$C$68,MATCH(MIN(6371*ACOS(COS(RADIANS(Y134))*COS(RADIANS(PARADEROS_VALIDOS!$E$2:$E$68))*COS(RADIANS(PARADEROS_VALIDOS!$F$2:$F$68)-RADIANS(Z134))+SIN(RADIANS(Y134))*SIN(RADIANS(PARADEROS_VALIDOS!$E$2:$E$68)))),6371*ACOS(COS(RADIANS(Y134))*COS(RADIANS(PARADEROS_VALIDOS!$E$2:$E$68))*COS(RADIANS(PARADEROS_VALIDOS!$F$2:$F$68)-RADIANS(Z134))+SIN(RADIANS(Y134))*SIN(RADIANS(PARADEROS_VALIDOS!$E$2:$E$68))),0))</f>
        <v>Paradero Arco San Antonio</v>
      </c>
      <c r="AD134" s="2" t="str">
        <f>IFERROR(INDEX(PARADEROS_VALIDOS!$A$2:$A$68,MATCH(AC134,PARADEROS_VALIDOS!$C$2:$C$68,0)),"")</f>
        <v>RUTA 2</v>
      </c>
      <c r="AE134" s="33" cm="1">
        <f t="array" ref="AE134">ROUND(MIN(6371*ACOS(COS(RADIANS(Y134))*COS(RADIANS(PARADEROS_VALIDOS!$E$2:$E$68))*COS(RADIANS(PARADEROS_VALIDOS!$F$2:$F$68)-RADIANS(Z134))+SIN(RADIANS(Y134))*SIN(RADIANS(PARADEROS_VALIDOS!$E$2:$E$68)))),2)</f>
        <v>1.96</v>
      </c>
      <c r="AF134" s="2" t="str">
        <f t="shared" si="11"/>
        <v>🟡 Cerca (1-3 km)</v>
      </c>
      <c r="AG134" s="2"/>
      <c r="AH134" s="2"/>
      <c r="AI134" s="51">
        <v>-11.997563</v>
      </c>
      <c r="AJ134" s="51">
        <v>-76.900062000000005</v>
      </c>
      <c r="AK134" s="2" t="str">
        <f>IFERROR(VLOOKUP(I134,tdcargo[],2,FALSE),"DESCONOCIDO")</f>
        <v>OPERARIO</v>
      </c>
    </row>
    <row r="135" spans="1:37" x14ac:dyDescent="0.35">
      <c r="A135" s="2" t="s">
        <v>819</v>
      </c>
      <c r="B135" s="2" t="s">
        <v>820</v>
      </c>
      <c r="C135" s="2" t="s">
        <v>821</v>
      </c>
      <c r="D135" s="2" t="s">
        <v>415</v>
      </c>
      <c r="E135" s="2">
        <v>25</v>
      </c>
      <c r="F135" s="2" t="s">
        <v>28</v>
      </c>
      <c r="G135" s="2" t="s">
        <v>29</v>
      </c>
      <c r="H135" s="2">
        <v>20509005</v>
      </c>
      <c r="I135" s="2" t="s">
        <v>822</v>
      </c>
      <c r="J135" s="3">
        <v>46097</v>
      </c>
      <c r="K135" s="2" t="s">
        <v>31</v>
      </c>
      <c r="L135" s="2" t="s">
        <v>823</v>
      </c>
      <c r="M135" s="2" t="s">
        <v>824</v>
      </c>
      <c r="N135" s="2"/>
      <c r="O135" s="2" t="s">
        <v>825</v>
      </c>
      <c r="P135" s="2" t="s">
        <v>36</v>
      </c>
      <c r="Q135" s="2"/>
      <c r="R135" s="2">
        <v>15046</v>
      </c>
      <c r="S135" s="2" t="s">
        <v>37</v>
      </c>
      <c r="T135" s="2" t="s">
        <v>37</v>
      </c>
      <c r="U135" s="2" t="s">
        <v>210</v>
      </c>
      <c r="V135" s="3">
        <v>46097</v>
      </c>
      <c r="W135" s="2" t="s">
        <v>135</v>
      </c>
      <c r="X135" s="2" t="str">
        <f t="shared" si="8"/>
        <v>JIRON RIOBAMBA 2065 URB PERU, San Martin De Porres, Lima, Lima, Perú</v>
      </c>
      <c r="Y135" s="22">
        <v>-12.034026799999999</v>
      </c>
      <c r="Z135" s="22">
        <v>-77.067675199999996</v>
      </c>
      <c r="AA135" s="33">
        <f t="shared" si="9"/>
        <v>18.670000000000002</v>
      </c>
      <c r="AB135" s="2" t="str">
        <f t="shared" si="10"/>
        <v>🟠 Moderada (10-20 km)</v>
      </c>
      <c r="AC135" s="2" t="str" cm="1">
        <f t="array" ref="AC135">INDEX(PARADEROS_VALIDOS!$C$2:$C$68,MATCH(MIN(6371*ACOS(COS(RADIANS(Y135))*COS(RADIANS(PARADEROS_VALIDOS!$E$2:$E$68))*COS(RADIANS(PARADEROS_VALIDOS!$F$2:$F$68)-RADIANS(Z135))+SIN(RADIANS(Y135))*SIN(RADIANS(PARADEROS_VALIDOS!$E$2:$E$68)))),6371*ACOS(COS(RADIANS(Y135))*COS(RADIANS(PARADEROS_VALIDOS!$E$2:$E$68))*COS(RADIANS(PARADEROS_VALIDOS!$F$2:$F$68)-RADIANS(Z135))+SIN(RADIANS(Y135))*SIN(RADIANS(PARADEROS_VALIDOS!$E$2:$E$68))),0))</f>
        <v>Paradero Puente Los Ángeles</v>
      </c>
      <c r="AD135" s="2" t="str">
        <f>IFERROR(INDEX(PARADEROS_VALIDOS!$A$2:$A$68,MATCH(AC135,PARADEROS_VALIDOS!$C$2:$C$68,0)),"")</f>
        <v>RUTA 5A</v>
      </c>
      <c r="AE135" s="33" cm="1">
        <f t="array" ref="AE135">ROUND(MIN(6371*ACOS(COS(RADIANS(Y135))*COS(RADIANS(PARADEROS_VALIDOS!$E$2:$E$68))*COS(RADIANS(PARADEROS_VALIDOS!$F$2:$F$68)-RADIANS(Z135))+SIN(RADIANS(Y135))*SIN(RADIANS(PARADEROS_VALIDOS!$E$2:$E$68)))),2)</f>
        <v>0.33</v>
      </c>
      <c r="AF135" s="2" t="str">
        <f t="shared" si="11"/>
        <v>🟢 Muy Cerca (0-1 km)</v>
      </c>
      <c r="AG135" s="2"/>
      <c r="AH135" s="2"/>
      <c r="AI135" s="51">
        <v>-11.997563</v>
      </c>
      <c r="AJ135" s="51">
        <v>-76.900062000000005</v>
      </c>
      <c r="AK135" s="2" t="str">
        <f>IFERROR(VLOOKUP(I135,tdcargo[],2,FALSE),"DESCONOCIDO")</f>
        <v>STAFF</v>
      </c>
    </row>
    <row r="136" spans="1:37" x14ac:dyDescent="0.35">
      <c r="A136" s="2" t="s">
        <v>826</v>
      </c>
      <c r="B136" s="2" t="s">
        <v>827</v>
      </c>
      <c r="C136" s="2" t="s">
        <v>828</v>
      </c>
      <c r="D136" s="2" t="s">
        <v>43</v>
      </c>
      <c r="E136" s="2">
        <v>30</v>
      </c>
      <c r="F136" s="2" t="s">
        <v>28</v>
      </c>
      <c r="G136" s="2" t="s">
        <v>29</v>
      </c>
      <c r="H136" s="2">
        <v>20508935</v>
      </c>
      <c r="I136" s="2" t="s">
        <v>62</v>
      </c>
      <c r="J136" s="3">
        <v>43864</v>
      </c>
      <c r="K136" s="2" t="s">
        <v>31</v>
      </c>
      <c r="L136" s="2" t="s">
        <v>32</v>
      </c>
      <c r="M136" s="2" t="s">
        <v>33</v>
      </c>
      <c r="N136" s="2" t="s">
        <v>36</v>
      </c>
      <c r="O136" s="2" t="s">
        <v>829</v>
      </c>
      <c r="P136" s="2" t="s">
        <v>88</v>
      </c>
      <c r="Q136" s="2" t="s">
        <v>830</v>
      </c>
      <c r="R136" s="2">
        <v>15401</v>
      </c>
      <c r="S136" s="2" t="s">
        <v>37</v>
      </c>
      <c r="T136" s="2" t="s">
        <v>37</v>
      </c>
      <c r="U136" s="2" t="s">
        <v>38</v>
      </c>
      <c r="V136" s="3">
        <v>43864</v>
      </c>
      <c r="W136" s="2" t="s">
        <v>48</v>
      </c>
      <c r="X136" s="2" t="str">
        <f t="shared" si="8"/>
        <v>Aahh, A.H. Asentamiento Humano Union Y Progreso 14 De Febrero, San Juan De Lurigancho, Lima, Lima, Perú</v>
      </c>
      <c r="Y136" s="22">
        <v>-11.9681073</v>
      </c>
      <c r="Z136" s="22">
        <v>-77.009398599999997</v>
      </c>
      <c r="AA136" s="33">
        <f t="shared" si="9"/>
        <v>12.34</v>
      </c>
      <c r="AB136" s="2" t="str">
        <f t="shared" si="10"/>
        <v>🟠 Moderada (10-20 km)</v>
      </c>
      <c r="AC136" s="2" t="str" cm="1">
        <f t="array" ref="AC136">INDEX(PARADEROS_VALIDOS!$C$2:$C$68,MATCH(MIN(6371*ACOS(COS(RADIANS(Y136))*COS(RADIANS(PARADEROS_VALIDOS!$E$2:$E$68))*COS(RADIANS(PARADEROS_VALIDOS!$F$2:$F$68)-RADIANS(Z136))+SIN(RADIANS(Y136))*SIN(RADIANS(PARADEROS_VALIDOS!$E$2:$E$68)))),6371*ACOS(COS(RADIANS(Y136))*COS(RADIANS(PARADEROS_VALIDOS!$E$2:$E$68))*COS(RADIANS(PARADEROS_VALIDOS!$F$2:$F$68)-RADIANS(Z136))+SIN(RADIANS(Y136))*SIN(RADIANS(PARADEROS_VALIDOS!$E$2:$E$68))),0))</f>
        <v>Paradero Acho</v>
      </c>
      <c r="AD136" s="2" t="str">
        <f>IFERROR(INDEX(PARADEROS_VALIDOS!$A$2:$A$68,MATCH(AC136,PARADEROS_VALIDOS!$C$2:$C$68,0)),"")</f>
        <v>RUTA 8</v>
      </c>
      <c r="AE136" s="33" cm="1">
        <f t="array" ref="AE136">ROUND(MIN(6371*ACOS(COS(RADIANS(Y136))*COS(RADIANS(PARADEROS_VALIDOS!$E$2:$E$68))*COS(RADIANS(PARADEROS_VALIDOS!$F$2:$F$68)-RADIANS(Z136))+SIN(RADIANS(Y136))*SIN(RADIANS(PARADEROS_VALIDOS!$E$2:$E$68)))),2)</f>
        <v>0.75</v>
      </c>
      <c r="AF136" s="2" t="str">
        <f t="shared" si="11"/>
        <v>🟢 Muy Cerca (0-1 km)</v>
      </c>
      <c r="AG136" s="2"/>
      <c r="AH136" s="2"/>
      <c r="AI136" s="51">
        <v>-11.997563</v>
      </c>
      <c r="AJ136" s="51">
        <v>-76.900062000000005</v>
      </c>
      <c r="AK136" s="2" t="str">
        <f>IFERROR(VLOOKUP(I136,tdcargo[],2,FALSE),"DESCONOCIDO")</f>
        <v>OPERARIO</v>
      </c>
    </row>
    <row r="137" spans="1:37" x14ac:dyDescent="0.35">
      <c r="A137" s="2" t="s">
        <v>831</v>
      </c>
      <c r="B137" s="2" t="s">
        <v>832</v>
      </c>
      <c r="C137" s="2" t="s">
        <v>531</v>
      </c>
      <c r="D137" s="2" t="s">
        <v>833</v>
      </c>
      <c r="E137" s="2">
        <v>24</v>
      </c>
      <c r="F137" s="2" t="s">
        <v>28</v>
      </c>
      <c r="G137" s="2" t="s">
        <v>29</v>
      </c>
      <c r="H137" s="2">
        <v>20510610</v>
      </c>
      <c r="I137" s="2" t="s">
        <v>30</v>
      </c>
      <c r="J137" s="3">
        <v>46034</v>
      </c>
      <c r="K137" s="2" t="s">
        <v>31</v>
      </c>
      <c r="L137" s="2" t="s">
        <v>132</v>
      </c>
      <c r="M137" s="2" t="s">
        <v>133</v>
      </c>
      <c r="N137" s="2" t="s">
        <v>36</v>
      </c>
      <c r="O137" s="2" t="s">
        <v>834</v>
      </c>
      <c r="P137" s="2" t="s">
        <v>36</v>
      </c>
      <c r="Q137" s="2"/>
      <c r="R137" s="2">
        <v>15457</v>
      </c>
      <c r="S137" s="2" t="s">
        <v>37</v>
      </c>
      <c r="T137" s="2" t="s">
        <v>37</v>
      </c>
      <c r="U137" s="2" t="s">
        <v>76</v>
      </c>
      <c r="V137" s="3">
        <v>46034</v>
      </c>
      <c r="W137" s="2" t="s">
        <v>135</v>
      </c>
      <c r="X137" s="2" t="str">
        <f t="shared" si="8"/>
        <v>Santa Cruz, Lurigancho, Lima, Lima, Perú</v>
      </c>
      <c r="Y137" s="22">
        <v>-11.9812674</v>
      </c>
      <c r="Z137" s="22">
        <v>-76.909825900000001</v>
      </c>
      <c r="AA137" s="33">
        <f t="shared" si="9"/>
        <v>2.1</v>
      </c>
      <c r="AB137" s="2" t="str">
        <f t="shared" si="10"/>
        <v>🟢 Muy Cerca (0-5 km)</v>
      </c>
      <c r="AC137" s="2" t="str" cm="1">
        <f t="array" ref="AC137">INDEX(PARADEROS_VALIDOS!$C$2:$C$68,MATCH(MIN(6371*ACOS(COS(RADIANS(Y137))*COS(RADIANS(PARADEROS_VALIDOS!$E$2:$E$68))*COS(RADIANS(PARADEROS_VALIDOS!$F$2:$F$68)-RADIANS(Z137))+SIN(RADIANS(Y137))*SIN(RADIANS(PARADEROS_VALIDOS!$E$2:$E$68)))),6371*ACOS(COS(RADIANS(Y137))*COS(RADIANS(PARADEROS_VALIDOS!$E$2:$E$68))*COS(RADIANS(PARADEROS_VALIDOS!$F$2:$F$68)-RADIANS(Z137))+SIN(RADIANS(Y137))*SIN(RADIANS(PARADEROS_VALIDOS!$E$2:$E$68))),0))</f>
        <v>Paradero Arco San Antonio</v>
      </c>
      <c r="AD137" s="2" t="str">
        <f>IFERROR(INDEX(PARADEROS_VALIDOS!$A$2:$A$68,MATCH(AC137,PARADEROS_VALIDOS!$C$2:$C$68,0)),"")</f>
        <v>RUTA 2</v>
      </c>
      <c r="AE137" s="33" cm="1">
        <f t="array" ref="AE137">ROUND(MIN(6371*ACOS(COS(RADIANS(Y137))*COS(RADIANS(PARADEROS_VALIDOS!$E$2:$E$68))*COS(RADIANS(PARADEROS_VALIDOS!$F$2:$F$68)-RADIANS(Z137))+SIN(RADIANS(Y137))*SIN(RADIANS(PARADEROS_VALIDOS!$E$2:$E$68)))),2)</f>
        <v>1.54</v>
      </c>
      <c r="AF137" s="2" t="str">
        <f t="shared" si="11"/>
        <v>🟡 Cerca (1-3 km)</v>
      </c>
      <c r="AG137" s="2"/>
      <c r="AH137" s="2"/>
      <c r="AI137" s="51">
        <v>-11.997563</v>
      </c>
      <c r="AJ137" s="51">
        <v>-76.900062000000005</v>
      </c>
      <c r="AK137" s="2" t="str">
        <f>IFERROR(VLOOKUP(I137,tdcargo[],2,FALSE),"DESCONOCIDO")</f>
        <v>OPERARIO</v>
      </c>
    </row>
    <row r="138" spans="1:37" x14ac:dyDescent="0.35">
      <c r="A138" s="2" t="s">
        <v>835</v>
      </c>
      <c r="B138" s="2" t="s">
        <v>836</v>
      </c>
      <c r="C138" s="2" t="s">
        <v>629</v>
      </c>
      <c r="D138" s="2" t="s">
        <v>837</v>
      </c>
      <c r="E138" s="2">
        <v>21</v>
      </c>
      <c r="F138" s="2" t="s">
        <v>28</v>
      </c>
      <c r="G138" s="2" t="s">
        <v>29</v>
      </c>
      <c r="H138" s="2">
        <v>20508988</v>
      </c>
      <c r="I138" s="2" t="s">
        <v>30</v>
      </c>
      <c r="J138" s="3">
        <v>45779</v>
      </c>
      <c r="K138" s="2" t="s">
        <v>31</v>
      </c>
      <c r="L138" s="2" t="s">
        <v>63</v>
      </c>
      <c r="M138" s="2" t="s">
        <v>64</v>
      </c>
      <c r="N138" s="2" t="s">
        <v>36</v>
      </c>
      <c r="O138" s="2" t="s">
        <v>838</v>
      </c>
      <c r="P138" s="2" t="s">
        <v>36</v>
      </c>
      <c r="Q138" s="2" t="s">
        <v>839</v>
      </c>
      <c r="R138" s="2">
        <v>15004</v>
      </c>
      <c r="S138" s="2" t="s">
        <v>37</v>
      </c>
      <c r="T138" s="2" t="s">
        <v>37</v>
      </c>
      <c r="U138" s="2" t="s">
        <v>57</v>
      </c>
      <c r="V138" s="3">
        <v>45779</v>
      </c>
      <c r="W138" s="2" t="s">
        <v>39</v>
      </c>
      <c r="X138" s="2" t="str">
        <f t="shared" si="8"/>
        <v>Asoc.Prov.Vv.El Vallecito De Santa Clara Asoc.Pro.Viv.El Vallecito De Santa Clara, Ate, Lima, Lima, Perú</v>
      </c>
      <c r="Y138" s="22">
        <v>-12.019954200000001</v>
      </c>
      <c r="Z138" s="22">
        <v>-76.886508500000005</v>
      </c>
      <c r="AA138" s="33">
        <f t="shared" si="9"/>
        <v>2.89</v>
      </c>
      <c r="AB138" s="2" t="str">
        <f t="shared" si="10"/>
        <v>🟢 Muy Cerca (0-5 km)</v>
      </c>
      <c r="AC138" s="2" t="str" cm="1">
        <f t="array" ref="AC138">INDEX(PARADEROS_VALIDOS!$C$2:$C$68,MATCH(MIN(6371*ACOS(COS(RADIANS(Y138))*COS(RADIANS(PARADEROS_VALIDOS!$E$2:$E$68))*COS(RADIANS(PARADEROS_VALIDOS!$F$2:$F$68)-RADIANS(Z138))+SIN(RADIANS(Y138))*SIN(RADIANS(PARADEROS_VALIDOS!$E$2:$E$68)))),6371*ACOS(COS(RADIANS(Y138))*COS(RADIANS(PARADEROS_VALIDOS!$E$2:$E$68))*COS(RADIANS(PARADEROS_VALIDOS!$F$2:$F$68)-RADIANS(Z138))+SIN(RADIANS(Y138))*SIN(RADIANS(PARADEROS_VALIDOS!$E$2:$E$68))),0))</f>
        <v>Paradero Sta. Clara</v>
      </c>
      <c r="AD138" s="2" t="str">
        <f>IFERROR(INDEX(PARADEROS_VALIDOS!$A$2:$A$68,MATCH(AC138,PARADEROS_VALIDOS!$C$2:$C$68,0)),"")</f>
        <v>RUTA 5C</v>
      </c>
      <c r="AE138" s="33" cm="1">
        <f t="array" ref="AE138">ROUND(MIN(6371*ACOS(COS(RADIANS(Y138))*COS(RADIANS(PARADEROS_VALIDOS!$E$2:$E$68))*COS(RADIANS(PARADEROS_VALIDOS!$F$2:$F$68)-RADIANS(Z138))+SIN(RADIANS(Y138))*SIN(RADIANS(PARADEROS_VALIDOS!$E$2:$E$68)))),2)</f>
        <v>0.59</v>
      </c>
      <c r="AF138" s="2" t="str">
        <f t="shared" si="11"/>
        <v>🟢 Muy Cerca (0-1 km)</v>
      </c>
      <c r="AG138" s="2"/>
      <c r="AH138" s="2"/>
      <c r="AI138" s="51">
        <v>-11.997563</v>
      </c>
      <c r="AJ138" s="51">
        <v>-76.900062000000005</v>
      </c>
      <c r="AK138" s="2" t="str">
        <f>IFERROR(VLOOKUP(I138,tdcargo[],2,FALSE),"DESCONOCIDO")</f>
        <v>OPERARIO</v>
      </c>
    </row>
    <row r="139" spans="1:37" x14ac:dyDescent="0.35">
      <c r="A139" s="2" t="s">
        <v>840</v>
      </c>
      <c r="B139" s="2" t="s">
        <v>841</v>
      </c>
      <c r="C139" s="2" t="s">
        <v>842</v>
      </c>
      <c r="D139" s="2" t="s">
        <v>843</v>
      </c>
      <c r="E139" s="2">
        <v>31</v>
      </c>
      <c r="F139" s="2" t="s">
        <v>28</v>
      </c>
      <c r="G139" s="2" t="s">
        <v>29</v>
      </c>
      <c r="H139" s="2">
        <v>20509018</v>
      </c>
      <c r="I139" s="2" t="s">
        <v>372</v>
      </c>
      <c r="J139" s="3">
        <v>45229</v>
      </c>
      <c r="K139" s="2" t="s">
        <v>31</v>
      </c>
      <c r="L139" s="2" t="s">
        <v>373</v>
      </c>
      <c r="M139" s="2" t="s">
        <v>374</v>
      </c>
      <c r="N139" s="2" t="s">
        <v>82</v>
      </c>
      <c r="O139" s="2" t="s">
        <v>844</v>
      </c>
      <c r="P139" s="2" t="s">
        <v>36</v>
      </c>
      <c r="Q139" s="2" t="s">
        <v>845</v>
      </c>
      <c r="R139" s="2">
        <v>15004</v>
      </c>
      <c r="S139" s="2" t="s">
        <v>37</v>
      </c>
      <c r="T139" s="2" t="s">
        <v>37</v>
      </c>
      <c r="U139" s="2" t="s">
        <v>57</v>
      </c>
      <c r="V139" s="3">
        <v>45229</v>
      </c>
      <c r="W139" s="2" t="s">
        <v>48</v>
      </c>
      <c r="X139" s="2" t="str">
        <f t="shared" si="8"/>
        <v>Calle Los Moros Ceres, Ate, Lima, Lima, Perú</v>
      </c>
      <c r="Y139" s="22">
        <v>-12.033214299999999</v>
      </c>
      <c r="Z139" s="22">
        <v>-76.924800599999998</v>
      </c>
      <c r="AA139" s="33">
        <f t="shared" si="9"/>
        <v>4.79</v>
      </c>
      <c r="AB139" s="2" t="str">
        <f t="shared" si="10"/>
        <v>🟢 Muy Cerca (0-5 km)</v>
      </c>
      <c r="AC139" s="2" t="str" cm="1">
        <f t="array" ref="AC139">INDEX(PARADEROS_VALIDOS!$C$2:$C$68,MATCH(MIN(6371*ACOS(COS(RADIANS(Y139))*COS(RADIANS(PARADEROS_VALIDOS!$E$2:$E$68))*COS(RADIANS(PARADEROS_VALIDOS!$F$2:$F$68)-RADIANS(Z139))+SIN(RADIANS(Y139))*SIN(RADIANS(PARADEROS_VALIDOS!$E$2:$E$68)))),6371*ACOS(COS(RADIANS(Y139))*COS(RADIANS(PARADEROS_VALIDOS!$E$2:$E$68))*COS(RADIANS(PARADEROS_VALIDOS!$F$2:$F$68)-RADIANS(Z139))+SIN(RADIANS(Y139))*SIN(RADIANS(PARADEROS_VALIDOS!$E$2:$E$68))),0))</f>
        <v>Panadería Marcela (cruce de la carretera central, con Av. Jose Carlos Mariátegui)</v>
      </c>
      <c r="AD139" s="2" t="str">
        <f>IFERROR(INDEX(PARADEROS_VALIDOS!$A$2:$A$68,MATCH(AC139,PARADEROS_VALIDOS!$C$2:$C$68,0)),"")</f>
        <v>RUTA 4B</v>
      </c>
      <c r="AE139" s="33" cm="1">
        <f t="array" ref="AE139">ROUND(MIN(6371*ACOS(COS(RADIANS(Y139))*COS(RADIANS(PARADEROS_VALIDOS!$E$2:$E$68))*COS(RADIANS(PARADEROS_VALIDOS!$F$2:$F$68)-RADIANS(Z139))+SIN(RADIANS(Y139))*SIN(RADIANS(PARADEROS_VALIDOS!$E$2:$E$68)))),2)</f>
        <v>0.86</v>
      </c>
      <c r="AF139" s="2" t="str">
        <f t="shared" si="11"/>
        <v>🟢 Muy Cerca (0-1 km)</v>
      </c>
      <c r="AG139" s="2"/>
      <c r="AH139" s="2"/>
      <c r="AI139" s="51">
        <v>-11.997563</v>
      </c>
      <c r="AJ139" s="51">
        <v>-76.900062000000005</v>
      </c>
      <c r="AK139" s="2" t="str">
        <f>IFERROR(VLOOKUP(I139,tdcargo[],2,FALSE),"DESCONOCIDO")</f>
        <v>OPERARIO</v>
      </c>
    </row>
    <row r="140" spans="1:37" x14ac:dyDescent="0.35">
      <c r="A140" s="2" t="s">
        <v>846</v>
      </c>
      <c r="B140" s="2" t="s">
        <v>847</v>
      </c>
      <c r="C140" s="2" t="s">
        <v>848</v>
      </c>
      <c r="D140" s="2" t="s">
        <v>849</v>
      </c>
      <c r="E140" s="2">
        <v>32</v>
      </c>
      <c r="F140" s="2" t="s">
        <v>28</v>
      </c>
      <c r="G140" s="2" t="s">
        <v>29</v>
      </c>
      <c r="H140" s="2">
        <v>20508851</v>
      </c>
      <c r="I140" s="2" t="s">
        <v>62</v>
      </c>
      <c r="J140" s="3">
        <v>43843</v>
      </c>
      <c r="K140" s="2" t="s">
        <v>31</v>
      </c>
      <c r="L140" s="2" t="s">
        <v>164</v>
      </c>
      <c r="M140" s="2" t="s">
        <v>165</v>
      </c>
      <c r="N140" s="2" t="s">
        <v>36</v>
      </c>
      <c r="O140" s="2" t="s">
        <v>255</v>
      </c>
      <c r="P140" s="2" t="s">
        <v>66</v>
      </c>
      <c r="Q140" s="2" t="s">
        <v>208</v>
      </c>
      <c r="R140" s="2">
        <v>15457</v>
      </c>
      <c r="S140" s="2" t="s">
        <v>37</v>
      </c>
      <c r="T140" s="2" t="s">
        <v>37</v>
      </c>
      <c r="U140" s="2" t="s">
        <v>76</v>
      </c>
      <c r="V140" s="3">
        <v>43843</v>
      </c>
      <c r="W140" s="2" t="s">
        <v>48</v>
      </c>
      <c r="X140" s="2" t="str">
        <f t="shared" si="8"/>
        <v>Asociacion, U.V. Unidad Vecinal La Florida, Lurigancho, Lima, Lima, Perú</v>
      </c>
      <c r="Y140" s="22">
        <v>-11.9300576</v>
      </c>
      <c r="Z140" s="22">
        <v>-76.688733099999993</v>
      </c>
      <c r="AA140" s="33">
        <f t="shared" si="9"/>
        <v>24.18</v>
      </c>
      <c r="AB140" s="2" t="str">
        <f t="shared" si="10"/>
        <v>🔴 Lejos (&gt;20 km)</v>
      </c>
      <c r="AC140" s="2" t="str" cm="1">
        <f t="array" ref="AC140">INDEX(PARADEROS_VALIDOS!$C$2:$C$68,MATCH(MIN(6371*ACOS(COS(RADIANS(Y140))*COS(RADIANS(PARADEROS_VALIDOS!$E$2:$E$68))*COS(RADIANS(PARADEROS_VALIDOS!$F$2:$F$68)-RADIANS(Z140))+SIN(RADIANS(Y140))*SIN(RADIANS(PARADEROS_VALIDOS!$E$2:$E$68)))),6371*ACOS(COS(RADIANS(Y140))*COS(RADIANS(PARADEROS_VALIDOS!$E$2:$E$68))*COS(RADIANS(PARADEROS_VALIDOS!$F$2:$F$68)-RADIANS(Z140))+SIN(RADIANS(Y140))*SIN(RADIANS(PARADEROS_VALIDOS!$E$2:$E$68))),0))</f>
        <v>Paradero Girasoles - Chaclacayo</v>
      </c>
      <c r="AD140" s="2" t="str">
        <f>IFERROR(INDEX(PARADEROS_VALIDOS!$A$2:$A$68,MATCH(AC140,PARADEROS_VALIDOS!$C$2:$C$68,0)),"")</f>
        <v>RUTA 5A</v>
      </c>
      <c r="AE140" s="33" cm="1">
        <f t="array" ref="AE140">ROUND(MIN(6371*ACOS(COS(RADIANS(Y140))*COS(RADIANS(PARADEROS_VALIDOS!$E$2:$E$68))*COS(RADIANS(PARADEROS_VALIDOS!$F$2:$F$68)-RADIANS(Z140))+SIN(RADIANS(Y140))*SIN(RADIANS(PARADEROS_VALIDOS!$E$2:$E$68)))),2)</f>
        <v>10.47</v>
      </c>
      <c r="AF140" s="2" t="str">
        <f t="shared" si="11"/>
        <v>🔴 Lejos (&gt;5 km)</v>
      </c>
      <c r="AG140" s="2"/>
      <c r="AH140" s="2"/>
      <c r="AI140" s="51">
        <v>-11.997563</v>
      </c>
      <c r="AJ140" s="51">
        <v>-76.900062000000005</v>
      </c>
      <c r="AK140" s="2" t="str">
        <f>IFERROR(VLOOKUP(I140,tdcargo[],2,FALSE),"DESCONOCIDO")</f>
        <v>OPERARIO</v>
      </c>
    </row>
    <row r="141" spans="1:37" x14ac:dyDescent="0.35">
      <c r="A141" s="2" t="s">
        <v>850</v>
      </c>
      <c r="B141" s="2" t="s">
        <v>851</v>
      </c>
      <c r="C141" s="2" t="s">
        <v>26</v>
      </c>
      <c r="D141" s="2" t="s">
        <v>852</v>
      </c>
      <c r="E141" s="2">
        <v>41</v>
      </c>
      <c r="F141" s="2" t="s">
        <v>28</v>
      </c>
      <c r="G141" s="2" t="s">
        <v>29</v>
      </c>
      <c r="H141" s="2">
        <v>20515640</v>
      </c>
      <c r="I141" s="2" t="s">
        <v>44</v>
      </c>
      <c r="J141" s="3">
        <v>43153</v>
      </c>
      <c r="K141" s="2" t="s">
        <v>31</v>
      </c>
      <c r="L141" s="2" t="s">
        <v>164</v>
      </c>
      <c r="M141" s="2" t="s">
        <v>165</v>
      </c>
      <c r="N141" s="2" t="s">
        <v>36</v>
      </c>
      <c r="O141" s="2" t="s">
        <v>853</v>
      </c>
      <c r="P141" s="2" t="s">
        <v>66</v>
      </c>
      <c r="Q141" s="2" t="s">
        <v>853</v>
      </c>
      <c r="R141" s="2">
        <v>15004</v>
      </c>
      <c r="S141" s="2" t="s">
        <v>37</v>
      </c>
      <c r="T141" s="2" t="s">
        <v>37</v>
      </c>
      <c r="U141" s="2" t="s">
        <v>57</v>
      </c>
      <c r="V141" s="3">
        <v>43153</v>
      </c>
      <c r="W141" s="2" t="s">
        <v>48</v>
      </c>
      <c r="X141" s="2" t="str">
        <f t="shared" si="8"/>
        <v>7 De Abril, U.V. Unidad Vecinal 7 De Abril, Ate, Lima, Lima, Perú</v>
      </c>
      <c r="Y141" s="22">
        <v>-12.023711</v>
      </c>
      <c r="Z141" s="22">
        <v>-76.894016899999997</v>
      </c>
      <c r="AA141" s="33">
        <f t="shared" si="9"/>
        <v>2.98</v>
      </c>
      <c r="AB141" s="2" t="str">
        <f t="shared" si="10"/>
        <v>🟢 Muy Cerca (0-5 km)</v>
      </c>
      <c r="AC141" s="2" t="str" cm="1">
        <f t="array" ref="AC141">INDEX(PARADEROS_VALIDOS!$C$2:$C$68,MATCH(MIN(6371*ACOS(COS(RADIANS(Y141))*COS(RADIANS(PARADEROS_VALIDOS!$E$2:$E$68))*COS(RADIANS(PARADEROS_VALIDOS!$F$2:$F$68)-RADIANS(Z141))+SIN(RADIANS(Y141))*SIN(RADIANS(PARADEROS_VALIDOS!$E$2:$E$68)))),6371*ACOS(COS(RADIANS(Y141))*COS(RADIANS(PARADEROS_VALIDOS!$E$2:$E$68))*COS(RADIANS(PARADEROS_VALIDOS!$F$2:$F$68)-RADIANS(Z141))+SIN(RADIANS(Y141))*SIN(RADIANS(PARADEROS_VALIDOS!$E$2:$E$68))),0))</f>
        <v>Paradero Sta. Clara</v>
      </c>
      <c r="AD141" s="2" t="str">
        <f>IFERROR(INDEX(PARADEROS_VALIDOS!$A$2:$A$68,MATCH(AC141,PARADEROS_VALIDOS!$C$2:$C$68,0)),"")</f>
        <v>RUTA 5C</v>
      </c>
      <c r="AE141" s="33" cm="1">
        <f t="array" ref="AE141">ROUND(MIN(6371*ACOS(COS(RADIANS(Y141))*COS(RADIANS(PARADEROS_VALIDOS!$E$2:$E$68))*COS(RADIANS(PARADEROS_VALIDOS!$F$2:$F$68)-RADIANS(Z141))+SIN(RADIANS(Y141))*SIN(RADIANS(PARADEROS_VALIDOS!$E$2:$E$68)))),2)</f>
        <v>1.37</v>
      </c>
      <c r="AF141" s="2" t="str">
        <f t="shared" si="11"/>
        <v>🟡 Cerca (1-3 km)</v>
      </c>
      <c r="AG141" s="2"/>
      <c r="AH141" s="2"/>
      <c r="AI141" s="51">
        <v>-11.997563</v>
      </c>
      <c r="AJ141" s="51">
        <v>-76.900062000000005</v>
      </c>
      <c r="AK141" s="2" t="str">
        <f>IFERROR(VLOOKUP(I141,tdcargo[],2,FALSE),"DESCONOCIDO")</f>
        <v>OPERARIO</v>
      </c>
    </row>
    <row r="142" spans="1:37" x14ac:dyDescent="0.35">
      <c r="A142" s="2" t="s">
        <v>854</v>
      </c>
      <c r="B142" s="2" t="s">
        <v>855</v>
      </c>
      <c r="C142" s="2" t="s">
        <v>561</v>
      </c>
      <c r="D142" s="2" t="s">
        <v>384</v>
      </c>
      <c r="E142" s="2">
        <v>22</v>
      </c>
      <c r="F142" s="2" t="s">
        <v>28</v>
      </c>
      <c r="G142" s="2" t="s">
        <v>29</v>
      </c>
      <c r="H142" s="2">
        <v>20514628</v>
      </c>
      <c r="I142" s="2" t="s">
        <v>30</v>
      </c>
      <c r="J142" s="3">
        <v>46055</v>
      </c>
      <c r="K142" s="2" t="s">
        <v>31</v>
      </c>
      <c r="L142" s="2" t="s">
        <v>132</v>
      </c>
      <c r="M142" s="2" t="s">
        <v>133</v>
      </c>
      <c r="N142" s="2" t="s">
        <v>36</v>
      </c>
      <c r="O142" s="2" t="s">
        <v>856</v>
      </c>
      <c r="P142" s="2" t="s">
        <v>88</v>
      </c>
      <c r="Q142" s="2" t="s">
        <v>857</v>
      </c>
      <c r="R142" s="2">
        <v>15056</v>
      </c>
      <c r="S142" s="2" t="s">
        <v>37</v>
      </c>
      <c r="T142" s="2" t="s">
        <v>37</v>
      </c>
      <c r="U142" s="2" t="s">
        <v>858</v>
      </c>
      <c r="V142" s="3">
        <v>46055</v>
      </c>
      <c r="W142" s="2" t="s">
        <v>135</v>
      </c>
      <c r="X142" s="2" t="str">
        <f t="shared" si="8"/>
        <v>Nueva Rinconada, A.H. Asentamiento Humano ALTO PROGRESO, San Juan De Miraflores, Lima, Lima, Perú</v>
      </c>
      <c r="Y142" s="22">
        <v>-12.1281318</v>
      </c>
      <c r="Z142" s="22">
        <v>-76.950277799999995</v>
      </c>
      <c r="AA142" s="33">
        <f t="shared" si="9"/>
        <v>15.51</v>
      </c>
      <c r="AB142" s="2" t="str">
        <f t="shared" si="10"/>
        <v>🟠 Moderada (10-20 km)</v>
      </c>
      <c r="AC142" s="2" t="str" cm="1">
        <f t="array" ref="AC142">INDEX(PARADEROS_VALIDOS!$C$2:$C$68,MATCH(MIN(6371*ACOS(COS(RADIANS(Y142))*COS(RADIANS(PARADEROS_VALIDOS!$E$2:$E$68))*COS(RADIANS(PARADEROS_VALIDOS!$F$2:$F$68)-RADIANS(Z142))+SIN(RADIANS(Y142))*SIN(RADIANS(PARADEROS_VALIDOS!$E$2:$E$68)))),6371*ACOS(COS(RADIANS(Y142))*COS(RADIANS(PARADEROS_VALIDOS!$E$2:$E$68))*COS(RADIANS(PARADEROS_VALIDOS!$F$2:$F$68)-RADIANS(Z142))+SIN(RADIANS(Y142))*SIN(RADIANS(PARADEROS_VALIDOS!$E$2:$E$68))),0))</f>
        <v>Paradero San Juan</v>
      </c>
      <c r="AD142" s="2" t="str">
        <f>IFERROR(INDEX(PARADEROS_VALIDOS!$A$2:$A$68,MATCH(AC142,PARADEROS_VALIDOS!$C$2:$C$68,0)),"")</f>
        <v>RUTA 5B</v>
      </c>
      <c r="AE142" s="33" cm="1">
        <f t="array" ref="AE142">ROUND(MIN(6371*ACOS(COS(RADIANS(Y142))*COS(RADIANS(PARADEROS_VALIDOS!$E$2:$E$68))*COS(RADIANS(PARADEROS_VALIDOS!$F$2:$F$68)-RADIANS(Z142))+SIN(RADIANS(Y142))*SIN(RADIANS(PARADEROS_VALIDOS!$E$2:$E$68)))),2)</f>
        <v>0.9</v>
      </c>
      <c r="AF142" s="2" t="str">
        <f t="shared" si="11"/>
        <v>🟢 Muy Cerca (0-1 km)</v>
      </c>
      <c r="AG142" s="2"/>
      <c r="AH142" s="2"/>
      <c r="AI142" s="51">
        <v>-11.997563</v>
      </c>
      <c r="AJ142" s="51">
        <v>-76.900062000000005</v>
      </c>
      <c r="AK142" s="2" t="str">
        <f>IFERROR(VLOOKUP(I142,tdcargo[],2,FALSE),"DESCONOCIDO")</f>
        <v>OPERARIO</v>
      </c>
    </row>
    <row r="143" spans="1:37" x14ac:dyDescent="0.35">
      <c r="A143" s="2" t="s">
        <v>859</v>
      </c>
      <c r="B143" s="2" t="s">
        <v>860</v>
      </c>
      <c r="C143" s="2" t="s">
        <v>861</v>
      </c>
      <c r="D143" s="2" t="s">
        <v>451</v>
      </c>
      <c r="E143" s="2">
        <v>42</v>
      </c>
      <c r="F143" s="2" t="s">
        <v>28</v>
      </c>
      <c r="G143" s="2" t="s">
        <v>29</v>
      </c>
      <c r="H143" s="2">
        <v>20510585</v>
      </c>
      <c r="I143" s="2" t="s">
        <v>44</v>
      </c>
      <c r="J143" s="3">
        <v>43364</v>
      </c>
      <c r="K143" s="2" t="s">
        <v>31</v>
      </c>
      <c r="L143" s="2" t="s">
        <v>72</v>
      </c>
      <c r="M143" s="2" t="s">
        <v>73</v>
      </c>
      <c r="N143" s="2" t="s">
        <v>34</v>
      </c>
      <c r="O143" s="2" t="s">
        <v>862</v>
      </c>
      <c r="P143" s="2" t="s">
        <v>88</v>
      </c>
      <c r="Q143" s="2" t="s">
        <v>863</v>
      </c>
      <c r="R143" s="2">
        <v>15004</v>
      </c>
      <c r="S143" s="2" t="s">
        <v>37</v>
      </c>
      <c r="T143" s="2" t="s">
        <v>37</v>
      </c>
      <c r="U143" s="2" t="s">
        <v>57</v>
      </c>
      <c r="V143" s="3">
        <v>43364</v>
      </c>
      <c r="W143" s="2" t="s">
        <v>48</v>
      </c>
      <c r="X143" s="2" t="str">
        <f t="shared" si="8"/>
        <v>Avenida Ilucion, A.H. Asentamiento Humano T Ucv 219 Huaycan, Ate, Lima, Lima, Perú</v>
      </c>
      <c r="Y143" s="22">
        <v>-12.010048599999999</v>
      </c>
      <c r="Z143" s="22">
        <v>-76.827825700000005</v>
      </c>
      <c r="AA143" s="33">
        <f t="shared" si="9"/>
        <v>7.98</v>
      </c>
      <c r="AB143" s="2" t="str">
        <f t="shared" si="10"/>
        <v>🟡 Cerca (5-10 km)</v>
      </c>
      <c r="AC143" s="2" t="str" cm="1">
        <f t="array" ref="AC143">INDEX(PARADEROS_VALIDOS!$C$2:$C$68,MATCH(MIN(6371*ACOS(COS(RADIANS(Y143))*COS(RADIANS(PARADEROS_VALIDOS!$E$2:$E$68))*COS(RADIANS(PARADEROS_VALIDOS!$F$2:$F$68)-RADIANS(Z143))+SIN(RADIANS(Y143))*SIN(RADIANS(PARADEROS_VALIDOS!$E$2:$E$68)))),6371*ACOS(COS(RADIANS(Y143))*COS(RADIANS(PARADEROS_VALIDOS!$E$2:$E$68))*COS(RADIANS(PARADEROS_VALIDOS!$F$2:$F$68)-RADIANS(Z143))+SIN(RADIANS(Y143))*SIN(RADIANS(PARADEROS_VALIDOS!$E$2:$E$68))),0))</f>
        <v>Entrada Horacio</v>
      </c>
      <c r="AD143" s="2" t="str">
        <f>IFERROR(INDEX(PARADEROS_VALIDOS!$A$2:$A$68,MATCH(AC143,PARADEROS_VALIDOS!$C$2:$C$68,0)),"")</f>
        <v>RUTA 5B</v>
      </c>
      <c r="AE143" s="33" cm="1">
        <f t="array" ref="AE143">ROUND(MIN(6371*ACOS(COS(RADIANS(Y143))*COS(RADIANS(PARADEROS_VALIDOS!$E$2:$E$68))*COS(RADIANS(PARADEROS_VALIDOS!$F$2:$F$68)-RADIANS(Z143))+SIN(RADIANS(Y143))*SIN(RADIANS(PARADEROS_VALIDOS!$E$2:$E$68)))),2)</f>
        <v>1.56</v>
      </c>
      <c r="AF143" s="2" t="str">
        <f t="shared" si="11"/>
        <v>🟡 Cerca (1-3 km)</v>
      </c>
      <c r="AG143" s="2"/>
      <c r="AH143" s="2"/>
      <c r="AI143" s="51">
        <v>-11.997563</v>
      </c>
      <c r="AJ143" s="51">
        <v>-76.900062000000005</v>
      </c>
      <c r="AK143" s="2" t="str">
        <f>IFERROR(VLOOKUP(I143,tdcargo[],2,FALSE),"DESCONOCIDO")</f>
        <v>OPERARIO</v>
      </c>
    </row>
    <row r="144" spans="1:37" x14ac:dyDescent="0.35">
      <c r="A144" s="2" t="s">
        <v>864</v>
      </c>
      <c r="B144" s="2" t="s">
        <v>865</v>
      </c>
      <c r="C144" s="2" t="s">
        <v>653</v>
      </c>
      <c r="D144" s="2" t="s">
        <v>624</v>
      </c>
      <c r="E144" s="2">
        <v>32</v>
      </c>
      <c r="F144" s="2" t="s">
        <v>28</v>
      </c>
      <c r="G144" s="2" t="s">
        <v>29</v>
      </c>
      <c r="H144" s="2">
        <v>20508949</v>
      </c>
      <c r="I144" s="2" t="s">
        <v>30</v>
      </c>
      <c r="J144" s="3">
        <v>45520</v>
      </c>
      <c r="K144" s="2" t="s">
        <v>31</v>
      </c>
      <c r="L144" s="2" t="s">
        <v>132</v>
      </c>
      <c r="M144" s="2" t="s">
        <v>133</v>
      </c>
      <c r="N144" s="2" t="s">
        <v>53</v>
      </c>
      <c r="O144" s="2" t="s">
        <v>480</v>
      </c>
      <c r="P144" s="2" t="s">
        <v>66</v>
      </c>
      <c r="Q144" s="2" t="s">
        <v>193</v>
      </c>
      <c r="R144" s="2">
        <v>15457</v>
      </c>
      <c r="S144" s="2" t="s">
        <v>37</v>
      </c>
      <c r="T144" s="2" t="s">
        <v>37</v>
      </c>
      <c r="U144" s="2" t="s">
        <v>76</v>
      </c>
      <c r="V144" s="3">
        <v>45520</v>
      </c>
      <c r="W144" s="2" t="s">
        <v>48</v>
      </c>
      <c r="X144" s="2" t="str">
        <f t="shared" si="8"/>
        <v>Jirón Los Pinos, U.V. Unidad Vecinal Jicamarca Anexo 8, Lurigancho, Lima, Lima, Perú</v>
      </c>
      <c r="Y144" s="22">
        <v>-11.984597600000001</v>
      </c>
      <c r="Z144" s="22">
        <v>-76.947419199999999</v>
      </c>
      <c r="AA144" s="33">
        <f t="shared" si="9"/>
        <v>5.35</v>
      </c>
      <c r="AB144" s="2" t="str">
        <f t="shared" si="10"/>
        <v>🟡 Cerca (5-10 km)</v>
      </c>
      <c r="AC144" s="2" t="str" cm="1">
        <f t="array" ref="AC144">INDEX(PARADEROS_VALIDOS!$C$2:$C$68,MATCH(MIN(6371*ACOS(COS(RADIANS(Y144))*COS(RADIANS(PARADEROS_VALIDOS!$E$2:$E$68))*COS(RADIANS(PARADEROS_VALIDOS!$F$2:$F$68)-RADIANS(Z144))+SIN(RADIANS(Y144))*SIN(RADIANS(PARADEROS_VALIDOS!$E$2:$E$68)))),6371*ACOS(COS(RADIANS(Y144))*COS(RADIANS(PARADEROS_VALIDOS!$E$2:$E$68))*COS(RADIANS(PARADEROS_VALIDOS!$F$2:$F$68)-RADIANS(Z144))+SIN(RADIANS(Y144))*SIN(RADIANS(PARADEROS_VALIDOS!$E$2:$E$68))),0))</f>
        <v>Estadio Huachipa</v>
      </c>
      <c r="AD144" s="2" t="str">
        <f>IFERROR(INDEX(PARADEROS_VALIDOS!$A$2:$A$68,MATCH(AC144,PARADEROS_VALIDOS!$C$2:$C$68,0)),"")</f>
        <v>RUTA 5C</v>
      </c>
      <c r="AE144" s="33" cm="1">
        <f t="array" ref="AE144">ROUND(MIN(6371*ACOS(COS(RADIANS(Y144))*COS(RADIANS(PARADEROS_VALIDOS!$E$2:$E$68))*COS(RADIANS(PARADEROS_VALIDOS!$F$2:$F$68)-RADIANS(Z144))+SIN(RADIANS(Y144))*SIN(RADIANS(PARADEROS_VALIDOS!$E$2:$E$68)))),2)</f>
        <v>4.71</v>
      </c>
      <c r="AF144" s="2" t="str">
        <f t="shared" si="11"/>
        <v>🟠 Moderada (3-5 km)</v>
      </c>
      <c r="AG144" s="2"/>
      <c r="AH144" s="2"/>
      <c r="AI144" s="51">
        <v>-11.997563</v>
      </c>
      <c r="AJ144" s="51">
        <v>-76.900062000000005</v>
      </c>
      <c r="AK144" s="2" t="str">
        <f>IFERROR(VLOOKUP(I144,tdcargo[],2,FALSE),"DESCONOCIDO")</f>
        <v>OPERARIO</v>
      </c>
    </row>
    <row r="145" spans="1:37" x14ac:dyDescent="0.35">
      <c r="A145" s="2" t="s">
        <v>866</v>
      </c>
      <c r="B145" s="2" t="s">
        <v>867</v>
      </c>
      <c r="C145" s="2" t="s">
        <v>868</v>
      </c>
      <c r="D145" s="2" t="s">
        <v>869</v>
      </c>
      <c r="E145" s="2">
        <v>24</v>
      </c>
      <c r="F145" s="2" t="s">
        <v>28</v>
      </c>
      <c r="G145" s="2" t="s">
        <v>29</v>
      </c>
      <c r="H145" s="2">
        <v>20508969</v>
      </c>
      <c r="I145" s="2" t="s">
        <v>30</v>
      </c>
      <c r="J145" s="3">
        <v>45386</v>
      </c>
      <c r="K145" s="2" t="s">
        <v>31</v>
      </c>
      <c r="L145" s="2" t="s">
        <v>132</v>
      </c>
      <c r="M145" s="2" t="s">
        <v>133</v>
      </c>
      <c r="N145" s="2" t="s">
        <v>36</v>
      </c>
      <c r="O145" s="2" t="s">
        <v>870</v>
      </c>
      <c r="P145" s="2" t="s">
        <v>36</v>
      </c>
      <c r="Q145" s="2" t="s">
        <v>871</v>
      </c>
      <c r="R145" s="2">
        <v>7046</v>
      </c>
      <c r="S145" s="2" t="s">
        <v>872</v>
      </c>
      <c r="T145" s="2" t="s">
        <v>873</v>
      </c>
      <c r="U145" s="2" t="s">
        <v>874</v>
      </c>
      <c r="V145" s="3">
        <v>45386</v>
      </c>
      <c r="W145" s="2" t="s">
        <v>48</v>
      </c>
      <c r="X145" s="2" t="str">
        <f t="shared" si="8"/>
        <v>Av Los Constructores Asoc.Viv.Mar Pacifico.Avimapa, Ventanilla, Callao, Const. Del Callao, Perú</v>
      </c>
      <c r="Y145" s="22">
        <v>-11.8537629</v>
      </c>
      <c r="Z145" s="22">
        <v>-77.142385000000004</v>
      </c>
      <c r="AA145" s="33">
        <f t="shared" si="9"/>
        <v>30.83</v>
      </c>
      <c r="AB145" s="2" t="str">
        <f t="shared" si="10"/>
        <v>🔴 Lejos (&gt;20 km)</v>
      </c>
      <c r="AC145" s="2" t="str" cm="1">
        <f t="array" ref="AC145">INDEX(PARADEROS_VALIDOS!$C$2:$C$68,MATCH(MIN(6371*ACOS(COS(RADIANS(Y145))*COS(RADIANS(PARADEROS_VALIDOS!$E$2:$E$68))*COS(RADIANS(PARADEROS_VALIDOS!$F$2:$F$68)-RADIANS(Z145))+SIN(RADIANS(Y145))*SIN(RADIANS(PARADEROS_VALIDOS!$E$2:$E$68)))),6371*ACOS(COS(RADIANS(Y145))*COS(RADIANS(PARADEROS_VALIDOS!$E$2:$E$68))*COS(RADIANS(PARADEROS_VALIDOS!$F$2:$F$68)-RADIANS(Z145))+SIN(RADIANS(Y145))*SIN(RADIANS(PARADEROS_VALIDOS!$E$2:$E$68))),0))</f>
        <v>Av. Metropolitana con Cultura</v>
      </c>
      <c r="AD145" s="2" t="str">
        <f>IFERROR(INDEX(PARADEROS_VALIDOS!$A$2:$A$68,MATCH(AC145,PARADEROS_VALIDOS!$C$2:$C$68,0)),"")</f>
        <v>RUTA 4A</v>
      </c>
      <c r="AE145" s="33" cm="1">
        <f t="array" ref="AE145">ROUND(MIN(6371*ACOS(COS(RADIANS(Y145))*COS(RADIANS(PARADEROS_VALIDOS!$E$2:$E$68))*COS(RADIANS(PARADEROS_VALIDOS!$F$2:$F$68)-RADIANS(Z145))+SIN(RADIANS(Y145))*SIN(RADIANS(PARADEROS_VALIDOS!$E$2:$E$68)))),2)</f>
        <v>13.9</v>
      </c>
      <c r="AF145" s="2" t="str">
        <f t="shared" si="11"/>
        <v>🔴 Lejos (&gt;5 km)</v>
      </c>
      <c r="AG145" s="2"/>
      <c r="AH145" s="2"/>
      <c r="AI145" s="51">
        <v>-11.997563</v>
      </c>
      <c r="AJ145" s="51">
        <v>-76.900062000000005</v>
      </c>
      <c r="AK145" s="2" t="str">
        <f>IFERROR(VLOOKUP(I145,tdcargo[],2,FALSE),"DESCONOCIDO")</f>
        <v>OPERARIO</v>
      </c>
    </row>
    <row r="146" spans="1:37" x14ac:dyDescent="0.35">
      <c r="A146" s="2" t="s">
        <v>875</v>
      </c>
      <c r="B146" s="2" t="s">
        <v>876</v>
      </c>
      <c r="C146" s="2" t="s">
        <v>877</v>
      </c>
      <c r="D146" s="2" t="s">
        <v>878</v>
      </c>
      <c r="E146" s="2">
        <v>53</v>
      </c>
      <c r="F146" s="2" t="s">
        <v>28</v>
      </c>
      <c r="G146" s="2" t="s">
        <v>29</v>
      </c>
      <c r="H146" s="2">
        <v>20512089</v>
      </c>
      <c r="I146" s="2" t="s">
        <v>62</v>
      </c>
      <c r="J146" s="3">
        <v>44595</v>
      </c>
      <c r="K146" s="2" t="s">
        <v>31</v>
      </c>
      <c r="L146" s="2" t="s">
        <v>63</v>
      </c>
      <c r="M146" s="2" t="s">
        <v>64</v>
      </c>
      <c r="N146" s="2" t="s">
        <v>879</v>
      </c>
      <c r="O146" s="2" t="s">
        <v>880</v>
      </c>
      <c r="P146" s="2" t="s">
        <v>36</v>
      </c>
      <c r="Q146" s="2" t="s">
        <v>46</v>
      </c>
      <c r="R146" s="2">
        <v>15004</v>
      </c>
      <c r="S146" s="2" t="s">
        <v>37</v>
      </c>
      <c r="T146" s="2" t="s">
        <v>37</v>
      </c>
      <c r="U146" s="2" t="s">
        <v>57</v>
      </c>
      <c r="V146" s="3">
        <v>44595</v>
      </c>
      <c r="W146" s="2" t="s">
        <v>48</v>
      </c>
      <c r="X146" s="2" t="str">
        <f t="shared" si="8"/>
        <v>Alameda De La Rivera, Ate, Lima, Lima, Perú</v>
      </c>
      <c r="Y146" s="22">
        <v>-12.0247457</v>
      </c>
      <c r="Z146" s="22">
        <v>-76.943420799999998</v>
      </c>
      <c r="AA146" s="33">
        <f t="shared" si="9"/>
        <v>5.6</v>
      </c>
      <c r="AB146" s="2" t="str">
        <f t="shared" si="10"/>
        <v>🟡 Cerca (5-10 km)</v>
      </c>
      <c r="AC146" s="2" t="str" cm="1">
        <f t="array" ref="AC146">INDEX(PARADEROS_VALIDOS!$C$2:$C$68,MATCH(MIN(6371*ACOS(COS(RADIANS(Y146))*COS(RADIANS(PARADEROS_VALIDOS!$E$2:$E$68))*COS(RADIANS(PARADEROS_VALIDOS!$F$2:$F$68)-RADIANS(Z146))+SIN(RADIANS(Y146))*SIN(RADIANS(PARADEROS_VALIDOS!$E$2:$E$68)))),6371*ACOS(COS(RADIANS(Y146))*COS(RADIANS(PARADEROS_VALIDOS!$E$2:$E$68))*COS(RADIANS(PARADEROS_VALIDOS!$F$2:$F$68)-RADIANS(Z146))+SIN(RADIANS(Y146))*SIN(RADIANS(PARADEROS_VALIDOS!$E$2:$E$68))),0))</f>
        <v>Av. Huarochirí con Metropolitana</v>
      </c>
      <c r="AD146" s="2" t="str">
        <f>IFERROR(INDEX(PARADEROS_VALIDOS!$A$2:$A$68,MATCH(AC146,PARADEROS_VALIDOS!$C$2:$C$68,0)),"")</f>
        <v>RUTA 4A</v>
      </c>
      <c r="AE146" s="33" cm="1">
        <f t="array" ref="AE146">ROUND(MIN(6371*ACOS(COS(RADIANS(Y146))*COS(RADIANS(PARADEROS_VALIDOS!$E$2:$E$68))*COS(RADIANS(PARADEROS_VALIDOS!$F$2:$F$68)-RADIANS(Z146))+SIN(RADIANS(Y146))*SIN(RADIANS(PARADEROS_VALIDOS!$E$2:$E$68)))),2)</f>
        <v>1.85</v>
      </c>
      <c r="AF146" s="2" t="str">
        <f t="shared" si="11"/>
        <v>🟡 Cerca (1-3 km)</v>
      </c>
      <c r="AG146" s="2"/>
      <c r="AH146" s="2"/>
      <c r="AI146" s="51">
        <v>-11.997563</v>
      </c>
      <c r="AJ146" s="51">
        <v>-76.900062000000005</v>
      </c>
      <c r="AK146" s="2" t="str">
        <f>IFERROR(VLOOKUP(I146,tdcargo[],2,FALSE),"DESCONOCIDO")</f>
        <v>OPERARIO</v>
      </c>
    </row>
    <row r="147" spans="1:37" x14ac:dyDescent="0.35">
      <c r="A147" s="2" t="s">
        <v>881</v>
      </c>
      <c r="B147" s="2" t="s">
        <v>882</v>
      </c>
      <c r="C147" s="2" t="s">
        <v>883</v>
      </c>
      <c r="D147" s="2" t="s">
        <v>884</v>
      </c>
      <c r="E147" s="2">
        <v>38</v>
      </c>
      <c r="F147" s="2" t="s">
        <v>28</v>
      </c>
      <c r="G147" s="2" t="s">
        <v>29</v>
      </c>
      <c r="H147" s="2">
        <v>20508743</v>
      </c>
      <c r="I147" s="2" t="s">
        <v>30</v>
      </c>
      <c r="J147" s="3">
        <v>44385</v>
      </c>
      <c r="K147" s="2" t="s">
        <v>31</v>
      </c>
      <c r="L147" s="2" t="s">
        <v>72</v>
      </c>
      <c r="M147" s="2" t="s">
        <v>73</v>
      </c>
      <c r="N147" s="2" t="s">
        <v>82</v>
      </c>
      <c r="O147" s="2" t="s">
        <v>885</v>
      </c>
      <c r="P147" s="2" t="s">
        <v>88</v>
      </c>
      <c r="Q147" s="2" t="s">
        <v>46</v>
      </c>
      <c r="R147" s="2">
        <v>15401</v>
      </c>
      <c r="S147" s="2" t="s">
        <v>37</v>
      </c>
      <c r="T147" s="2" t="s">
        <v>37</v>
      </c>
      <c r="U147" s="2" t="s">
        <v>38</v>
      </c>
      <c r="V147" s="3">
        <v>44385</v>
      </c>
      <c r="W147" s="2" t="s">
        <v>48</v>
      </c>
      <c r="X147" s="2" t="str">
        <f t="shared" si="8"/>
        <v>Calle Ampliación Ciudad De Los Constructores, A.H. Asentamiento Humano, San Juan De Lurigancho, Lima, Lima, Perú</v>
      </c>
      <c r="Y147" s="22">
        <v>-11.949161500000001</v>
      </c>
      <c r="Z147" s="22">
        <v>-76.974207300000003</v>
      </c>
      <c r="AA147" s="33">
        <f t="shared" si="9"/>
        <v>9.6999999999999993</v>
      </c>
      <c r="AB147" s="2" t="str">
        <f t="shared" si="10"/>
        <v>🟡 Cerca (5-10 km)</v>
      </c>
      <c r="AC147" s="2" t="str" cm="1">
        <f t="array" ref="AC147">INDEX(PARADEROS_VALIDOS!$C$2:$C$68,MATCH(MIN(6371*ACOS(COS(RADIANS(Y147))*COS(RADIANS(PARADEROS_VALIDOS!$E$2:$E$68))*COS(RADIANS(PARADEROS_VALIDOS!$F$2:$F$68)-RADIANS(Z147))+SIN(RADIANS(Y147))*SIN(RADIANS(PARADEROS_VALIDOS!$E$2:$E$68)))),6371*ACOS(COS(RADIANS(Y147))*COS(RADIANS(PARADEROS_VALIDOS!$E$2:$E$68))*COS(RADIANS(PARADEROS_VALIDOS!$F$2:$F$68)-RADIANS(Z147))+SIN(RADIANS(Y147))*SIN(RADIANS(PARADEROS_VALIDOS!$E$2:$E$68))),0))</f>
        <v>Paradero San Martin</v>
      </c>
      <c r="AD147" s="2" t="str">
        <f>IFERROR(INDEX(PARADEROS_VALIDOS!$A$2:$A$68,MATCH(AC147,PARADEROS_VALIDOS!$C$2:$C$68,0)),"")</f>
        <v>RUTA 6A</v>
      </c>
      <c r="AE147" s="33" cm="1">
        <f t="array" ref="AE147">ROUND(MIN(6371*ACOS(COS(RADIANS(Y147))*COS(RADIANS(PARADEROS_VALIDOS!$E$2:$E$68))*COS(RADIANS(PARADEROS_VALIDOS!$F$2:$F$68)-RADIANS(Z147))+SIN(RADIANS(Y147))*SIN(RADIANS(PARADEROS_VALIDOS!$E$2:$E$68)))),2)</f>
        <v>4.03</v>
      </c>
      <c r="AF147" s="2" t="str">
        <f t="shared" si="11"/>
        <v>🟠 Moderada (3-5 km)</v>
      </c>
      <c r="AG147" s="2"/>
      <c r="AH147" s="2"/>
      <c r="AI147" s="51">
        <v>-11.997563</v>
      </c>
      <c r="AJ147" s="51">
        <v>-76.900062000000005</v>
      </c>
      <c r="AK147" s="2" t="str">
        <f>IFERROR(VLOOKUP(I147,tdcargo[],2,FALSE),"DESCONOCIDO")</f>
        <v>OPERARIO</v>
      </c>
    </row>
    <row r="148" spans="1:37" x14ac:dyDescent="0.35">
      <c r="A148" s="2" t="s">
        <v>886</v>
      </c>
      <c r="B148" s="2" t="s">
        <v>887</v>
      </c>
      <c r="C148" s="2" t="s">
        <v>888</v>
      </c>
      <c r="D148" s="2" t="s">
        <v>451</v>
      </c>
      <c r="E148" s="2">
        <v>27</v>
      </c>
      <c r="F148" s="2" t="s">
        <v>28</v>
      </c>
      <c r="G148" s="2" t="s">
        <v>29</v>
      </c>
      <c r="H148" s="2">
        <v>20512285</v>
      </c>
      <c r="I148" s="2" t="s">
        <v>30</v>
      </c>
      <c r="J148" s="3">
        <v>45881</v>
      </c>
      <c r="K148" s="2" t="s">
        <v>31</v>
      </c>
      <c r="L148" s="2" t="s">
        <v>108</v>
      </c>
      <c r="M148" s="2" t="s">
        <v>109</v>
      </c>
      <c r="N148" s="2" t="s">
        <v>36</v>
      </c>
      <c r="O148" s="2" t="s">
        <v>889</v>
      </c>
      <c r="P148" s="2" t="s">
        <v>36</v>
      </c>
      <c r="Q148" s="2" t="s">
        <v>890</v>
      </c>
      <c r="R148" s="2">
        <v>15004</v>
      </c>
      <c r="S148" s="2" t="s">
        <v>37</v>
      </c>
      <c r="T148" s="2" t="s">
        <v>37</v>
      </c>
      <c r="U148" s="2" t="s">
        <v>57</v>
      </c>
      <c r="V148" s="3">
        <v>45881</v>
      </c>
      <c r="W148" s="2" t="s">
        <v>39</v>
      </c>
      <c r="X148" s="2" t="str">
        <f t="shared" si="8"/>
        <v>Ucv Huaycan Zona E, Ate, Lima, Lima, Perú</v>
      </c>
      <c r="Y148" s="22">
        <v>-12.010109</v>
      </c>
      <c r="Z148" s="22">
        <v>-76.827872200000002</v>
      </c>
      <c r="AA148" s="33">
        <f t="shared" si="9"/>
        <v>7.97</v>
      </c>
      <c r="AB148" s="2" t="str">
        <f t="shared" si="10"/>
        <v>🟡 Cerca (5-10 km)</v>
      </c>
      <c r="AC148" s="2" t="str" cm="1">
        <f t="array" ref="AC148">INDEX(PARADEROS_VALIDOS!$C$2:$C$68,MATCH(MIN(6371*ACOS(COS(RADIANS(Y148))*COS(RADIANS(PARADEROS_VALIDOS!$E$2:$E$68))*COS(RADIANS(PARADEROS_VALIDOS!$F$2:$F$68)-RADIANS(Z148))+SIN(RADIANS(Y148))*SIN(RADIANS(PARADEROS_VALIDOS!$E$2:$E$68)))),6371*ACOS(COS(RADIANS(Y148))*COS(RADIANS(PARADEROS_VALIDOS!$E$2:$E$68))*COS(RADIANS(PARADEROS_VALIDOS!$F$2:$F$68)-RADIANS(Z148))+SIN(RADIANS(Y148))*SIN(RADIANS(PARADEROS_VALIDOS!$E$2:$E$68))),0))</f>
        <v>Entrada Horacio</v>
      </c>
      <c r="AD148" s="2" t="str">
        <f>IFERROR(INDEX(PARADEROS_VALIDOS!$A$2:$A$68,MATCH(AC148,PARADEROS_VALIDOS!$C$2:$C$68,0)),"")</f>
        <v>RUTA 5B</v>
      </c>
      <c r="AE148" s="33" cm="1">
        <f t="array" ref="AE148">ROUND(MIN(6371*ACOS(COS(RADIANS(Y148))*COS(RADIANS(PARADEROS_VALIDOS!$E$2:$E$68))*COS(RADIANS(PARADEROS_VALIDOS!$F$2:$F$68)-RADIANS(Z148))+SIN(RADIANS(Y148))*SIN(RADIANS(PARADEROS_VALIDOS!$E$2:$E$68)))),2)</f>
        <v>1.55</v>
      </c>
      <c r="AF148" s="2" t="str">
        <f t="shared" si="11"/>
        <v>🟡 Cerca (1-3 km)</v>
      </c>
      <c r="AG148" s="2"/>
      <c r="AH148" s="2"/>
      <c r="AI148" s="51">
        <v>-11.997563</v>
      </c>
      <c r="AJ148" s="51">
        <v>-76.900062000000005</v>
      </c>
      <c r="AK148" s="2" t="str">
        <f>IFERROR(VLOOKUP(I148,tdcargo[],2,FALSE),"DESCONOCIDO")</f>
        <v>OPERARIO</v>
      </c>
    </row>
    <row r="149" spans="1:37" x14ac:dyDescent="0.35">
      <c r="A149" s="2" t="s">
        <v>891</v>
      </c>
      <c r="B149" s="2" t="s">
        <v>892</v>
      </c>
      <c r="C149" s="2" t="s">
        <v>531</v>
      </c>
      <c r="D149" s="2" t="s">
        <v>572</v>
      </c>
      <c r="E149" s="2">
        <v>38</v>
      </c>
      <c r="F149" s="2" t="s">
        <v>28</v>
      </c>
      <c r="G149" s="2" t="s">
        <v>29</v>
      </c>
      <c r="H149" s="2">
        <v>20508954</v>
      </c>
      <c r="I149" s="2" t="s">
        <v>30</v>
      </c>
      <c r="J149" s="3">
        <v>45779</v>
      </c>
      <c r="K149" s="2" t="s">
        <v>31</v>
      </c>
      <c r="L149" s="2" t="s">
        <v>132</v>
      </c>
      <c r="M149" s="2" t="s">
        <v>133</v>
      </c>
      <c r="N149" s="2" t="s">
        <v>34</v>
      </c>
      <c r="O149" s="2" t="s">
        <v>893</v>
      </c>
      <c r="P149" s="2" t="s">
        <v>36</v>
      </c>
      <c r="Q149" s="2" t="s">
        <v>705</v>
      </c>
      <c r="R149" s="2">
        <v>15004</v>
      </c>
      <c r="S149" s="2" t="s">
        <v>37</v>
      </c>
      <c r="T149" s="2" t="s">
        <v>37</v>
      </c>
      <c r="U149" s="2" t="s">
        <v>57</v>
      </c>
      <c r="V149" s="3">
        <v>45779</v>
      </c>
      <c r="W149" s="2" t="s">
        <v>39</v>
      </c>
      <c r="X149" s="2" t="str">
        <f t="shared" si="8"/>
        <v>Avenida Mariategui Huaycan, Ate, Lima, Lima, Perú</v>
      </c>
      <c r="Y149" s="22">
        <v>-12.010707399999999</v>
      </c>
      <c r="Z149" s="22">
        <v>-76.828726599999996</v>
      </c>
      <c r="AA149" s="33">
        <f t="shared" si="9"/>
        <v>7.9</v>
      </c>
      <c r="AB149" s="2" t="str">
        <f t="shared" si="10"/>
        <v>🟡 Cerca (5-10 km)</v>
      </c>
      <c r="AC149" s="2" t="str" cm="1">
        <f t="array" ref="AC149">INDEX(PARADEROS_VALIDOS!$C$2:$C$68,MATCH(MIN(6371*ACOS(COS(RADIANS(Y149))*COS(RADIANS(PARADEROS_VALIDOS!$E$2:$E$68))*COS(RADIANS(PARADEROS_VALIDOS!$F$2:$F$68)-RADIANS(Z149))+SIN(RADIANS(Y149))*SIN(RADIANS(PARADEROS_VALIDOS!$E$2:$E$68)))),6371*ACOS(COS(RADIANS(Y149))*COS(RADIANS(PARADEROS_VALIDOS!$E$2:$E$68))*COS(RADIANS(PARADEROS_VALIDOS!$F$2:$F$68)-RADIANS(Z149))+SIN(RADIANS(Y149))*SIN(RADIANS(PARADEROS_VALIDOS!$E$2:$E$68))),0))</f>
        <v>Entrada Horacio</v>
      </c>
      <c r="AD149" s="2" t="str">
        <f>IFERROR(INDEX(PARADEROS_VALIDOS!$A$2:$A$68,MATCH(AC149,PARADEROS_VALIDOS!$C$2:$C$68,0)),"")</f>
        <v>RUTA 5B</v>
      </c>
      <c r="AE149" s="33" cm="1">
        <f t="array" ref="AE149">ROUND(MIN(6371*ACOS(COS(RADIANS(Y149))*COS(RADIANS(PARADEROS_VALIDOS!$E$2:$E$68))*COS(RADIANS(PARADEROS_VALIDOS!$F$2:$F$68)-RADIANS(Z149))+SIN(RADIANS(Y149))*SIN(RADIANS(PARADEROS_VALIDOS!$E$2:$E$68)))),2)</f>
        <v>1.47</v>
      </c>
      <c r="AF149" s="2" t="str">
        <f t="shared" si="11"/>
        <v>🟡 Cerca (1-3 km)</v>
      </c>
      <c r="AG149" s="2"/>
      <c r="AH149" s="2"/>
      <c r="AI149" s="51">
        <v>-11.997563</v>
      </c>
      <c r="AJ149" s="51">
        <v>-76.900062000000005</v>
      </c>
      <c r="AK149" s="2" t="str">
        <f>IFERROR(VLOOKUP(I149,tdcargo[],2,FALSE),"DESCONOCIDO")</f>
        <v>OPERARIO</v>
      </c>
    </row>
    <row r="150" spans="1:37" x14ac:dyDescent="0.35">
      <c r="A150" s="2" t="s">
        <v>894</v>
      </c>
      <c r="B150" s="2" t="s">
        <v>895</v>
      </c>
      <c r="C150" s="2" t="s">
        <v>295</v>
      </c>
      <c r="D150" s="2" t="s">
        <v>896</v>
      </c>
      <c r="E150" s="2">
        <v>31</v>
      </c>
      <c r="F150" s="2" t="s">
        <v>28</v>
      </c>
      <c r="G150" s="2" t="s">
        <v>29</v>
      </c>
      <c r="H150" s="2">
        <v>20510599</v>
      </c>
      <c r="I150" s="2" t="s">
        <v>62</v>
      </c>
      <c r="J150" s="3">
        <v>45537</v>
      </c>
      <c r="K150" s="2" t="s">
        <v>31</v>
      </c>
      <c r="L150" s="2" t="s">
        <v>108</v>
      </c>
      <c r="M150" s="2" t="s">
        <v>109</v>
      </c>
      <c r="N150" s="2" t="s">
        <v>82</v>
      </c>
      <c r="O150" s="2" t="s">
        <v>897</v>
      </c>
      <c r="P150" s="2" t="s">
        <v>36</v>
      </c>
      <c r="Q150" s="2" t="s">
        <v>898</v>
      </c>
      <c r="R150" s="2">
        <v>15457</v>
      </c>
      <c r="S150" s="2" t="s">
        <v>37</v>
      </c>
      <c r="T150" s="2" t="s">
        <v>37</v>
      </c>
      <c r="U150" s="2" t="s">
        <v>76</v>
      </c>
      <c r="V150" s="3">
        <v>45537</v>
      </c>
      <c r="W150" s="2" t="s">
        <v>48</v>
      </c>
      <c r="X150" s="2" t="str">
        <f t="shared" si="8"/>
        <v>Calle Los Claveles La Encalada, Lurigancho, Lima, Lima, Perú</v>
      </c>
      <c r="Y150" s="22">
        <v>-12.044150800000001</v>
      </c>
      <c r="Z150" s="22">
        <v>-77.001018000000002</v>
      </c>
      <c r="AA150" s="33">
        <f t="shared" si="9"/>
        <v>12.14</v>
      </c>
      <c r="AB150" s="2" t="str">
        <f t="shared" si="10"/>
        <v>🟠 Moderada (10-20 km)</v>
      </c>
      <c r="AC150" s="2" t="str" cm="1">
        <f t="array" ref="AC150">INDEX(PARADEROS_VALIDOS!$C$2:$C$68,MATCH(MIN(6371*ACOS(COS(RADIANS(Y150))*COS(RADIANS(PARADEROS_VALIDOS!$E$2:$E$68))*COS(RADIANS(PARADEROS_VALIDOS!$F$2:$F$68)-RADIANS(Z150))+SIN(RADIANS(Y150))*SIN(RADIANS(PARADEROS_VALIDOS!$E$2:$E$68)))),6371*ACOS(COS(RADIANS(Y150))*COS(RADIANS(PARADEROS_VALIDOS!$E$2:$E$68))*COS(RADIANS(PARADEROS_VALIDOS!$F$2:$F$68)-RADIANS(Z150))+SIN(RADIANS(Y150))*SIN(RADIANS(PARADEROS_VALIDOS!$E$2:$E$68))),0))</f>
        <v>Paradero Villa Hermosa</v>
      </c>
      <c r="AD150" s="2" t="str">
        <f>IFERROR(INDEX(PARADEROS_VALIDOS!$A$2:$A$68,MATCH(AC150,PARADEROS_VALIDOS!$C$2:$C$68,0)),"")</f>
        <v>RUTA 3</v>
      </c>
      <c r="AE150" s="33" cm="1">
        <f t="array" ref="AE150">ROUND(MIN(6371*ACOS(COS(RADIANS(Y150))*COS(RADIANS(PARADEROS_VALIDOS!$E$2:$E$68))*COS(RADIANS(PARADEROS_VALIDOS!$F$2:$F$68)-RADIANS(Z150))+SIN(RADIANS(Y150))*SIN(RADIANS(PARADEROS_VALIDOS!$E$2:$E$68)))),2)</f>
        <v>1.54</v>
      </c>
      <c r="AF150" s="2" t="str">
        <f t="shared" si="11"/>
        <v>🟡 Cerca (1-3 km)</v>
      </c>
      <c r="AG150" s="2"/>
      <c r="AH150" s="2"/>
      <c r="AI150" s="51">
        <v>-11.997563</v>
      </c>
      <c r="AJ150" s="51">
        <v>-76.900062000000005</v>
      </c>
      <c r="AK150" s="2" t="str">
        <f>IFERROR(VLOOKUP(I150,tdcargo[],2,FALSE),"DESCONOCIDO")</f>
        <v>OPERARIO</v>
      </c>
    </row>
    <row r="151" spans="1:37" x14ac:dyDescent="0.35">
      <c r="A151" s="2" t="s">
        <v>268</v>
      </c>
      <c r="B151" s="2" t="s">
        <v>899</v>
      </c>
      <c r="C151" s="2" t="s">
        <v>99</v>
      </c>
      <c r="D151" s="2" t="s">
        <v>343</v>
      </c>
      <c r="E151" s="2">
        <v>30</v>
      </c>
      <c r="F151" s="2" t="s">
        <v>28</v>
      </c>
      <c r="G151" s="2" t="s">
        <v>29</v>
      </c>
      <c r="H151" s="2">
        <v>20515625</v>
      </c>
      <c r="I151" s="2" t="s">
        <v>285</v>
      </c>
      <c r="J151" s="3">
        <v>45726</v>
      </c>
      <c r="K151" s="2" t="s">
        <v>31</v>
      </c>
      <c r="L151" s="2" t="s">
        <v>286</v>
      </c>
      <c r="M151" s="2" t="s">
        <v>287</v>
      </c>
      <c r="N151" s="2" t="s">
        <v>36</v>
      </c>
      <c r="O151" s="2" t="s">
        <v>900</v>
      </c>
      <c r="P151" s="2" t="s">
        <v>36</v>
      </c>
      <c r="Q151" s="2"/>
      <c r="R151" s="2">
        <v>15001</v>
      </c>
      <c r="S151" s="2" t="s">
        <v>37</v>
      </c>
      <c r="T151" s="2" t="s">
        <v>37</v>
      </c>
      <c r="U151" s="2" t="s">
        <v>37</v>
      </c>
      <c r="V151" s="3">
        <v>45726</v>
      </c>
      <c r="W151" s="2" t="s">
        <v>77</v>
      </c>
      <c r="X151" s="2" t="str">
        <f t="shared" si="8"/>
        <v>Tacna 1056, Lima, Lima, Lima, Perú</v>
      </c>
      <c r="Y151" s="22">
        <v>-12.088043600000001</v>
      </c>
      <c r="Z151" s="22">
        <v>-77.083272399999998</v>
      </c>
      <c r="AA151" s="33">
        <f t="shared" si="9"/>
        <v>22.32</v>
      </c>
      <c r="AB151" s="2" t="str">
        <f t="shared" si="10"/>
        <v>🔴 Lejos (&gt;20 km)</v>
      </c>
      <c r="AC151" s="2" t="str" cm="1">
        <f t="array" ref="AC151">INDEX(PARADEROS_VALIDOS!$C$2:$C$68,MATCH(MIN(6371*ACOS(COS(RADIANS(Y151))*COS(RADIANS(PARADEROS_VALIDOS!$E$2:$E$68))*COS(RADIANS(PARADEROS_VALIDOS!$F$2:$F$68)-RADIANS(Z151))+SIN(RADIANS(Y151))*SIN(RADIANS(PARADEROS_VALIDOS!$E$2:$E$68)))),6371*ACOS(COS(RADIANS(Y151))*COS(RADIANS(PARADEROS_VALIDOS!$E$2:$E$68))*COS(RADIANS(PARADEROS_VALIDOS!$F$2:$F$68)-RADIANS(Z151))+SIN(RADIANS(Y151))*SIN(RADIANS(PARADEROS_VALIDOS!$E$2:$E$68))),0))</f>
        <v>Universitaria con La Marina</v>
      </c>
      <c r="AD151" s="2" t="str">
        <f>IFERROR(INDEX(PARADEROS_VALIDOS!$A$2:$A$68,MATCH(AC151,PARADEROS_VALIDOS!$C$2:$C$68,0)),"")</f>
        <v>RUTA 9</v>
      </c>
      <c r="AE151" s="33" cm="1">
        <f t="array" ref="AE151">ROUND(MIN(6371*ACOS(COS(RADIANS(Y151))*COS(RADIANS(PARADEROS_VALIDOS!$E$2:$E$68))*COS(RADIANS(PARADEROS_VALIDOS!$F$2:$F$68)-RADIANS(Z151))+SIN(RADIANS(Y151))*SIN(RADIANS(PARADEROS_VALIDOS!$E$2:$E$68)))),2)</f>
        <v>1.1000000000000001</v>
      </c>
      <c r="AF151" s="2" t="str">
        <f t="shared" si="11"/>
        <v>🟡 Cerca (1-3 km)</v>
      </c>
      <c r="AG151" s="2"/>
      <c r="AH151" s="2"/>
      <c r="AI151" s="51">
        <v>-11.997563</v>
      </c>
      <c r="AJ151" s="51">
        <v>-76.900062000000005</v>
      </c>
      <c r="AK151" s="2" t="str">
        <f>IFERROR(VLOOKUP(I151,tdcargo[],2,FALSE),"DESCONOCIDO")</f>
        <v>STAFF</v>
      </c>
    </row>
    <row r="152" spans="1:37" x14ac:dyDescent="0.35">
      <c r="A152" s="2" t="s">
        <v>901</v>
      </c>
      <c r="B152" s="2" t="s">
        <v>902</v>
      </c>
      <c r="C152" s="2" t="s">
        <v>561</v>
      </c>
      <c r="D152" s="2" t="s">
        <v>903</v>
      </c>
      <c r="E152" s="2">
        <v>22</v>
      </c>
      <c r="F152" s="2" t="s">
        <v>28</v>
      </c>
      <c r="G152" s="2" t="s">
        <v>29</v>
      </c>
      <c r="H152" s="2">
        <v>20508896</v>
      </c>
      <c r="I152" s="2" t="s">
        <v>30</v>
      </c>
      <c r="J152" s="3">
        <v>45971</v>
      </c>
      <c r="K152" s="2" t="s">
        <v>31</v>
      </c>
      <c r="L152" s="2" t="s">
        <v>132</v>
      </c>
      <c r="M152" s="2" t="s">
        <v>133</v>
      </c>
      <c r="N152" s="2" t="s">
        <v>82</v>
      </c>
      <c r="O152" s="2" t="s">
        <v>220</v>
      </c>
      <c r="P152" s="2" t="s">
        <v>36</v>
      </c>
      <c r="Q152" s="2" t="s">
        <v>834</v>
      </c>
      <c r="R152" s="2">
        <v>15457</v>
      </c>
      <c r="S152" s="2" t="s">
        <v>37</v>
      </c>
      <c r="T152" s="2" t="s">
        <v>37</v>
      </c>
      <c r="U152" s="2" t="s">
        <v>76</v>
      </c>
      <c r="V152" s="3">
        <v>45971</v>
      </c>
      <c r="W152" s="2" t="s">
        <v>135</v>
      </c>
      <c r="X152" s="2" t="str">
        <f t="shared" si="8"/>
        <v>Calle Santa Cruz De Cajamarquilla Santa Cruz, Lurigancho, Lima, Lima, Perú</v>
      </c>
      <c r="Y152" s="22">
        <v>-11.9810269</v>
      </c>
      <c r="Z152" s="22">
        <v>-76.910819900000007</v>
      </c>
      <c r="AA152" s="33">
        <f t="shared" si="9"/>
        <v>2.1800000000000002</v>
      </c>
      <c r="AB152" s="2" t="str">
        <f t="shared" si="10"/>
        <v>🟢 Muy Cerca (0-5 km)</v>
      </c>
      <c r="AC152" s="2" t="str" cm="1">
        <f t="array" ref="AC152">INDEX(PARADEROS_VALIDOS!$C$2:$C$68,MATCH(MIN(6371*ACOS(COS(RADIANS(Y152))*COS(RADIANS(PARADEROS_VALIDOS!$E$2:$E$68))*COS(RADIANS(PARADEROS_VALIDOS!$F$2:$F$68)-RADIANS(Z152))+SIN(RADIANS(Y152))*SIN(RADIANS(PARADEROS_VALIDOS!$E$2:$E$68)))),6371*ACOS(COS(RADIANS(Y152))*COS(RADIANS(PARADEROS_VALIDOS!$E$2:$E$68))*COS(RADIANS(PARADEROS_VALIDOS!$F$2:$F$68)-RADIANS(Z152))+SIN(RADIANS(Y152))*SIN(RADIANS(PARADEROS_VALIDOS!$E$2:$E$68))),0))</f>
        <v>Paradero Arco San Antonio</v>
      </c>
      <c r="AD152" s="2" t="str">
        <f>IFERROR(INDEX(PARADEROS_VALIDOS!$A$2:$A$68,MATCH(AC152,PARADEROS_VALIDOS!$C$2:$C$68,0)),"")</f>
        <v>RUTA 2</v>
      </c>
      <c r="AE152" s="33" cm="1">
        <f t="array" ref="AE152">ROUND(MIN(6371*ACOS(COS(RADIANS(Y152))*COS(RADIANS(PARADEROS_VALIDOS!$E$2:$E$68))*COS(RADIANS(PARADEROS_VALIDOS!$F$2:$F$68)-RADIANS(Z152))+SIN(RADIANS(Y152))*SIN(RADIANS(PARADEROS_VALIDOS!$E$2:$E$68)))),2)</f>
        <v>1.62</v>
      </c>
      <c r="AF152" s="2" t="str">
        <f t="shared" si="11"/>
        <v>🟡 Cerca (1-3 km)</v>
      </c>
      <c r="AG152" s="2"/>
      <c r="AH152" s="2"/>
      <c r="AI152" s="51">
        <v>-11.997563</v>
      </c>
      <c r="AJ152" s="51">
        <v>-76.900062000000005</v>
      </c>
      <c r="AK152" s="2" t="str">
        <f>IFERROR(VLOOKUP(I152,tdcargo[],2,FALSE),"DESCONOCIDO")</f>
        <v>OPERARIO</v>
      </c>
    </row>
    <row r="153" spans="1:37" x14ac:dyDescent="0.35">
      <c r="A153" s="2" t="s">
        <v>904</v>
      </c>
      <c r="B153" s="2" t="s">
        <v>905</v>
      </c>
      <c r="C153" s="2" t="s">
        <v>906</v>
      </c>
      <c r="D153" s="2" t="s">
        <v>907</v>
      </c>
      <c r="E153" s="2">
        <v>19</v>
      </c>
      <c r="F153" s="2" t="s">
        <v>28</v>
      </c>
      <c r="G153" s="2" t="s">
        <v>29</v>
      </c>
      <c r="H153" s="2">
        <v>20510612</v>
      </c>
      <c r="I153" s="2" t="s">
        <v>30</v>
      </c>
      <c r="J153" s="3">
        <v>45971</v>
      </c>
      <c r="K153" s="2" t="s">
        <v>31</v>
      </c>
      <c r="L153" s="2" t="s">
        <v>132</v>
      </c>
      <c r="M153" s="2" t="s">
        <v>133</v>
      </c>
      <c r="N153" s="2" t="s">
        <v>82</v>
      </c>
      <c r="O153" s="2" t="s">
        <v>658</v>
      </c>
      <c r="P153" s="2" t="s">
        <v>36</v>
      </c>
      <c r="Q153" s="2" t="s">
        <v>908</v>
      </c>
      <c r="R153" s="2">
        <v>15510</v>
      </c>
      <c r="S153" s="2" t="s">
        <v>37</v>
      </c>
      <c r="T153" s="2" t="s">
        <v>195</v>
      </c>
      <c r="U153" s="2" t="s">
        <v>196</v>
      </c>
      <c r="V153" s="3">
        <v>45971</v>
      </c>
      <c r="W153" s="2" t="s">
        <v>135</v>
      </c>
      <c r="X153" s="2" t="str">
        <f t="shared" si="8"/>
        <v>Calle Jose Carlos Mariategui Jose Carlos Mariateg, San Antonio, Huarochiri, Lima, Perú</v>
      </c>
      <c r="Y153" s="22">
        <v>-11.924624100000001</v>
      </c>
      <c r="Z153" s="22">
        <v>-77.022556600000001</v>
      </c>
      <c r="AA153" s="33">
        <f t="shared" si="9"/>
        <v>15.6</v>
      </c>
      <c r="AB153" s="2" t="str">
        <f t="shared" si="10"/>
        <v>🟠 Moderada (10-20 km)</v>
      </c>
      <c r="AC153" s="2" t="str" cm="1">
        <f t="array" ref="AC153">INDEX(PARADEROS_VALIDOS!$C$2:$C$68,MATCH(MIN(6371*ACOS(COS(RADIANS(Y153))*COS(RADIANS(PARADEROS_VALIDOS!$E$2:$E$68))*COS(RADIANS(PARADEROS_VALIDOS!$F$2:$F$68)-RADIANS(Z153))+SIN(RADIANS(Y153))*SIN(RADIANS(PARADEROS_VALIDOS!$E$2:$E$68)))),6371*ACOS(COS(RADIANS(Y153))*COS(RADIANS(PARADEROS_VALIDOS!$E$2:$E$68))*COS(RADIANS(PARADEROS_VALIDOS!$F$2:$F$68)-RADIANS(Z153))+SIN(RADIANS(Y153))*SIN(RADIANS(PARADEROS_VALIDOS!$E$2:$E$68))),0))</f>
        <v>Av. Metropolitana con Cultura</v>
      </c>
      <c r="AD153" s="2" t="str">
        <f>IFERROR(INDEX(PARADEROS_VALIDOS!$A$2:$A$68,MATCH(AC153,PARADEROS_VALIDOS!$C$2:$C$68,0)),"")</f>
        <v>RUTA 4A</v>
      </c>
      <c r="AE153" s="33" cm="1">
        <f t="array" ref="AE153">ROUND(MIN(6371*ACOS(COS(RADIANS(Y153))*COS(RADIANS(PARADEROS_VALIDOS!$E$2:$E$68))*COS(RADIANS(PARADEROS_VALIDOS!$F$2:$F$68)-RADIANS(Z153))+SIN(RADIANS(Y153))*SIN(RADIANS(PARADEROS_VALIDOS!$E$2:$E$68)))),2)</f>
        <v>5.55</v>
      </c>
      <c r="AF153" s="2" t="str">
        <f t="shared" si="11"/>
        <v>🔴 Lejos (&gt;5 km)</v>
      </c>
      <c r="AG153" s="2"/>
      <c r="AH153" s="2"/>
      <c r="AI153" s="51">
        <v>-11.997563</v>
      </c>
      <c r="AJ153" s="51">
        <v>-76.900062000000005</v>
      </c>
      <c r="AK153" s="2" t="str">
        <f>IFERROR(VLOOKUP(I153,tdcargo[],2,FALSE),"DESCONOCIDO")</f>
        <v>OPERARIO</v>
      </c>
    </row>
    <row r="154" spans="1:37" x14ac:dyDescent="0.35">
      <c r="A154" s="2" t="s">
        <v>909</v>
      </c>
      <c r="B154" s="2" t="s">
        <v>910</v>
      </c>
      <c r="C154" s="2" t="s">
        <v>911</v>
      </c>
      <c r="D154" s="2" t="s">
        <v>912</v>
      </c>
      <c r="E154" s="2">
        <v>22</v>
      </c>
      <c r="F154" s="2" t="s">
        <v>28</v>
      </c>
      <c r="G154" s="2" t="s">
        <v>29</v>
      </c>
      <c r="H154" s="2">
        <v>20508824</v>
      </c>
      <c r="I154" s="2" t="s">
        <v>30</v>
      </c>
      <c r="J154" s="3">
        <v>45334</v>
      </c>
      <c r="K154" s="2" t="s">
        <v>31</v>
      </c>
      <c r="L154" s="2" t="s">
        <v>164</v>
      </c>
      <c r="M154" s="2" t="s">
        <v>165</v>
      </c>
      <c r="N154" s="2" t="s">
        <v>34</v>
      </c>
      <c r="O154" s="2" t="s">
        <v>913</v>
      </c>
      <c r="P154" s="2" t="s">
        <v>36</v>
      </c>
      <c r="Q154" s="2" t="s">
        <v>46</v>
      </c>
      <c r="R154" s="2">
        <v>15113</v>
      </c>
      <c r="S154" s="2" t="s">
        <v>37</v>
      </c>
      <c r="T154" s="2" t="s">
        <v>37</v>
      </c>
      <c r="U154" s="2" t="s">
        <v>116</v>
      </c>
      <c r="V154" s="3">
        <v>45334</v>
      </c>
      <c r="W154" s="2" t="s">
        <v>48</v>
      </c>
      <c r="X154" s="2" t="str">
        <f t="shared" si="8"/>
        <v>Avenida Huachipa Jicamarca, Los Olivos, Lima, Lima, Perú</v>
      </c>
      <c r="Y154" s="22">
        <v>-11.9730381</v>
      </c>
      <c r="Z154" s="22">
        <v>-77.071941600000002</v>
      </c>
      <c r="AA154" s="33">
        <f t="shared" si="9"/>
        <v>18.89</v>
      </c>
      <c r="AB154" s="2" t="str">
        <f t="shared" si="10"/>
        <v>🟠 Moderada (10-20 km)</v>
      </c>
      <c r="AC154" s="2" t="str" cm="1">
        <f t="array" ref="AC154">INDEX(PARADEROS_VALIDOS!$C$2:$C$68,MATCH(MIN(6371*ACOS(COS(RADIANS(Y154))*COS(RADIANS(PARADEROS_VALIDOS!$E$2:$E$68))*COS(RADIANS(PARADEROS_VALIDOS!$F$2:$F$68)-RADIANS(Z154))+SIN(RADIANS(Y154))*SIN(RADIANS(PARADEROS_VALIDOS!$E$2:$E$68)))),6371*ACOS(COS(RADIANS(Y154))*COS(RADIANS(PARADEROS_VALIDOS!$E$2:$E$68))*COS(RADIANS(PARADEROS_VALIDOS!$F$2:$F$68)-RADIANS(Z154))+SIN(RADIANS(Y154))*SIN(RADIANS(PARADEROS_VALIDOS!$E$2:$E$68))),0))</f>
        <v>Puente Benavides (Arriba del puente, antes del semáforo)</v>
      </c>
      <c r="AD154" s="2" t="str">
        <f>IFERROR(INDEX(PARADEROS_VALIDOS!$A$2:$A$68,MATCH(AC154,PARADEROS_VALIDOS!$C$2:$C$68,0)),"")</f>
        <v>RUTA 7</v>
      </c>
      <c r="AE154" s="33" cm="1">
        <f t="array" ref="AE154">ROUND(MIN(6371*ACOS(COS(RADIANS(Y154))*COS(RADIANS(PARADEROS_VALIDOS!$E$2:$E$68))*COS(RADIANS(PARADEROS_VALIDOS!$F$2:$F$68)-RADIANS(Z154))+SIN(RADIANS(Y154))*SIN(RADIANS(PARADEROS_VALIDOS!$E$2:$E$68)))),2)</f>
        <v>0.56999999999999995</v>
      </c>
      <c r="AF154" s="2" t="str">
        <f t="shared" si="11"/>
        <v>🟢 Muy Cerca (0-1 km)</v>
      </c>
      <c r="AG154" s="2"/>
      <c r="AH154" s="2"/>
      <c r="AI154" s="51">
        <v>-11.997563</v>
      </c>
      <c r="AJ154" s="51">
        <v>-76.900062000000005</v>
      </c>
      <c r="AK154" s="2" t="str">
        <f>IFERROR(VLOOKUP(I154,tdcargo[],2,FALSE),"DESCONOCIDO")</f>
        <v>OPERARIO</v>
      </c>
    </row>
    <row r="155" spans="1:37" x14ac:dyDescent="0.35">
      <c r="A155" s="2" t="s">
        <v>914</v>
      </c>
      <c r="B155" s="2" t="s">
        <v>915</v>
      </c>
      <c r="C155" s="2" t="s">
        <v>916</v>
      </c>
      <c r="D155" s="2" t="s">
        <v>435</v>
      </c>
      <c r="E155" s="2">
        <v>37</v>
      </c>
      <c r="F155" s="2" t="s">
        <v>28</v>
      </c>
      <c r="G155" s="2" t="s">
        <v>29</v>
      </c>
      <c r="H155" s="2">
        <v>20508738</v>
      </c>
      <c r="I155" s="2" t="s">
        <v>62</v>
      </c>
      <c r="J155" s="3">
        <v>43364</v>
      </c>
      <c r="K155" s="2" t="s">
        <v>31</v>
      </c>
      <c r="L155" s="2" t="s">
        <v>100</v>
      </c>
      <c r="M155" s="2" t="s">
        <v>101</v>
      </c>
      <c r="N155" s="2" t="s">
        <v>82</v>
      </c>
      <c r="O155" s="2" t="s">
        <v>917</v>
      </c>
      <c r="P155" s="2" t="s">
        <v>66</v>
      </c>
      <c r="Q155" s="2" t="s">
        <v>917</v>
      </c>
      <c r="R155" s="2">
        <v>15004</v>
      </c>
      <c r="S155" s="2" t="s">
        <v>37</v>
      </c>
      <c r="T155" s="2" t="s">
        <v>37</v>
      </c>
      <c r="U155" s="2" t="s">
        <v>57</v>
      </c>
      <c r="V155" s="3">
        <v>43364</v>
      </c>
      <c r="W155" s="2" t="s">
        <v>48</v>
      </c>
      <c r="X155" s="2" t="str">
        <f t="shared" si="8"/>
        <v>Calle Huaycan Zona Z|, U.V. Unidad Vecinal Huaycan Zona Z|, Ate, Lima, Lima, Perú</v>
      </c>
      <c r="Y155" s="22">
        <v>-12.0109124</v>
      </c>
      <c r="Z155" s="22">
        <v>-76.799288000000004</v>
      </c>
      <c r="AA155" s="33">
        <f t="shared" si="9"/>
        <v>11.06</v>
      </c>
      <c r="AB155" s="2" t="str">
        <f t="shared" si="10"/>
        <v>🟠 Moderada (10-20 km)</v>
      </c>
      <c r="AC155" s="2" t="str" cm="1">
        <f t="array" ref="AC155">INDEX(PARADEROS_VALIDOS!$C$2:$C$68,MATCH(MIN(6371*ACOS(COS(RADIANS(Y155))*COS(RADIANS(PARADEROS_VALIDOS!$E$2:$E$68))*COS(RADIANS(PARADEROS_VALIDOS!$F$2:$F$68)-RADIANS(Z155))+SIN(RADIANS(Y155))*SIN(RADIANS(PARADEROS_VALIDOS!$E$2:$E$68)))),6371*ACOS(COS(RADIANS(Y155))*COS(RADIANS(PARADEROS_VALIDOS!$E$2:$E$68))*COS(RADIANS(PARADEROS_VALIDOS!$F$2:$F$68)-RADIANS(Z155))+SIN(RADIANS(Y155))*SIN(RADIANS(PARADEROS_VALIDOS!$E$2:$E$68))),0))</f>
        <v>Paradero Aurora</v>
      </c>
      <c r="AD155" s="2" t="str">
        <f>IFERROR(INDEX(PARADEROS_VALIDOS!$A$2:$A$68,MATCH(AC155,PARADEROS_VALIDOS!$C$2:$C$68,0)),"")</f>
        <v>RUTA 3</v>
      </c>
      <c r="AE155" s="33" cm="1">
        <f t="array" ref="AE155">ROUND(MIN(6371*ACOS(COS(RADIANS(Y155))*COS(RADIANS(PARADEROS_VALIDOS!$E$2:$E$68))*COS(RADIANS(PARADEROS_VALIDOS!$F$2:$F$68)-RADIANS(Z155))+SIN(RADIANS(Y155))*SIN(RADIANS(PARADEROS_VALIDOS!$E$2:$E$68)))),2)</f>
        <v>3.03</v>
      </c>
      <c r="AF155" s="2" t="str">
        <f t="shared" si="11"/>
        <v>🟠 Moderada (3-5 km)</v>
      </c>
      <c r="AG155" s="2"/>
      <c r="AH155" s="2"/>
      <c r="AI155" s="51">
        <v>-11.997563</v>
      </c>
      <c r="AJ155" s="51">
        <v>-76.900062000000005</v>
      </c>
      <c r="AK155" s="2" t="str">
        <f>IFERROR(VLOOKUP(I155,tdcargo[],2,FALSE),"DESCONOCIDO")</f>
        <v>OPERARIO</v>
      </c>
    </row>
    <row r="156" spans="1:37" x14ac:dyDescent="0.35">
      <c r="A156" s="2" t="s">
        <v>918</v>
      </c>
      <c r="B156" s="2" t="s">
        <v>628</v>
      </c>
      <c r="C156" s="2" t="s">
        <v>385</v>
      </c>
      <c r="D156" s="2" t="s">
        <v>919</v>
      </c>
      <c r="E156" s="2">
        <v>45</v>
      </c>
      <c r="F156" s="2" t="s">
        <v>28</v>
      </c>
      <c r="G156" s="2" t="s">
        <v>29</v>
      </c>
      <c r="H156" s="2">
        <v>20508933</v>
      </c>
      <c r="I156" s="2" t="s">
        <v>44</v>
      </c>
      <c r="J156" s="3">
        <v>43090</v>
      </c>
      <c r="K156" s="2" t="s">
        <v>31</v>
      </c>
      <c r="L156" s="2" t="s">
        <v>32</v>
      </c>
      <c r="M156" s="2" t="s">
        <v>33</v>
      </c>
      <c r="N156" s="2" t="s">
        <v>34</v>
      </c>
      <c r="O156" s="2" t="s">
        <v>920</v>
      </c>
      <c r="P156" s="2" t="s">
        <v>186</v>
      </c>
      <c r="Q156" s="2" t="s">
        <v>921</v>
      </c>
      <c r="R156" s="2">
        <v>15401</v>
      </c>
      <c r="S156" s="2" t="s">
        <v>37</v>
      </c>
      <c r="T156" s="2" t="s">
        <v>37</v>
      </c>
      <c r="U156" s="2" t="s">
        <v>38</v>
      </c>
      <c r="V156" s="3">
        <v>43090</v>
      </c>
      <c r="W156" s="2" t="s">
        <v>48</v>
      </c>
      <c r="X156" s="2" t="str">
        <f t="shared" si="8"/>
        <v>Avenida 13 De Enero, Urb. Urbanización San Hilarion 2° Etapa, San Juan De Lurigancho, Lima, Lima, Perú</v>
      </c>
      <c r="Y156" s="22">
        <v>-11.9908929</v>
      </c>
      <c r="Z156" s="22">
        <v>-77.005195900000004</v>
      </c>
      <c r="AA156" s="33">
        <f t="shared" si="9"/>
        <v>11.46</v>
      </c>
      <c r="AB156" s="2" t="str">
        <f t="shared" si="10"/>
        <v>🟠 Moderada (10-20 km)</v>
      </c>
      <c r="AC156" s="2" t="str" cm="1">
        <f t="array" ref="AC156">INDEX(PARADEROS_VALIDOS!$C$2:$C$68,MATCH(MIN(6371*ACOS(COS(RADIANS(Y156))*COS(RADIANS(PARADEROS_VALIDOS!$E$2:$E$68))*COS(RADIANS(PARADEROS_VALIDOS!$F$2:$F$68)-RADIANS(Z156))+SIN(RADIANS(Y156))*SIN(RADIANS(PARADEROS_VALIDOS!$E$2:$E$68)))),6371*ACOS(COS(RADIANS(Y156))*COS(RADIANS(PARADEROS_VALIDOS!$E$2:$E$68))*COS(RADIANS(PARADEROS_VALIDOS!$F$2:$F$68)-RADIANS(Z156))+SIN(RADIANS(Y156))*SIN(RADIANS(PARADEROS_VALIDOS!$E$2:$E$68))),0))</f>
        <v>Paradero San Carlos</v>
      </c>
      <c r="AD156" s="2" t="str">
        <f>IFERROR(INDEX(PARADEROS_VALIDOS!$A$2:$A$68,MATCH(AC156,PARADEROS_VALIDOS!$C$2:$C$68,0)),"")</f>
        <v>RUTA 6B</v>
      </c>
      <c r="AE156" s="33" cm="1">
        <f t="array" ref="AE156">ROUND(MIN(6371*ACOS(COS(RADIANS(Y156))*COS(RADIANS(PARADEROS_VALIDOS!$E$2:$E$68))*COS(RADIANS(PARADEROS_VALIDOS!$F$2:$F$68)-RADIANS(Z156))+SIN(RADIANS(Y156))*SIN(RADIANS(PARADEROS_VALIDOS!$E$2:$E$68)))),2)</f>
        <v>0.63</v>
      </c>
      <c r="AF156" s="2" t="str">
        <f t="shared" si="11"/>
        <v>🟢 Muy Cerca (0-1 km)</v>
      </c>
      <c r="AG156" s="2"/>
      <c r="AH156" s="2"/>
      <c r="AI156" s="51">
        <v>-11.997563</v>
      </c>
      <c r="AJ156" s="51">
        <v>-76.900062000000005</v>
      </c>
      <c r="AK156" s="2" t="str">
        <f>IFERROR(VLOOKUP(I156,tdcargo[],2,FALSE),"DESCONOCIDO")</f>
        <v>OPERARIO</v>
      </c>
    </row>
    <row r="157" spans="1:37" x14ac:dyDescent="0.35">
      <c r="A157" s="2" t="s">
        <v>922</v>
      </c>
      <c r="B157" s="2" t="s">
        <v>923</v>
      </c>
      <c r="C157" s="2" t="s">
        <v>924</v>
      </c>
      <c r="D157" s="2" t="s">
        <v>925</v>
      </c>
      <c r="E157" s="2">
        <v>35</v>
      </c>
      <c r="F157" s="2" t="s">
        <v>28</v>
      </c>
      <c r="G157" s="2" t="s">
        <v>29</v>
      </c>
      <c r="H157" s="2">
        <v>20508985</v>
      </c>
      <c r="I157" s="2" t="s">
        <v>62</v>
      </c>
      <c r="J157" s="3">
        <v>43720</v>
      </c>
      <c r="K157" s="2" t="s">
        <v>31</v>
      </c>
      <c r="L157" s="2" t="s">
        <v>63</v>
      </c>
      <c r="M157" s="2" t="s">
        <v>64</v>
      </c>
      <c r="N157" s="2" t="s">
        <v>36</v>
      </c>
      <c r="O157" s="2" t="s">
        <v>926</v>
      </c>
      <c r="P157" s="2" t="s">
        <v>36</v>
      </c>
      <c r="Q157" s="2" t="s">
        <v>46</v>
      </c>
      <c r="R157" s="2">
        <v>15457</v>
      </c>
      <c r="S157" s="2" t="s">
        <v>37</v>
      </c>
      <c r="T157" s="2" t="s">
        <v>37</v>
      </c>
      <c r="U157" s="2" t="s">
        <v>76</v>
      </c>
      <c r="V157" s="3">
        <v>43720</v>
      </c>
      <c r="W157" s="2" t="s">
        <v>48</v>
      </c>
      <c r="X157" s="2" t="str">
        <f t="shared" si="8"/>
        <v>Mz I Lt 11 Sec B Casa Huerta La Campiña, Lurigancho, Lima, Lima, Perú</v>
      </c>
      <c r="Y157" s="22">
        <v>-11.9772213</v>
      </c>
      <c r="Z157" s="22">
        <v>-76.917309200000005</v>
      </c>
      <c r="AA157" s="33">
        <f t="shared" si="9"/>
        <v>2.94</v>
      </c>
      <c r="AB157" s="2" t="str">
        <f t="shared" si="10"/>
        <v>🟢 Muy Cerca (0-5 km)</v>
      </c>
      <c r="AC157" s="2" t="str" cm="1">
        <f t="array" ref="AC157">INDEX(PARADEROS_VALIDOS!$C$2:$C$68,MATCH(MIN(6371*ACOS(COS(RADIANS(Y157))*COS(RADIANS(PARADEROS_VALIDOS!$E$2:$E$68))*COS(RADIANS(PARADEROS_VALIDOS!$F$2:$F$68)-RADIANS(Z157))+SIN(RADIANS(Y157))*SIN(RADIANS(PARADEROS_VALIDOS!$E$2:$E$68)))),6371*ACOS(COS(RADIANS(Y157))*COS(RADIANS(PARADEROS_VALIDOS!$E$2:$E$68))*COS(RADIANS(PARADEROS_VALIDOS!$F$2:$F$68)-RADIANS(Z157))+SIN(RADIANS(Y157))*SIN(RADIANS(PARADEROS_VALIDOS!$E$2:$E$68))),0))</f>
        <v>Paradero Arco San Antonio</v>
      </c>
      <c r="AD157" s="2" t="str">
        <f>IFERROR(INDEX(PARADEROS_VALIDOS!$A$2:$A$68,MATCH(AC157,PARADEROS_VALIDOS!$C$2:$C$68,0)),"")</f>
        <v>RUTA 2</v>
      </c>
      <c r="AE157" s="33" cm="1">
        <f t="array" ref="AE157">ROUND(MIN(6371*ACOS(COS(RADIANS(Y157))*COS(RADIANS(PARADEROS_VALIDOS!$E$2:$E$68))*COS(RADIANS(PARADEROS_VALIDOS!$F$2:$F$68)-RADIANS(Z157))+SIN(RADIANS(Y157))*SIN(RADIANS(PARADEROS_VALIDOS!$E$2:$E$68)))),2)</f>
        <v>2.38</v>
      </c>
      <c r="AF157" s="2" t="str">
        <f t="shared" si="11"/>
        <v>🟡 Cerca (1-3 km)</v>
      </c>
      <c r="AG157" s="2"/>
      <c r="AH157" s="2"/>
      <c r="AI157" s="51">
        <v>-11.997563</v>
      </c>
      <c r="AJ157" s="51">
        <v>-76.900062000000005</v>
      </c>
      <c r="AK157" s="2" t="str">
        <f>IFERROR(VLOOKUP(I157,tdcargo[],2,FALSE),"DESCONOCIDO")</f>
        <v>OPERARIO</v>
      </c>
    </row>
    <row r="158" spans="1:37" x14ac:dyDescent="0.35">
      <c r="A158" s="2" t="s">
        <v>927</v>
      </c>
      <c r="B158" s="2" t="s">
        <v>928</v>
      </c>
      <c r="C158" s="2" t="s">
        <v>531</v>
      </c>
      <c r="D158" s="2" t="s">
        <v>929</v>
      </c>
      <c r="E158" s="2">
        <v>33</v>
      </c>
      <c r="F158" s="2" t="s">
        <v>28</v>
      </c>
      <c r="G158" s="2" t="s">
        <v>29</v>
      </c>
      <c r="H158" s="2">
        <v>20508779</v>
      </c>
      <c r="I158" s="2" t="s">
        <v>30</v>
      </c>
      <c r="J158" s="3">
        <v>44735</v>
      </c>
      <c r="K158" s="2" t="s">
        <v>31</v>
      </c>
      <c r="L158" s="2" t="s">
        <v>72</v>
      </c>
      <c r="M158" s="2" t="s">
        <v>73</v>
      </c>
      <c r="N158" s="2" t="s">
        <v>82</v>
      </c>
      <c r="O158" s="2" t="s">
        <v>930</v>
      </c>
      <c r="P158" s="2" t="s">
        <v>36</v>
      </c>
      <c r="Q158" s="2" t="s">
        <v>931</v>
      </c>
      <c r="R158" s="2">
        <v>15457</v>
      </c>
      <c r="S158" s="2" t="s">
        <v>37</v>
      </c>
      <c r="T158" s="2" t="s">
        <v>37</v>
      </c>
      <c r="U158" s="2" t="s">
        <v>76</v>
      </c>
      <c r="V158" s="3">
        <v>44735</v>
      </c>
      <c r="W158" s="2" t="s">
        <v>48</v>
      </c>
      <c r="X158" s="2" t="str">
        <f t="shared" si="8"/>
        <v>Calle Praderas De Huachipa Arco, Lurigancho, Lima, Lima, Perú</v>
      </c>
      <c r="Y158" s="22">
        <v>-11.9923895</v>
      </c>
      <c r="Z158" s="22">
        <v>-76.9025702</v>
      </c>
      <c r="AA158" s="33">
        <f t="shared" si="9"/>
        <v>0.64</v>
      </c>
      <c r="AB158" s="2" t="str">
        <f t="shared" si="10"/>
        <v>🟢 Muy Cerca (0-5 km)</v>
      </c>
      <c r="AC158" s="2" t="str" cm="1">
        <f t="array" ref="AC158">INDEX(PARADEROS_VALIDOS!$C$2:$C$68,MATCH(MIN(6371*ACOS(COS(RADIANS(Y158))*COS(RADIANS(PARADEROS_VALIDOS!$E$2:$E$68))*COS(RADIANS(PARADEROS_VALIDOS!$F$2:$F$68)-RADIANS(Z158))+SIN(RADIANS(Y158))*SIN(RADIANS(PARADEROS_VALIDOS!$E$2:$E$68)))),6371*ACOS(COS(RADIANS(Y158))*COS(RADIANS(PARADEROS_VALIDOS!$E$2:$E$68))*COS(RADIANS(PARADEROS_VALIDOS!$F$2:$F$68)-RADIANS(Z158))+SIN(RADIANS(Y158))*SIN(RADIANS(PARADEROS_VALIDOS!$E$2:$E$68))),0))</f>
        <v>Paradero Arco San Antonio</v>
      </c>
      <c r="AD158" s="2" t="str">
        <f>IFERROR(INDEX(PARADEROS_VALIDOS!$A$2:$A$68,MATCH(AC158,PARADEROS_VALIDOS!$C$2:$C$68,0)),"")</f>
        <v>RUTA 2</v>
      </c>
      <c r="AE158" s="33" cm="1">
        <f t="array" ref="AE158">ROUND(MIN(6371*ACOS(COS(RADIANS(Y158))*COS(RADIANS(PARADEROS_VALIDOS!$E$2:$E$68))*COS(RADIANS(PARADEROS_VALIDOS!$F$2:$F$68)-RADIANS(Z158))+SIN(RADIANS(Y158))*SIN(RADIANS(PARADEROS_VALIDOS!$E$2:$E$68)))),2)</f>
        <v>0.14000000000000001</v>
      </c>
      <c r="AF158" s="2" t="str">
        <f t="shared" si="11"/>
        <v>🟢 Muy Cerca (0-1 km)</v>
      </c>
      <c r="AG158" s="2"/>
      <c r="AH158" s="2"/>
      <c r="AI158" s="51">
        <v>-11.997563</v>
      </c>
      <c r="AJ158" s="51">
        <v>-76.900062000000005</v>
      </c>
      <c r="AK158" s="2" t="str">
        <f>IFERROR(VLOOKUP(I158,tdcargo[],2,FALSE),"DESCONOCIDO")</f>
        <v>OPERARIO</v>
      </c>
    </row>
    <row r="159" spans="1:37" x14ac:dyDescent="0.35">
      <c r="A159" s="2" t="s">
        <v>932</v>
      </c>
      <c r="B159" s="2" t="s">
        <v>933</v>
      </c>
      <c r="C159" s="2" t="s">
        <v>934</v>
      </c>
      <c r="D159" s="2" t="s">
        <v>451</v>
      </c>
      <c r="E159" s="2">
        <v>29</v>
      </c>
      <c r="F159" s="2" t="s">
        <v>28</v>
      </c>
      <c r="G159" s="2" t="s">
        <v>29</v>
      </c>
      <c r="H159" s="2">
        <v>20508793</v>
      </c>
      <c r="I159" s="2" t="s">
        <v>30</v>
      </c>
      <c r="J159" s="3">
        <v>45442</v>
      </c>
      <c r="K159" s="2" t="s">
        <v>31</v>
      </c>
      <c r="L159" s="2" t="s">
        <v>72</v>
      </c>
      <c r="M159" s="2" t="s">
        <v>73</v>
      </c>
      <c r="N159" s="2" t="s">
        <v>53</v>
      </c>
      <c r="O159" s="2" t="s">
        <v>935</v>
      </c>
      <c r="P159" s="2" t="s">
        <v>36</v>
      </c>
      <c r="Q159" s="2" t="s">
        <v>936</v>
      </c>
      <c r="R159" s="2">
        <v>15510</v>
      </c>
      <c r="S159" s="2" t="s">
        <v>37</v>
      </c>
      <c r="T159" s="2" t="s">
        <v>195</v>
      </c>
      <c r="U159" s="2" t="s">
        <v>196</v>
      </c>
      <c r="V159" s="3">
        <v>45442</v>
      </c>
      <c r="W159" s="2" t="s">
        <v>48</v>
      </c>
      <c r="X159" s="2" t="str">
        <f t="shared" si="8"/>
        <v>Jirón Asent.H Valle El Triunfo Valle El Triunfo, San Antonio, Huarochiri, Lima, Perú</v>
      </c>
      <c r="Y159" s="22">
        <v>-11.983935799999999</v>
      </c>
      <c r="Z159" s="22">
        <v>-76.952705300000005</v>
      </c>
      <c r="AA159" s="33">
        <f t="shared" si="9"/>
        <v>5.92</v>
      </c>
      <c r="AB159" s="2" t="str">
        <f t="shared" si="10"/>
        <v>🟡 Cerca (5-10 km)</v>
      </c>
      <c r="AC159" s="2" t="str" cm="1">
        <f t="array" ref="AC159">INDEX(PARADEROS_VALIDOS!$C$2:$C$68,MATCH(MIN(6371*ACOS(COS(RADIANS(Y159))*COS(RADIANS(PARADEROS_VALIDOS!$E$2:$E$68))*COS(RADIANS(PARADEROS_VALIDOS!$F$2:$F$68)-RADIANS(Z159))+SIN(RADIANS(Y159))*SIN(RADIANS(PARADEROS_VALIDOS!$E$2:$E$68)))),6371*ACOS(COS(RADIANS(Y159))*COS(RADIANS(PARADEROS_VALIDOS!$E$2:$E$68))*COS(RADIANS(PARADEROS_VALIDOS!$F$2:$F$68)-RADIANS(Z159))+SIN(RADIANS(Y159))*SIN(RADIANS(PARADEROS_VALIDOS!$E$2:$E$68))),0))</f>
        <v>Paradero Saracoto</v>
      </c>
      <c r="AD159" s="2" t="str">
        <f>IFERROR(INDEX(PARADEROS_VALIDOS!$A$2:$A$68,MATCH(AC159,PARADEROS_VALIDOS!$C$2:$C$68,0)),"")</f>
        <v>RUTA 1</v>
      </c>
      <c r="AE159" s="33" cm="1">
        <f t="array" ref="AE159">ROUND(MIN(6371*ACOS(COS(RADIANS(Y159))*COS(RADIANS(PARADEROS_VALIDOS!$E$2:$E$68))*COS(RADIANS(PARADEROS_VALIDOS!$F$2:$F$68)-RADIANS(Z159))+SIN(RADIANS(Y159))*SIN(RADIANS(PARADEROS_VALIDOS!$E$2:$E$68)))),2)</f>
        <v>4.4400000000000004</v>
      </c>
      <c r="AF159" s="2" t="str">
        <f t="shared" si="11"/>
        <v>🟠 Moderada (3-5 km)</v>
      </c>
      <c r="AG159" s="2"/>
      <c r="AH159" s="2"/>
      <c r="AI159" s="51">
        <v>-11.997563</v>
      </c>
      <c r="AJ159" s="51">
        <v>-76.900062000000005</v>
      </c>
      <c r="AK159" s="2" t="str">
        <f>IFERROR(VLOOKUP(I159,tdcargo[],2,FALSE),"DESCONOCIDO")</f>
        <v>OPERARIO</v>
      </c>
    </row>
    <row r="160" spans="1:37" x14ac:dyDescent="0.35">
      <c r="A160" s="2" t="s">
        <v>937</v>
      </c>
      <c r="B160" s="2" t="s">
        <v>938</v>
      </c>
      <c r="C160" s="2" t="s">
        <v>939</v>
      </c>
      <c r="D160" s="2" t="s">
        <v>598</v>
      </c>
      <c r="E160" s="2">
        <v>28</v>
      </c>
      <c r="F160" s="2" t="s">
        <v>28</v>
      </c>
      <c r="G160" s="2" t="s">
        <v>29</v>
      </c>
      <c r="H160" s="2">
        <v>20508999</v>
      </c>
      <c r="I160" s="2" t="s">
        <v>30</v>
      </c>
      <c r="J160" s="3">
        <v>45393</v>
      </c>
      <c r="K160" s="2" t="s">
        <v>31</v>
      </c>
      <c r="L160" s="2" t="s">
        <v>63</v>
      </c>
      <c r="M160" s="2" t="s">
        <v>64</v>
      </c>
      <c r="N160" s="2" t="s">
        <v>82</v>
      </c>
      <c r="O160" s="2" t="s">
        <v>940</v>
      </c>
      <c r="P160" s="2" t="s">
        <v>36</v>
      </c>
      <c r="Q160" s="2" t="s">
        <v>748</v>
      </c>
      <c r="R160" s="2">
        <v>15457</v>
      </c>
      <c r="S160" s="2" t="s">
        <v>37</v>
      </c>
      <c r="T160" s="2" t="s">
        <v>37</v>
      </c>
      <c r="U160" s="2" t="s">
        <v>76</v>
      </c>
      <c r="V160" s="3">
        <v>45393</v>
      </c>
      <c r="W160" s="2" t="s">
        <v>48</v>
      </c>
      <c r="X160" s="2" t="str">
        <f t="shared" si="8"/>
        <v>Calle Asociacion Las Gaviotas 3 Etapa Nieveria, Lurigancho, Lima, Lima, Perú</v>
      </c>
      <c r="Y160" s="22">
        <v>-11.983333</v>
      </c>
      <c r="Z160" s="22">
        <v>-76.916667000000004</v>
      </c>
      <c r="AA160" s="33">
        <f t="shared" si="9"/>
        <v>2.4</v>
      </c>
      <c r="AB160" s="2" t="str">
        <f t="shared" si="10"/>
        <v>🟢 Muy Cerca (0-5 km)</v>
      </c>
      <c r="AC160" s="2" t="str" cm="1">
        <f t="array" ref="AC160">INDEX(PARADEROS_VALIDOS!$C$2:$C$68,MATCH(MIN(6371*ACOS(COS(RADIANS(Y160))*COS(RADIANS(PARADEROS_VALIDOS!$E$2:$E$68))*COS(RADIANS(PARADEROS_VALIDOS!$F$2:$F$68)-RADIANS(Z160))+SIN(RADIANS(Y160))*SIN(RADIANS(PARADEROS_VALIDOS!$E$2:$E$68)))),6371*ACOS(COS(RADIANS(Y160))*COS(RADIANS(PARADEROS_VALIDOS!$E$2:$E$68))*COS(RADIANS(PARADEROS_VALIDOS!$F$2:$F$68)-RADIANS(Z160))+SIN(RADIANS(Y160))*SIN(RADIANS(PARADEROS_VALIDOS!$E$2:$E$68))),0))</f>
        <v>Paradero Arco San Antonio</v>
      </c>
      <c r="AD160" s="2" t="str">
        <f>IFERROR(INDEX(PARADEROS_VALIDOS!$A$2:$A$68,MATCH(AC160,PARADEROS_VALIDOS!$C$2:$C$68,0)),"")</f>
        <v>RUTA 2</v>
      </c>
      <c r="AE160" s="33" cm="1">
        <f t="array" ref="AE160">ROUND(MIN(6371*ACOS(COS(RADIANS(Y160))*COS(RADIANS(PARADEROS_VALIDOS!$E$2:$E$68))*COS(RADIANS(PARADEROS_VALIDOS!$F$2:$F$68)-RADIANS(Z160))+SIN(RADIANS(Y160))*SIN(RADIANS(PARADEROS_VALIDOS!$E$2:$E$68)))),2)</f>
        <v>1.86</v>
      </c>
      <c r="AF160" s="2" t="str">
        <f t="shared" si="11"/>
        <v>🟡 Cerca (1-3 km)</v>
      </c>
      <c r="AG160" s="2"/>
      <c r="AH160" s="2"/>
      <c r="AI160" s="51">
        <v>-11.997563</v>
      </c>
      <c r="AJ160" s="51">
        <v>-76.900062000000005</v>
      </c>
      <c r="AK160" s="2" t="str">
        <f>IFERROR(VLOOKUP(I160,tdcargo[],2,FALSE),"DESCONOCIDO")</f>
        <v>OPERARIO</v>
      </c>
    </row>
    <row r="161" spans="1:37" x14ac:dyDescent="0.35">
      <c r="A161" s="2" t="s">
        <v>941</v>
      </c>
      <c r="B161" s="2" t="s">
        <v>942</v>
      </c>
      <c r="C161" s="2" t="s">
        <v>943</v>
      </c>
      <c r="D161" s="2" t="s">
        <v>277</v>
      </c>
      <c r="E161" s="2">
        <v>37</v>
      </c>
      <c r="F161" s="2" t="s">
        <v>28</v>
      </c>
      <c r="G161" s="2" t="s">
        <v>29</v>
      </c>
      <c r="H161" s="2">
        <v>20510573</v>
      </c>
      <c r="I161" s="2" t="s">
        <v>44</v>
      </c>
      <c r="J161" s="3">
        <v>45054</v>
      </c>
      <c r="K161" s="2" t="s">
        <v>31</v>
      </c>
      <c r="L161" s="2" t="s">
        <v>72</v>
      </c>
      <c r="M161" s="2" t="s">
        <v>73</v>
      </c>
      <c r="N161" s="2" t="s">
        <v>53</v>
      </c>
      <c r="O161" s="2" t="s">
        <v>944</v>
      </c>
      <c r="P161" s="2" t="s">
        <v>186</v>
      </c>
      <c r="Q161" s="2" t="s">
        <v>945</v>
      </c>
      <c r="R161" s="2">
        <v>15401</v>
      </c>
      <c r="S161" s="2" t="s">
        <v>37</v>
      </c>
      <c r="T161" s="2" t="s">
        <v>37</v>
      </c>
      <c r="U161" s="2" t="s">
        <v>38</v>
      </c>
      <c r="V161" s="3">
        <v>45054</v>
      </c>
      <c r="W161" s="2" t="s">
        <v>48</v>
      </c>
      <c r="X161" s="2" t="str">
        <f t="shared" si="8"/>
        <v>Jirón Los Varayoc, Urb. Urbanización Zarate, San Juan De Lurigancho, Lima, Lima, Perú</v>
      </c>
      <c r="Y161" s="22">
        <v>-12.024369800000001</v>
      </c>
      <c r="Z161" s="22">
        <v>-76.991770599999995</v>
      </c>
      <c r="AA161" s="33">
        <f t="shared" si="9"/>
        <v>10.41</v>
      </c>
      <c r="AB161" s="2" t="str">
        <f t="shared" si="10"/>
        <v>🟠 Moderada (10-20 km)</v>
      </c>
      <c r="AC161" s="2" t="str" cm="1">
        <f t="array" ref="AC161">INDEX(PARADEROS_VALIDOS!$C$2:$C$68,MATCH(MIN(6371*ACOS(COS(RADIANS(Y161))*COS(RADIANS(PARADEROS_VALIDOS!$E$2:$E$68))*COS(RADIANS(PARADEROS_VALIDOS!$F$2:$F$68)-RADIANS(Z161))+SIN(RADIANS(Y161))*SIN(RADIANS(PARADEROS_VALIDOS!$E$2:$E$68)))),6371*ACOS(COS(RADIANS(Y161))*COS(RADIANS(PARADEROS_VALIDOS!$E$2:$E$68))*COS(RADIANS(PARADEROS_VALIDOS!$F$2:$F$68)-RADIANS(Z161))+SIN(RADIANS(Y161))*SIN(RADIANS(PARADEROS_VALIDOS!$E$2:$E$68))),0))</f>
        <v>Puente Nuevo (Av. Chinchaysuyo &amp; Av. Malecón Checa)</v>
      </c>
      <c r="AD161" s="2" t="str">
        <f>IFERROR(INDEX(PARADEROS_VALIDOS!$A$2:$A$68,MATCH(AC161,PARADEROS_VALIDOS!$C$2:$C$68,0)),"")</f>
        <v>RUTA 6C</v>
      </c>
      <c r="AE161" s="33" cm="1">
        <f t="array" ref="AE161">ROUND(MIN(6371*ACOS(COS(RADIANS(Y161))*COS(RADIANS(PARADEROS_VALIDOS!$E$2:$E$68))*COS(RADIANS(PARADEROS_VALIDOS!$F$2:$F$68)-RADIANS(Z161))+SIN(RADIANS(Y161))*SIN(RADIANS(PARADEROS_VALIDOS!$E$2:$E$68)))),2)</f>
        <v>0.52</v>
      </c>
      <c r="AF161" s="2" t="str">
        <f t="shared" si="11"/>
        <v>🟢 Muy Cerca (0-1 km)</v>
      </c>
      <c r="AG161" s="2"/>
      <c r="AH161" s="2"/>
      <c r="AI161" s="51">
        <v>-11.997563</v>
      </c>
      <c r="AJ161" s="51">
        <v>-76.900062000000005</v>
      </c>
      <c r="AK161" s="2" t="str">
        <f>IFERROR(VLOOKUP(I161,tdcargo[],2,FALSE),"DESCONOCIDO")</f>
        <v>OPERARIO</v>
      </c>
    </row>
    <row r="162" spans="1:37" x14ac:dyDescent="0.35">
      <c r="A162" s="2" t="s">
        <v>946</v>
      </c>
      <c r="B162" s="2" t="s">
        <v>947</v>
      </c>
      <c r="C162" s="2" t="s">
        <v>948</v>
      </c>
      <c r="D162" s="2" t="s">
        <v>949</v>
      </c>
      <c r="E162" s="2">
        <v>39</v>
      </c>
      <c r="F162" s="2" t="s">
        <v>28</v>
      </c>
      <c r="G162" s="2" t="s">
        <v>29</v>
      </c>
      <c r="H162" s="2">
        <v>20512288</v>
      </c>
      <c r="I162" s="2" t="s">
        <v>30</v>
      </c>
      <c r="J162" s="3">
        <v>45763</v>
      </c>
      <c r="K162" s="2" t="s">
        <v>31</v>
      </c>
      <c r="L162" s="2" t="s">
        <v>108</v>
      </c>
      <c r="M162" s="2" t="s">
        <v>109</v>
      </c>
      <c r="N162" s="2" t="s">
        <v>82</v>
      </c>
      <c r="O162" s="2" t="s">
        <v>950</v>
      </c>
      <c r="P162" s="2" t="s">
        <v>36</v>
      </c>
      <c r="Q162" s="2" t="s">
        <v>951</v>
      </c>
      <c r="R162" s="2">
        <v>15457</v>
      </c>
      <c r="S162" s="2" t="s">
        <v>37</v>
      </c>
      <c r="T162" s="2" t="s">
        <v>37</v>
      </c>
      <c r="U162" s="2" t="s">
        <v>76</v>
      </c>
      <c r="V162" s="3">
        <v>45763</v>
      </c>
      <c r="W162" s="2" t="s">
        <v>39</v>
      </c>
      <c r="X162" s="2" t="str">
        <f t="shared" si="8"/>
        <v>Calle Terrazas De Carapongo Cara, Lurigancho, Lima, Lima, Perú</v>
      </c>
      <c r="Y162" s="22">
        <v>-11.9984202</v>
      </c>
      <c r="Z162" s="22">
        <v>-76.854526100000001</v>
      </c>
      <c r="AA162" s="33">
        <f t="shared" si="9"/>
        <v>4.95</v>
      </c>
      <c r="AB162" s="2" t="str">
        <f t="shared" si="10"/>
        <v>🟢 Muy Cerca (0-5 km)</v>
      </c>
      <c r="AC162" s="2" t="str" cm="1">
        <f t="array" ref="AC162">INDEX(PARADEROS_VALIDOS!$C$2:$C$68,MATCH(MIN(6371*ACOS(COS(RADIANS(Y162))*COS(RADIANS(PARADEROS_VALIDOS!$E$2:$E$68))*COS(RADIANS(PARADEROS_VALIDOS!$F$2:$F$68)-RADIANS(Z162))+SIN(RADIANS(Y162))*SIN(RADIANS(PARADEROS_VALIDOS!$E$2:$E$68)))),6371*ACOS(COS(RADIANS(Y162))*COS(RADIANS(PARADEROS_VALIDOS!$E$2:$E$68))*COS(RADIANS(PARADEROS_VALIDOS!$F$2:$F$68)-RADIANS(Z162))+SIN(RADIANS(Y162))*SIN(RADIANS(PARADEROS_VALIDOS!$E$2:$E$68))),0))</f>
        <v>Paradero Gloria Grande</v>
      </c>
      <c r="AD162" s="2" t="str">
        <f>IFERROR(INDEX(PARADEROS_VALIDOS!$A$2:$A$68,MATCH(AC162,PARADEROS_VALIDOS!$C$2:$C$68,0)),"")</f>
        <v>RUTA 5B</v>
      </c>
      <c r="AE162" s="33" cm="1">
        <f t="array" ref="AE162">ROUND(MIN(6371*ACOS(COS(RADIANS(Y162))*COS(RADIANS(PARADEROS_VALIDOS!$E$2:$E$68))*COS(RADIANS(PARADEROS_VALIDOS!$F$2:$F$68)-RADIANS(Z162))+SIN(RADIANS(Y162))*SIN(RADIANS(PARADEROS_VALIDOS!$E$2:$E$68)))),2)</f>
        <v>1.06</v>
      </c>
      <c r="AF162" s="2" t="str">
        <f t="shared" si="11"/>
        <v>🟡 Cerca (1-3 km)</v>
      </c>
      <c r="AG162" s="2"/>
      <c r="AH162" s="2"/>
      <c r="AI162" s="51">
        <v>-11.997563</v>
      </c>
      <c r="AJ162" s="51">
        <v>-76.900062000000005</v>
      </c>
      <c r="AK162" s="2" t="str">
        <f>IFERROR(VLOOKUP(I162,tdcargo[],2,FALSE),"DESCONOCIDO")</f>
        <v>OPERARIO</v>
      </c>
    </row>
    <row r="163" spans="1:37" x14ac:dyDescent="0.35">
      <c r="A163" s="2" t="s">
        <v>952</v>
      </c>
      <c r="B163" s="2" t="s">
        <v>953</v>
      </c>
      <c r="C163" s="2" t="s">
        <v>364</v>
      </c>
      <c r="D163" s="2" t="s">
        <v>364</v>
      </c>
      <c r="E163" s="2">
        <v>38</v>
      </c>
      <c r="F163" s="2" t="s">
        <v>28</v>
      </c>
      <c r="G163" s="2" t="s">
        <v>29</v>
      </c>
      <c r="H163" s="2">
        <v>20508751</v>
      </c>
      <c r="I163" s="2" t="s">
        <v>30</v>
      </c>
      <c r="J163" s="3">
        <v>46045</v>
      </c>
      <c r="K163" s="2" t="s">
        <v>31</v>
      </c>
      <c r="L163" s="2" t="s">
        <v>100</v>
      </c>
      <c r="M163" s="2" t="s">
        <v>101</v>
      </c>
      <c r="N163" s="2" t="s">
        <v>34</v>
      </c>
      <c r="O163" s="2" t="s">
        <v>954</v>
      </c>
      <c r="P163" s="2" t="s">
        <v>36</v>
      </c>
      <c r="Q163" s="2" t="s">
        <v>955</v>
      </c>
      <c r="R163" s="2">
        <v>15004</v>
      </c>
      <c r="S163" s="2" t="s">
        <v>37</v>
      </c>
      <c r="T163" s="2" t="s">
        <v>37</v>
      </c>
      <c r="U163" s="2" t="s">
        <v>57</v>
      </c>
      <c r="V163" s="3">
        <v>46045</v>
      </c>
      <c r="W163" s="2" t="s">
        <v>135</v>
      </c>
      <c r="X163" s="2" t="str">
        <f t="shared" si="8"/>
        <v>Avenida Asco A.H Alfa Omega ALFA Y OMEGA, Ate, Lima, Lima, Perú</v>
      </c>
      <c r="Y163" s="22">
        <v>-12.0433526</v>
      </c>
      <c r="Z163" s="22">
        <v>-76.919092699999993</v>
      </c>
      <c r="AA163" s="33">
        <f t="shared" si="9"/>
        <v>5.5</v>
      </c>
      <c r="AB163" s="2" t="str">
        <f t="shared" si="10"/>
        <v>🟡 Cerca (5-10 km)</v>
      </c>
      <c r="AC163" s="2" t="str" cm="1">
        <f t="array" ref="AC163">INDEX(PARADEROS_VALIDOS!$C$2:$C$68,MATCH(MIN(6371*ACOS(COS(RADIANS(Y163))*COS(RADIANS(PARADEROS_VALIDOS!$E$2:$E$68))*COS(RADIANS(PARADEROS_VALIDOS!$F$2:$F$68)-RADIANS(Z163))+SIN(RADIANS(Y163))*SIN(RADIANS(PARADEROS_VALIDOS!$E$2:$E$68)))),6371*ACOS(COS(RADIANS(Y163))*COS(RADIANS(PARADEROS_VALIDOS!$E$2:$E$68))*COS(RADIANS(PARADEROS_VALIDOS!$F$2:$F$68)-RADIANS(Z163))+SIN(RADIANS(Y163))*SIN(RADIANS(PARADEROS_VALIDOS!$E$2:$E$68))),0))</f>
        <v>Real Plaza Puruchuco (Grifo Primax)</v>
      </c>
      <c r="AD163" s="2" t="str">
        <f>IFERROR(INDEX(PARADEROS_VALIDOS!$A$2:$A$68,MATCH(AC163,PARADEROS_VALIDOS!$C$2:$C$68,0)),"")</f>
        <v>RUTA 4A</v>
      </c>
      <c r="AE163" s="33" cm="1">
        <f t="array" ref="AE163">ROUND(MIN(6371*ACOS(COS(RADIANS(Y163))*COS(RADIANS(PARADEROS_VALIDOS!$E$2:$E$68))*COS(RADIANS(PARADEROS_VALIDOS!$F$2:$F$68)-RADIANS(Z163))+SIN(RADIANS(Y163))*SIN(RADIANS(PARADEROS_VALIDOS!$E$2:$E$68)))),2)</f>
        <v>1.42</v>
      </c>
      <c r="AF163" s="2" t="str">
        <f t="shared" si="11"/>
        <v>🟡 Cerca (1-3 km)</v>
      </c>
      <c r="AG163" s="2"/>
      <c r="AH163" s="2"/>
      <c r="AI163" s="51">
        <v>-11.997563</v>
      </c>
      <c r="AJ163" s="51">
        <v>-76.900062000000005</v>
      </c>
      <c r="AK163" s="2" t="str">
        <f>IFERROR(VLOOKUP(I163,tdcargo[],2,FALSE),"DESCONOCIDO")</f>
        <v>OPERARIO</v>
      </c>
    </row>
    <row r="164" spans="1:37" x14ac:dyDescent="0.35">
      <c r="A164" s="2" t="s">
        <v>956</v>
      </c>
      <c r="B164" s="2" t="s">
        <v>957</v>
      </c>
      <c r="C164" s="2" t="s">
        <v>958</v>
      </c>
      <c r="D164" s="2" t="s">
        <v>959</v>
      </c>
      <c r="E164" s="2">
        <v>32</v>
      </c>
      <c r="F164" s="2" t="s">
        <v>28</v>
      </c>
      <c r="G164" s="2" t="s">
        <v>29</v>
      </c>
      <c r="H164" s="2">
        <v>20515997</v>
      </c>
      <c r="I164" s="2" t="s">
        <v>307</v>
      </c>
      <c r="J164" s="3">
        <v>43122</v>
      </c>
      <c r="K164" s="2" t="s">
        <v>31</v>
      </c>
      <c r="L164" s="2" t="s">
        <v>32</v>
      </c>
      <c r="M164" s="2" t="s">
        <v>33</v>
      </c>
      <c r="N164" s="2" t="s">
        <v>960</v>
      </c>
      <c r="O164" s="2" t="s">
        <v>367</v>
      </c>
      <c r="P164" s="2" t="s">
        <v>36</v>
      </c>
      <c r="Q164" s="2" t="s">
        <v>961</v>
      </c>
      <c r="R164" s="2">
        <v>15007</v>
      </c>
      <c r="S164" s="2" t="s">
        <v>37</v>
      </c>
      <c r="T164" s="2" t="s">
        <v>37</v>
      </c>
      <c r="U164" s="2" t="s">
        <v>367</v>
      </c>
      <c r="V164" s="3">
        <v>43122</v>
      </c>
      <c r="W164" s="2" t="s">
        <v>48</v>
      </c>
      <c r="X164" s="2" t="str">
        <f t="shared" si="8"/>
        <v>Ovalo Santa Anita Jose Rodriguez De Mendoza 192, Santa Anita, Lima, Lima, Perú</v>
      </c>
      <c r="Y164" s="22">
        <v>-12.054900699999999</v>
      </c>
      <c r="Z164" s="22">
        <v>-76.968356400000005</v>
      </c>
      <c r="AA164" s="33">
        <f t="shared" si="9"/>
        <v>9.7899999999999991</v>
      </c>
      <c r="AB164" s="2" t="str">
        <f t="shared" si="10"/>
        <v>🟡 Cerca (5-10 km)</v>
      </c>
      <c r="AC164" s="2" t="str" cm="1">
        <f t="array" ref="AC164">INDEX(PARADEROS_VALIDOS!$C$2:$C$68,MATCH(MIN(6371*ACOS(COS(RADIANS(Y164))*COS(RADIANS(PARADEROS_VALIDOS!$E$2:$E$68))*COS(RADIANS(PARADEROS_VALIDOS!$F$2:$F$68)-RADIANS(Z164))+SIN(RADIANS(Y164))*SIN(RADIANS(PARADEROS_VALIDOS!$E$2:$E$68)))),6371*ACOS(COS(RADIANS(Y164))*COS(RADIANS(PARADEROS_VALIDOS!$E$2:$E$68))*COS(RADIANS(PARADEROS_VALIDOS!$F$2:$F$68)-RADIANS(Z164))+SIN(RADIANS(Y164))*SIN(RADIANS(PARADEROS_VALIDOS!$E$2:$E$68))),0))</f>
        <v>Puente Santa Anita</v>
      </c>
      <c r="AD164" s="2" t="str">
        <f>IFERROR(INDEX(PARADEROS_VALIDOS!$A$2:$A$68,MATCH(AC164,PARADEROS_VALIDOS!$C$2:$C$68,0)),"")</f>
        <v>RUTA 7</v>
      </c>
      <c r="AE164" s="33" cm="1">
        <f t="array" ref="AE164">ROUND(MIN(6371*ACOS(COS(RADIANS(Y164))*COS(RADIANS(PARADEROS_VALIDOS!$E$2:$E$68))*COS(RADIANS(PARADEROS_VALIDOS!$F$2:$F$68)-RADIANS(Z164))+SIN(RADIANS(Y164))*SIN(RADIANS(PARADEROS_VALIDOS!$E$2:$E$68)))),2)</f>
        <v>0.67</v>
      </c>
      <c r="AF164" s="2" t="str">
        <f t="shared" si="11"/>
        <v>🟢 Muy Cerca (0-1 km)</v>
      </c>
      <c r="AG164" s="2"/>
      <c r="AH164" s="2"/>
      <c r="AI164" s="51">
        <v>-11.997563</v>
      </c>
      <c r="AJ164" s="51">
        <v>-76.900062000000005</v>
      </c>
      <c r="AK164" s="2" t="str">
        <f>IFERROR(VLOOKUP(I164,tdcargo[],2,FALSE),"DESCONOCIDO")</f>
        <v>OPERARIO</v>
      </c>
    </row>
    <row r="165" spans="1:37" x14ac:dyDescent="0.35">
      <c r="A165" s="2" t="s">
        <v>962</v>
      </c>
      <c r="B165" s="2" t="s">
        <v>963</v>
      </c>
      <c r="C165" s="2" t="s">
        <v>964</v>
      </c>
      <c r="D165" s="2" t="s">
        <v>965</v>
      </c>
      <c r="E165" s="2">
        <v>30</v>
      </c>
      <c r="F165" s="2" t="s">
        <v>28</v>
      </c>
      <c r="G165" s="2" t="s">
        <v>29</v>
      </c>
      <c r="H165" s="2">
        <v>20508894</v>
      </c>
      <c r="I165" s="2" t="s">
        <v>62</v>
      </c>
      <c r="J165" s="3">
        <v>43906</v>
      </c>
      <c r="K165" s="2" t="s">
        <v>31</v>
      </c>
      <c r="L165" s="2" t="s">
        <v>32</v>
      </c>
      <c r="M165" s="2" t="s">
        <v>33</v>
      </c>
      <c r="N165" s="2" t="s">
        <v>36</v>
      </c>
      <c r="O165" s="2" t="s">
        <v>966</v>
      </c>
      <c r="P165" s="2" t="s">
        <v>66</v>
      </c>
      <c r="Q165" s="2" t="s">
        <v>584</v>
      </c>
      <c r="R165" s="2">
        <v>15457</v>
      </c>
      <c r="S165" s="2" t="s">
        <v>37</v>
      </c>
      <c r="T165" s="2" t="s">
        <v>37</v>
      </c>
      <c r="U165" s="2" t="s">
        <v>76</v>
      </c>
      <c r="V165" s="3">
        <v>43906</v>
      </c>
      <c r="W165" s="2" t="s">
        <v>48</v>
      </c>
      <c r="X165" s="2" t="str">
        <f t="shared" si="8"/>
        <v>Asociación Las Brisas De Huachipa, U.V. Unidad Vecinal Brisas De Huachipa, Lurigancho, Lima, Lima, Perú</v>
      </c>
      <c r="Y165" s="22">
        <v>-11.999314999999999</v>
      </c>
      <c r="Z165" s="22">
        <v>-76.919015999999999</v>
      </c>
      <c r="AA165" s="33">
        <f t="shared" si="9"/>
        <v>2.0699999999999998</v>
      </c>
      <c r="AB165" s="2" t="str">
        <f t="shared" si="10"/>
        <v>🟢 Muy Cerca (0-5 km)</v>
      </c>
      <c r="AC165" s="2" t="str" cm="1">
        <f t="array" ref="AC165">INDEX(PARADEROS_VALIDOS!$C$2:$C$68,MATCH(MIN(6371*ACOS(COS(RADIANS(Y165))*COS(RADIANS(PARADEROS_VALIDOS!$E$2:$E$68))*COS(RADIANS(PARADEROS_VALIDOS!$F$2:$F$68)-RADIANS(Z165))+SIN(RADIANS(Y165))*SIN(RADIANS(PARADEROS_VALIDOS!$E$2:$E$68)))),6371*ACOS(COS(RADIANS(Y165))*COS(RADIANS(PARADEROS_VALIDOS!$E$2:$E$68))*COS(RADIANS(PARADEROS_VALIDOS!$F$2:$F$68)-RADIANS(Z165))+SIN(RADIANS(Y165))*SIN(RADIANS(PARADEROS_VALIDOS!$E$2:$E$68))),0))</f>
        <v>Estadio Huachipa</v>
      </c>
      <c r="AD165" s="2" t="str">
        <f>IFERROR(INDEX(PARADEROS_VALIDOS!$A$2:$A$68,MATCH(AC165,PARADEROS_VALIDOS!$C$2:$C$68,0)),"")</f>
        <v>RUTA 5C</v>
      </c>
      <c r="AE165" s="33" cm="1">
        <f t="array" ref="AE165">ROUND(MIN(6371*ACOS(COS(RADIANS(Y165))*COS(RADIANS(PARADEROS_VALIDOS!$E$2:$E$68))*COS(RADIANS(PARADEROS_VALIDOS!$F$2:$F$68)-RADIANS(Z165))+SIN(RADIANS(Y165))*SIN(RADIANS(PARADEROS_VALIDOS!$E$2:$E$68)))),2)</f>
        <v>1.67</v>
      </c>
      <c r="AF165" s="2" t="str">
        <f t="shared" si="11"/>
        <v>🟡 Cerca (1-3 km)</v>
      </c>
      <c r="AG165" s="2"/>
      <c r="AH165" s="2"/>
      <c r="AI165" s="51">
        <v>-11.997563</v>
      </c>
      <c r="AJ165" s="51">
        <v>-76.900062000000005</v>
      </c>
      <c r="AK165" s="2" t="str">
        <f>IFERROR(VLOOKUP(I165,tdcargo[],2,FALSE),"DESCONOCIDO")</f>
        <v>OPERARIO</v>
      </c>
    </row>
    <row r="166" spans="1:37" x14ac:dyDescent="0.35">
      <c r="A166" s="2" t="s">
        <v>967</v>
      </c>
      <c r="B166" s="2" t="s">
        <v>968</v>
      </c>
      <c r="C166" s="2" t="s">
        <v>26</v>
      </c>
      <c r="D166" s="2" t="s">
        <v>969</v>
      </c>
      <c r="E166" s="2">
        <v>31</v>
      </c>
      <c r="F166" s="2" t="s">
        <v>28</v>
      </c>
      <c r="G166" s="2" t="s">
        <v>29</v>
      </c>
      <c r="H166" s="2">
        <v>20508940</v>
      </c>
      <c r="I166" s="2" t="s">
        <v>62</v>
      </c>
      <c r="J166" s="3">
        <v>43241</v>
      </c>
      <c r="K166" s="2" t="s">
        <v>31</v>
      </c>
      <c r="L166" s="2" t="s">
        <v>32</v>
      </c>
      <c r="M166" s="2" t="s">
        <v>33</v>
      </c>
      <c r="N166" s="2" t="s">
        <v>36</v>
      </c>
      <c r="O166" s="2" t="s">
        <v>970</v>
      </c>
      <c r="P166" s="2" t="s">
        <v>88</v>
      </c>
      <c r="Q166" s="2" t="s">
        <v>970</v>
      </c>
      <c r="R166" s="2">
        <v>15457</v>
      </c>
      <c r="S166" s="2" t="s">
        <v>37</v>
      </c>
      <c r="T166" s="2" t="s">
        <v>37</v>
      </c>
      <c r="U166" s="2" t="s">
        <v>76</v>
      </c>
      <c r="V166" s="3">
        <v>43241</v>
      </c>
      <c r="W166" s="2" t="s">
        <v>48</v>
      </c>
      <c r="X166" s="2" t="str">
        <f t="shared" si="8"/>
        <v>San Pedro La Capitana, A.H. Asentamiento Humano San Pedro La Capitana, Lurigancho, Lima, Lima, Perú</v>
      </c>
      <c r="Y166" s="22">
        <v>-12.002741200000001</v>
      </c>
      <c r="Z166" s="22">
        <v>-76.910712700000005</v>
      </c>
      <c r="AA166" s="33">
        <f t="shared" si="9"/>
        <v>1.29</v>
      </c>
      <c r="AB166" s="2" t="str">
        <f t="shared" si="10"/>
        <v>🟢 Muy Cerca (0-5 km)</v>
      </c>
      <c r="AC166" s="2" t="str" cm="1">
        <f t="array" ref="AC166">INDEX(PARADEROS_VALIDOS!$C$2:$C$68,MATCH(MIN(6371*ACOS(COS(RADIANS(Y166))*COS(RADIANS(PARADEROS_VALIDOS!$E$2:$E$68))*COS(RADIANS(PARADEROS_VALIDOS!$F$2:$F$68)-RADIANS(Z166))+SIN(RADIANS(Y166))*SIN(RADIANS(PARADEROS_VALIDOS!$E$2:$E$68)))),6371*ACOS(COS(RADIANS(Y166))*COS(RADIANS(PARADEROS_VALIDOS!$E$2:$E$68))*COS(RADIANS(PARADEROS_VALIDOS!$F$2:$F$68)-RADIANS(Z166))+SIN(RADIANS(Y166))*SIN(RADIANS(PARADEROS_VALIDOS!$E$2:$E$68))),0))</f>
        <v>Tottus Huachipa</v>
      </c>
      <c r="AD166" s="2" t="str">
        <f>IFERROR(INDEX(PARADEROS_VALIDOS!$A$2:$A$68,MATCH(AC166,PARADEROS_VALIDOS!$C$2:$C$68,0)),"")</f>
        <v>RUTA 1</v>
      </c>
      <c r="AE166" s="33" cm="1">
        <f t="array" ref="AE166">ROUND(MIN(6371*ACOS(COS(RADIANS(Y166))*COS(RADIANS(PARADEROS_VALIDOS!$E$2:$E$68))*COS(RADIANS(PARADEROS_VALIDOS!$F$2:$F$68)-RADIANS(Z166))+SIN(RADIANS(Y166))*SIN(RADIANS(PARADEROS_VALIDOS!$E$2:$E$68)))),2)</f>
        <v>1.1499999999999999</v>
      </c>
      <c r="AF166" s="2" t="str">
        <f t="shared" si="11"/>
        <v>🟡 Cerca (1-3 km)</v>
      </c>
      <c r="AG166" s="2"/>
      <c r="AH166" s="2"/>
      <c r="AI166" s="51">
        <v>-11.997563</v>
      </c>
      <c r="AJ166" s="51">
        <v>-76.900062000000005</v>
      </c>
      <c r="AK166" s="2" t="str">
        <f>IFERROR(VLOOKUP(I166,tdcargo[],2,FALSE),"DESCONOCIDO")</f>
        <v>OPERARIO</v>
      </c>
    </row>
    <row r="167" spans="1:37" x14ac:dyDescent="0.35">
      <c r="A167" s="2" t="s">
        <v>971</v>
      </c>
      <c r="B167" s="2" t="s">
        <v>972</v>
      </c>
      <c r="C167" s="2" t="s">
        <v>973</v>
      </c>
      <c r="D167" s="2" t="s">
        <v>974</v>
      </c>
      <c r="E167" s="2">
        <v>41</v>
      </c>
      <c r="F167" s="2" t="s">
        <v>28</v>
      </c>
      <c r="G167" s="2" t="s">
        <v>29</v>
      </c>
      <c r="H167" s="2">
        <v>20515651</v>
      </c>
      <c r="I167" s="2" t="s">
        <v>266</v>
      </c>
      <c r="J167" s="3">
        <v>44756</v>
      </c>
      <c r="K167" s="2" t="s">
        <v>31</v>
      </c>
      <c r="L167" s="2" t="s">
        <v>823</v>
      </c>
      <c r="M167" s="2" t="s">
        <v>824</v>
      </c>
      <c r="N167" s="2" t="s">
        <v>82</v>
      </c>
      <c r="O167" s="2" t="s">
        <v>975</v>
      </c>
      <c r="P167" s="2" t="s">
        <v>66</v>
      </c>
      <c r="Q167" s="2" t="s">
        <v>976</v>
      </c>
      <c r="R167" s="2">
        <v>15004</v>
      </c>
      <c r="S167" s="2" t="s">
        <v>37</v>
      </c>
      <c r="T167" s="2" t="s">
        <v>37</v>
      </c>
      <c r="U167" s="2" t="s">
        <v>57</v>
      </c>
      <c r="V167" s="3">
        <v>44756</v>
      </c>
      <c r="W167" s="2" t="s">
        <v>48</v>
      </c>
      <c r="X167" s="2" t="str">
        <f t="shared" si="8"/>
        <v>Calle Asoc. Las Gardenias 2Da Etapa, U.V. Unidad Vecinal Las Gardenias, Ate, Lima, Lima, Perú</v>
      </c>
      <c r="Y167" s="22">
        <v>-12.0243146</v>
      </c>
      <c r="Z167" s="22">
        <v>-76.946470500000004</v>
      </c>
      <c r="AA167" s="33">
        <f t="shared" si="9"/>
        <v>5.86</v>
      </c>
      <c r="AB167" s="2" t="str">
        <f t="shared" si="10"/>
        <v>🟡 Cerca (5-10 km)</v>
      </c>
      <c r="AC167" s="2" t="str" cm="1">
        <f t="array" ref="AC167">INDEX(PARADEROS_VALIDOS!$C$2:$C$68,MATCH(MIN(6371*ACOS(COS(RADIANS(Y167))*COS(RADIANS(PARADEROS_VALIDOS!$E$2:$E$68))*COS(RADIANS(PARADEROS_VALIDOS!$F$2:$F$68)-RADIANS(Z167))+SIN(RADIANS(Y167))*SIN(RADIANS(PARADEROS_VALIDOS!$E$2:$E$68)))),6371*ACOS(COS(RADIANS(Y167))*COS(RADIANS(PARADEROS_VALIDOS!$E$2:$E$68))*COS(RADIANS(PARADEROS_VALIDOS!$F$2:$F$68)-RADIANS(Z167))+SIN(RADIANS(Y167))*SIN(RADIANS(PARADEROS_VALIDOS!$E$2:$E$68))),0))</f>
        <v>Paradero Bayóvar</v>
      </c>
      <c r="AD167" s="2" t="str">
        <f>IFERROR(INDEX(PARADEROS_VALIDOS!$A$2:$A$68,MATCH(AC167,PARADEROS_VALIDOS!$C$2:$C$68,0)),"")</f>
        <v>RUTA 6A</v>
      </c>
      <c r="AE167" s="33" cm="1">
        <f t="array" ref="AE167">ROUND(MIN(6371*ACOS(COS(RADIANS(Y167))*COS(RADIANS(PARADEROS_VALIDOS!$E$2:$E$68))*COS(RADIANS(PARADEROS_VALIDOS!$F$2:$F$68)-RADIANS(Z167))+SIN(RADIANS(Y167))*SIN(RADIANS(PARADEROS_VALIDOS!$E$2:$E$68)))),2)</f>
        <v>1.61</v>
      </c>
      <c r="AF167" s="2" t="str">
        <f t="shared" si="11"/>
        <v>🟡 Cerca (1-3 km)</v>
      </c>
      <c r="AG167" s="2"/>
      <c r="AH167" s="2"/>
      <c r="AI167" s="51">
        <v>-11.997563</v>
      </c>
      <c r="AJ167" s="51">
        <v>-76.900062000000005</v>
      </c>
      <c r="AK167" s="2" t="str">
        <f>IFERROR(VLOOKUP(I167,tdcargo[],2,FALSE),"DESCONOCIDO")</f>
        <v>STAFF</v>
      </c>
    </row>
    <row r="168" spans="1:37" x14ac:dyDescent="0.35">
      <c r="A168" s="2" t="s">
        <v>977</v>
      </c>
      <c r="B168" s="2" t="s">
        <v>978</v>
      </c>
      <c r="C168" s="2" t="s">
        <v>401</v>
      </c>
      <c r="D168" s="2" t="s">
        <v>979</v>
      </c>
      <c r="E168" s="2">
        <v>35</v>
      </c>
      <c r="F168" s="2" t="s">
        <v>28</v>
      </c>
      <c r="G168" s="2" t="s">
        <v>29</v>
      </c>
      <c r="H168" s="2">
        <v>20508723</v>
      </c>
      <c r="I168" s="2" t="s">
        <v>327</v>
      </c>
      <c r="J168" s="3">
        <v>43892</v>
      </c>
      <c r="K168" s="2" t="s">
        <v>31</v>
      </c>
      <c r="L168" s="2" t="s">
        <v>328</v>
      </c>
      <c r="M168" s="2" t="s">
        <v>329</v>
      </c>
      <c r="N168" s="2" t="s">
        <v>53</v>
      </c>
      <c r="O168" s="2" t="s">
        <v>980</v>
      </c>
      <c r="P168" s="2" t="s">
        <v>66</v>
      </c>
      <c r="Q168" s="2" t="s">
        <v>981</v>
      </c>
      <c r="R168" s="2">
        <v>15001</v>
      </c>
      <c r="S168" s="2" t="s">
        <v>37</v>
      </c>
      <c r="T168" s="2" t="s">
        <v>37</v>
      </c>
      <c r="U168" s="2" t="s">
        <v>37</v>
      </c>
      <c r="V168" s="3">
        <v>43892</v>
      </c>
      <c r="W168" s="2" t="s">
        <v>48</v>
      </c>
      <c r="X168" s="2" t="str">
        <f t="shared" si="8"/>
        <v>Jirón Crespo Y Castillo, U.V. Unidad Vecinal Mirones Bajo, Lima, Lima, Lima, Perú</v>
      </c>
      <c r="Y168" s="22">
        <v>-12.036569</v>
      </c>
      <c r="Z168" s="22">
        <v>-77.072363499999994</v>
      </c>
      <c r="AA168" s="33">
        <f t="shared" si="9"/>
        <v>19.23</v>
      </c>
      <c r="AB168" s="2" t="str">
        <f t="shared" si="10"/>
        <v>🟠 Moderada (10-20 km)</v>
      </c>
      <c r="AC168" s="2" t="str" cm="1">
        <f t="array" ref="AC168">INDEX(PARADEROS_VALIDOS!$C$2:$C$68,MATCH(MIN(6371*ACOS(COS(RADIANS(Y168))*COS(RADIANS(PARADEROS_VALIDOS!$E$2:$E$68))*COS(RADIANS(PARADEROS_VALIDOS!$F$2:$F$68)-RADIANS(Z168))+SIN(RADIANS(Y168))*SIN(RADIANS(PARADEROS_VALIDOS!$E$2:$E$68)))),6371*ACOS(COS(RADIANS(Y168))*COS(RADIANS(PARADEROS_VALIDOS!$E$2:$E$68))*COS(RADIANS(PARADEROS_VALIDOS!$F$2:$F$68)-RADIANS(Z168))+SIN(RADIANS(Y168))*SIN(RADIANS(PARADEROS_VALIDOS!$E$2:$E$68))),0))</f>
        <v>Paradero Puente Los Ángeles</v>
      </c>
      <c r="AD168" s="2" t="str">
        <f>IFERROR(INDEX(PARADEROS_VALIDOS!$A$2:$A$68,MATCH(AC168,PARADEROS_VALIDOS!$C$2:$C$68,0)),"")</f>
        <v>RUTA 5A</v>
      </c>
      <c r="AE168" s="33" cm="1">
        <f t="array" ref="AE168">ROUND(MIN(6371*ACOS(COS(RADIANS(Y168))*COS(RADIANS(PARADEROS_VALIDOS!$E$2:$E$68))*COS(RADIANS(PARADEROS_VALIDOS!$F$2:$F$68)-RADIANS(Z168))+SIN(RADIANS(Y168))*SIN(RADIANS(PARADEROS_VALIDOS!$E$2:$E$68)))),2)</f>
        <v>0.46</v>
      </c>
      <c r="AF168" s="2" t="str">
        <f t="shared" si="11"/>
        <v>🟢 Muy Cerca (0-1 km)</v>
      </c>
      <c r="AG168" s="2"/>
      <c r="AH168" s="2"/>
      <c r="AI168" s="51">
        <v>-11.997563</v>
      </c>
      <c r="AJ168" s="51">
        <v>-76.900062000000005</v>
      </c>
      <c r="AK168" s="2" t="str">
        <f>IFERROR(VLOOKUP(I168,tdcargo[],2,FALSE),"DESCONOCIDO")</f>
        <v>STAFF</v>
      </c>
    </row>
    <row r="169" spans="1:37" x14ac:dyDescent="0.35">
      <c r="A169" s="2" t="s">
        <v>982</v>
      </c>
      <c r="B169" s="2" t="s">
        <v>983</v>
      </c>
      <c r="C169" s="2" t="s">
        <v>984</v>
      </c>
      <c r="D169" s="2" t="s">
        <v>985</v>
      </c>
      <c r="E169" s="2">
        <v>43</v>
      </c>
      <c r="F169" s="2" t="s">
        <v>28</v>
      </c>
      <c r="G169" s="2" t="s">
        <v>29</v>
      </c>
      <c r="H169" s="2">
        <v>20511564</v>
      </c>
      <c r="I169" s="2" t="s">
        <v>30</v>
      </c>
      <c r="J169" s="3">
        <v>46034</v>
      </c>
      <c r="K169" s="2" t="s">
        <v>31</v>
      </c>
      <c r="L169" s="2" t="s">
        <v>32</v>
      </c>
      <c r="M169" s="2" t="s">
        <v>33</v>
      </c>
      <c r="N169" s="2" t="s">
        <v>36</v>
      </c>
      <c r="O169" s="2" t="s">
        <v>986</v>
      </c>
      <c r="P169" s="2" t="s">
        <v>36</v>
      </c>
      <c r="Q169" s="2"/>
      <c r="R169" s="2">
        <v>15004</v>
      </c>
      <c r="S169" s="2" t="s">
        <v>37</v>
      </c>
      <c r="T169" s="2" t="s">
        <v>37</v>
      </c>
      <c r="U169" s="2" t="s">
        <v>57</v>
      </c>
      <c r="V169" s="3">
        <v>46034</v>
      </c>
      <c r="W169" s="2" t="s">
        <v>135</v>
      </c>
      <c r="X169" s="2" t="str">
        <f t="shared" si="8"/>
        <v>Industrial 39 Int J, Ate, Lima, Lima, Perú</v>
      </c>
      <c r="Y169" s="22">
        <v>-12.023711</v>
      </c>
      <c r="Z169" s="22">
        <v>-76.894016899999997</v>
      </c>
      <c r="AA169" s="33">
        <f t="shared" si="9"/>
        <v>2.98</v>
      </c>
      <c r="AB169" s="2" t="str">
        <f t="shared" si="10"/>
        <v>🟢 Muy Cerca (0-5 km)</v>
      </c>
      <c r="AC169" s="2" t="str" cm="1">
        <f t="array" ref="AC169">INDEX(PARADEROS_VALIDOS!$C$2:$C$68,MATCH(MIN(6371*ACOS(COS(RADIANS(Y169))*COS(RADIANS(PARADEROS_VALIDOS!$E$2:$E$68))*COS(RADIANS(PARADEROS_VALIDOS!$F$2:$F$68)-RADIANS(Z169))+SIN(RADIANS(Y169))*SIN(RADIANS(PARADEROS_VALIDOS!$E$2:$E$68)))),6371*ACOS(COS(RADIANS(Y169))*COS(RADIANS(PARADEROS_VALIDOS!$E$2:$E$68))*COS(RADIANS(PARADEROS_VALIDOS!$F$2:$F$68)-RADIANS(Z169))+SIN(RADIANS(Y169))*SIN(RADIANS(PARADEROS_VALIDOS!$E$2:$E$68))),0))</f>
        <v>Paradero Sta. Clara</v>
      </c>
      <c r="AD169" s="2" t="str">
        <f>IFERROR(INDEX(PARADEROS_VALIDOS!$A$2:$A$68,MATCH(AC169,PARADEROS_VALIDOS!$C$2:$C$68,0)),"")</f>
        <v>RUTA 5C</v>
      </c>
      <c r="AE169" s="33" cm="1">
        <f t="array" ref="AE169">ROUND(MIN(6371*ACOS(COS(RADIANS(Y169))*COS(RADIANS(PARADEROS_VALIDOS!$E$2:$E$68))*COS(RADIANS(PARADEROS_VALIDOS!$F$2:$F$68)-RADIANS(Z169))+SIN(RADIANS(Y169))*SIN(RADIANS(PARADEROS_VALIDOS!$E$2:$E$68)))),2)</f>
        <v>1.37</v>
      </c>
      <c r="AF169" s="2" t="str">
        <f t="shared" si="11"/>
        <v>🟡 Cerca (1-3 km)</v>
      </c>
      <c r="AG169" s="2"/>
      <c r="AH169" s="2"/>
      <c r="AI169" s="51">
        <v>-11.997563</v>
      </c>
      <c r="AJ169" s="51">
        <v>-76.900062000000005</v>
      </c>
      <c r="AK169" s="2" t="str">
        <f>IFERROR(VLOOKUP(I169,tdcargo[],2,FALSE),"DESCONOCIDO")</f>
        <v>OPERARIO</v>
      </c>
    </row>
    <row r="170" spans="1:37" x14ac:dyDescent="0.35">
      <c r="A170" s="2" t="s">
        <v>987</v>
      </c>
      <c r="B170" s="2" t="s">
        <v>988</v>
      </c>
      <c r="C170" s="2" t="s">
        <v>989</v>
      </c>
      <c r="D170" s="2" t="s">
        <v>990</v>
      </c>
      <c r="E170" s="2">
        <v>23</v>
      </c>
      <c r="F170" s="2" t="s">
        <v>28</v>
      </c>
      <c r="G170" s="2" t="s">
        <v>29</v>
      </c>
      <c r="H170" s="2">
        <v>20508923</v>
      </c>
      <c r="I170" s="2" t="s">
        <v>30</v>
      </c>
      <c r="J170" s="3">
        <v>46034</v>
      </c>
      <c r="K170" s="2" t="s">
        <v>31</v>
      </c>
      <c r="L170" s="2" t="s">
        <v>32</v>
      </c>
      <c r="M170" s="2" t="s">
        <v>33</v>
      </c>
      <c r="N170" s="2" t="s">
        <v>82</v>
      </c>
      <c r="O170" s="2" t="s">
        <v>991</v>
      </c>
      <c r="P170" s="2" t="s">
        <v>36</v>
      </c>
      <c r="Q170" s="2"/>
      <c r="R170" s="2">
        <v>15004</v>
      </c>
      <c r="S170" s="2" t="s">
        <v>37</v>
      </c>
      <c r="T170" s="2" t="s">
        <v>37</v>
      </c>
      <c r="U170" s="2" t="s">
        <v>57</v>
      </c>
      <c r="V170" s="3">
        <v>46034</v>
      </c>
      <c r="W170" s="2" t="s">
        <v>135</v>
      </c>
      <c r="X170" s="2" t="str">
        <f t="shared" si="8"/>
        <v>Calle Las Flores, Ate, Lima, Lima, Perú</v>
      </c>
      <c r="Y170" s="22">
        <v>-12.012774500000001</v>
      </c>
      <c r="Z170" s="22">
        <v>-76.823970099999997</v>
      </c>
      <c r="AA170" s="33">
        <f t="shared" si="9"/>
        <v>8.4499999999999993</v>
      </c>
      <c r="AB170" s="2" t="str">
        <f t="shared" si="10"/>
        <v>🟡 Cerca (5-10 km)</v>
      </c>
      <c r="AC170" s="2" t="str" cm="1">
        <f t="array" ref="AC170">INDEX(PARADEROS_VALIDOS!$C$2:$C$68,MATCH(MIN(6371*ACOS(COS(RADIANS(Y170))*COS(RADIANS(PARADEROS_VALIDOS!$E$2:$E$68))*COS(RADIANS(PARADEROS_VALIDOS!$F$2:$F$68)-RADIANS(Z170))+SIN(RADIANS(Y170))*SIN(RADIANS(PARADEROS_VALIDOS!$E$2:$E$68)))),6371*ACOS(COS(RADIANS(Y170))*COS(RADIANS(PARADEROS_VALIDOS!$E$2:$E$68))*COS(RADIANS(PARADEROS_VALIDOS!$F$2:$F$68)-RADIANS(Z170))+SIN(RADIANS(Y170))*SIN(RADIANS(PARADEROS_VALIDOS!$E$2:$E$68))),0))</f>
        <v>Paradero Aurora</v>
      </c>
      <c r="AD170" s="2" t="str">
        <f>IFERROR(INDEX(PARADEROS_VALIDOS!$A$2:$A$68,MATCH(AC170,PARADEROS_VALIDOS!$C$2:$C$68,0)),"")</f>
        <v>RUTA 3</v>
      </c>
      <c r="AE170" s="33" cm="1">
        <f t="array" ref="AE170">ROUND(MIN(6371*ACOS(COS(RADIANS(Y170))*COS(RADIANS(PARADEROS_VALIDOS!$E$2:$E$68))*COS(RADIANS(PARADEROS_VALIDOS!$F$2:$F$68)-RADIANS(Z170))+SIN(RADIANS(Y170))*SIN(RADIANS(PARADEROS_VALIDOS!$E$2:$E$68)))),2)</f>
        <v>1.46</v>
      </c>
      <c r="AF170" s="2" t="str">
        <f t="shared" si="11"/>
        <v>🟡 Cerca (1-3 km)</v>
      </c>
      <c r="AG170" s="2"/>
      <c r="AH170" s="2"/>
      <c r="AI170" s="51">
        <v>-11.997563</v>
      </c>
      <c r="AJ170" s="51">
        <v>-76.900062000000005</v>
      </c>
      <c r="AK170" s="2" t="str">
        <f>IFERROR(VLOOKUP(I170,tdcargo[],2,FALSE),"DESCONOCIDO")</f>
        <v>OPERARIO</v>
      </c>
    </row>
    <row r="171" spans="1:37" x14ac:dyDescent="0.35">
      <c r="A171" s="2" t="s">
        <v>992</v>
      </c>
      <c r="B171" s="2" t="s">
        <v>993</v>
      </c>
      <c r="C171" s="2" t="s">
        <v>994</v>
      </c>
      <c r="D171" s="2" t="s">
        <v>230</v>
      </c>
      <c r="E171" s="2">
        <v>19</v>
      </c>
      <c r="F171" s="2" t="s">
        <v>28</v>
      </c>
      <c r="G171" s="2" t="s">
        <v>29</v>
      </c>
      <c r="H171" s="2">
        <v>20512238</v>
      </c>
      <c r="I171" s="2" t="s">
        <v>30</v>
      </c>
      <c r="J171" s="3">
        <v>46097</v>
      </c>
      <c r="K171" s="2" t="s">
        <v>31</v>
      </c>
      <c r="L171" s="2" t="s">
        <v>108</v>
      </c>
      <c r="M171" s="2" t="s">
        <v>109</v>
      </c>
      <c r="N171" s="2" t="s">
        <v>36</v>
      </c>
      <c r="O171" s="2" t="s">
        <v>995</v>
      </c>
      <c r="P171" s="2" t="s">
        <v>36</v>
      </c>
      <c r="Q171" s="2" t="s">
        <v>996</v>
      </c>
      <c r="R171" s="2">
        <v>15004</v>
      </c>
      <c r="S171" s="2" t="s">
        <v>37</v>
      </c>
      <c r="T171" s="2" t="s">
        <v>37</v>
      </c>
      <c r="U171" s="2" t="s">
        <v>57</v>
      </c>
      <c r="V171" s="3">
        <v>46097</v>
      </c>
      <c r="W171" s="2" t="s">
        <v>135</v>
      </c>
      <c r="X171" s="2" t="str">
        <f t="shared" si="8"/>
        <v>Horacio Zeballos SAN FRANCISCO, Ate, Lima, Lima, Perú</v>
      </c>
      <c r="Y171" s="22">
        <v>-12.008354000000001</v>
      </c>
      <c r="Z171" s="22">
        <v>-76.8420196</v>
      </c>
      <c r="AA171" s="33">
        <f t="shared" si="9"/>
        <v>6.43</v>
      </c>
      <c r="AB171" s="2" t="str">
        <f t="shared" si="10"/>
        <v>🟡 Cerca (5-10 km)</v>
      </c>
      <c r="AC171" s="2" t="str" cm="1">
        <f t="array" ref="AC171">INDEX(PARADEROS_VALIDOS!$C$2:$C$68,MATCH(MIN(6371*ACOS(COS(RADIANS(Y171))*COS(RADIANS(PARADEROS_VALIDOS!$E$2:$E$68))*COS(RADIANS(PARADEROS_VALIDOS!$F$2:$F$68)-RADIANS(Z171))+SIN(RADIANS(Y171))*SIN(RADIANS(PARADEROS_VALIDOS!$E$2:$E$68)))),6371*ACOS(COS(RADIANS(Y171))*COS(RADIANS(PARADEROS_VALIDOS!$E$2:$E$68))*COS(RADIANS(PARADEROS_VALIDOS!$F$2:$F$68)-RADIANS(Z171))+SIN(RADIANS(Y171))*SIN(RADIANS(PARADEROS_VALIDOS!$E$2:$E$68))),0))</f>
        <v>Entrada Horacio</v>
      </c>
      <c r="AD171" s="2" t="str">
        <f>IFERROR(INDEX(PARADEROS_VALIDOS!$A$2:$A$68,MATCH(AC171,PARADEROS_VALIDOS!$C$2:$C$68,0)),"")</f>
        <v>RUTA 5B</v>
      </c>
      <c r="AE171" s="33" cm="1">
        <f t="array" ref="AE171">ROUND(MIN(6371*ACOS(COS(RADIANS(Y171))*COS(RADIANS(PARADEROS_VALIDOS!$E$2:$E$68))*COS(RADIANS(PARADEROS_VALIDOS!$F$2:$F$68)-RADIANS(Z171))+SIN(RADIANS(Y171))*SIN(RADIANS(PARADEROS_VALIDOS!$E$2:$E$68)))),2)</f>
        <v>0</v>
      </c>
      <c r="AF171" s="2" t="str">
        <f t="shared" si="11"/>
        <v>🟢 Muy Cerca (0-1 km)</v>
      </c>
      <c r="AG171" s="2"/>
      <c r="AH171" s="2"/>
      <c r="AI171" s="51">
        <v>-11.997563</v>
      </c>
      <c r="AJ171" s="51">
        <v>-76.900062000000005</v>
      </c>
      <c r="AK171" s="2" t="str">
        <f>IFERROR(VLOOKUP(I171,tdcargo[],2,FALSE),"DESCONOCIDO")</f>
        <v>OPERARIO</v>
      </c>
    </row>
    <row r="172" spans="1:37" x14ac:dyDescent="0.35">
      <c r="A172" s="2" t="s">
        <v>997</v>
      </c>
      <c r="B172" s="2" t="s">
        <v>998</v>
      </c>
      <c r="C172" s="2" t="s">
        <v>999</v>
      </c>
      <c r="D172" s="2" t="s">
        <v>1000</v>
      </c>
      <c r="E172" s="2">
        <v>46</v>
      </c>
      <c r="F172" s="2" t="s">
        <v>28</v>
      </c>
      <c r="G172" s="2" t="s">
        <v>29</v>
      </c>
      <c r="H172" s="2">
        <v>20509016</v>
      </c>
      <c r="I172" s="2" t="s">
        <v>372</v>
      </c>
      <c r="J172" s="3">
        <v>43073</v>
      </c>
      <c r="K172" s="2" t="s">
        <v>31</v>
      </c>
      <c r="L172" s="2" t="s">
        <v>156</v>
      </c>
      <c r="M172" s="2" t="s">
        <v>157</v>
      </c>
      <c r="N172" s="2" t="s">
        <v>148</v>
      </c>
      <c r="O172" s="2" t="s">
        <v>1001</v>
      </c>
      <c r="P172" s="2" t="s">
        <v>88</v>
      </c>
      <c r="Q172" s="2" t="s">
        <v>1002</v>
      </c>
      <c r="R172" s="2">
        <v>15401</v>
      </c>
      <c r="S172" s="2" t="s">
        <v>37</v>
      </c>
      <c r="T172" s="2" t="s">
        <v>37</v>
      </c>
      <c r="U172" s="2" t="s">
        <v>38</v>
      </c>
      <c r="V172" s="3">
        <v>43073</v>
      </c>
      <c r="W172" s="2" t="s">
        <v>48</v>
      </c>
      <c r="X172" s="2" t="str">
        <f t="shared" si="8"/>
        <v>Pasaje Pasaje N° 3, A.H. Asentamiento Humano San Lorenzo Ii, San Juan De Lurigancho, Lima, Lima, Perú</v>
      </c>
      <c r="Y172" s="22">
        <v>-11.949099</v>
      </c>
      <c r="Z172" s="22">
        <v>-77.003225400000005</v>
      </c>
      <c r="AA172" s="33">
        <f t="shared" si="9"/>
        <v>12.45</v>
      </c>
      <c r="AB172" s="2" t="str">
        <f t="shared" si="10"/>
        <v>🟠 Moderada (10-20 km)</v>
      </c>
      <c r="AC172" s="2" t="str" cm="1">
        <f t="array" ref="AC172">INDEX(PARADEROS_VALIDOS!$C$2:$C$68,MATCH(MIN(6371*ACOS(COS(RADIANS(Y172))*COS(RADIANS(PARADEROS_VALIDOS!$E$2:$E$68))*COS(RADIANS(PARADEROS_VALIDOS!$F$2:$F$68)-RADIANS(Z172))+SIN(RADIANS(Y172))*SIN(RADIANS(PARADEROS_VALIDOS!$E$2:$E$68)))),6371*ACOS(COS(RADIANS(Y172))*COS(RADIANS(PARADEROS_VALIDOS!$E$2:$E$68))*COS(RADIANS(PARADEROS_VALIDOS!$F$2:$F$68)-RADIANS(Z172))+SIN(RADIANS(Y172))*SIN(RADIANS(PARADEROS_VALIDOS!$E$2:$E$68))),0))</f>
        <v>Paradero Acho</v>
      </c>
      <c r="AD172" s="2" t="str">
        <f>IFERROR(INDEX(PARADEROS_VALIDOS!$A$2:$A$68,MATCH(AC172,PARADEROS_VALIDOS!$C$2:$C$68,0)),"")</f>
        <v>RUTA 8</v>
      </c>
      <c r="AE172" s="33" cm="1">
        <f t="array" ref="AE172">ROUND(MIN(6371*ACOS(COS(RADIANS(Y172))*COS(RADIANS(PARADEROS_VALIDOS!$E$2:$E$68))*COS(RADIANS(PARADEROS_VALIDOS!$F$2:$F$68)-RADIANS(Z172))+SIN(RADIANS(Y172))*SIN(RADIANS(PARADEROS_VALIDOS!$E$2:$E$68)))),2)</f>
        <v>2.58</v>
      </c>
      <c r="AF172" s="2" t="str">
        <f t="shared" si="11"/>
        <v>🟡 Cerca (1-3 km)</v>
      </c>
      <c r="AG172" s="2"/>
      <c r="AH172" s="2"/>
      <c r="AI172" s="51">
        <v>-11.997563</v>
      </c>
      <c r="AJ172" s="51">
        <v>-76.900062000000005</v>
      </c>
      <c r="AK172" s="2" t="str">
        <f>IFERROR(VLOOKUP(I172,tdcargo[],2,FALSE),"DESCONOCIDO")</f>
        <v>OPERARIO</v>
      </c>
    </row>
    <row r="173" spans="1:37" x14ac:dyDescent="0.35">
      <c r="A173" s="2" t="s">
        <v>1003</v>
      </c>
      <c r="B173" s="2" t="s">
        <v>1004</v>
      </c>
      <c r="C173" s="2" t="s">
        <v>106</v>
      </c>
      <c r="D173" s="2" t="s">
        <v>1005</v>
      </c>
      <c r="E173" s="2">
        <v>28</v>
      </c>
      <c r="F173" s="2" t="s">
        <v>28</v>
      </c>
      <c r="G173" s="2" t="s">
        <v>29</v>
      </c>
      <c r="H173" s="2">
        <v>20509030</v>
      </c>
      <c r="I173" s="2" t="s">
        <v>62</v>
      </c>
      <c r="J173" s="3">
        <v>43591</v>
      </c>
      <c r="K173" s="2" t="s">
        <v>31</v>
      </c>
      <c r="L173" s="2" t="s">
        <v>373</v>
      </c>
      <c r="M173" s="2" t="s">
        <v>374</v>
      </c>
      <c r="N173" s="2" t="s">
        <v>36</v>
      </c>
      <c r="O173" s="2" t="s">
        <v>1006</v>
      </c>
      <c r="P173" s="2" t="s">
        <v>36</v>
      </c>
      <c r="Q173" s="2" t="s">
        <v>46</v>
      </c>
      <c r="R173" s="2">
        <v>15004</v>
      </c>
      <c r="S173" s="2" t="s">
        <v>37</v>
      </c>
      <c r="T173" s="2" t="s">
        <v>37</v>
      </c>
      <c r="U173" s="2" t="s">
        <v>57</v>
      </c>
      <c r="V173" s="3">
        <v>43591</v>
      </c>
      <c r="W173" s="2" t="s">
        <v>48</v>
      </c>
      <c r="X173" s="2" t="str">
        <f t="shared" si="8"/>
        <v>Mz F Lt 5 Urb Fundo La Estrella, Ate, Lima, Lima, Perú</v>
      </c>
      <c r="Y173" s="22">
        <v>-12.0575402</v>
      </c>
      <c r="Z173" s="22">
        <v>-77.1280225</v>
      </c>
      <c r="AA173" s="33">
        <f t="shared" si="9"/>
        <v>25.67</v>
      </c>
      <c r="AB173" s="2" t="str">
        <f t="shared" si="10"/>
        <v>🔴 Lejos (&gt;20 km)</v>
      </c>
      <c r="AC173" s="2" t="str" cm="1">
        <f t="array" ref="AC173">INDEX(PARADEROS_VALIDOS!$C$2:$C$68,MATCH(MIN(6371*ACOS(COS(RADIANS(Y173))*COS(RADIANS(PARADEROS_VALIDOS!$E$2:$E$68))*COS(RADIANS(PARADEROS_VALIDOS!$F$2:$F$68)-RADIANS(Z173))+SIN(RADIANS(Y173))*SIN(RADIANS(PARADEROS_VALIDOS!$E$2:$E$68)))),6371*ACOS(COS(RADIANS(Y173))*COS(RADIANS(PARADEROS_VALIDOS!$E$2:$E$68))*COS(RADIANS(PARADEROS_VALIDOS!$F$2:$F$68)-RADIANS(Z173))+SIN(RADIANS(Y173))*SIN(RADIANS(PARADEROS_VALIDOS!$E$2:$E$68))),0))</f>
        <v>Paradero Sta. Rosa</v>
      </c>
      <c r="AD173" s="2" t="str">
        <f>IFERROR(INDEX(PARADEROS_VALIDOS!$A$2:$A$68,MATCH(AC173,PARADEROS_VALIDOS!$C$2:$C$68,0)),"")</f>
        <v>RUTA 3</v>
      </c>
      <c r="AE173" s="33" cm="1">
        <f t="array" ref="AE173">ROUND(MIN(6371*ACOS(COS(RADIANS(Y173))*COS(RADIANS(PARADEROS_VALIDOS!$E$2:$E$68))*COS(RADIANS(PARADEROS_VALIDOS!$F$2:$F$68)-RADIANS(Z173))+SIN(RADIANS(Y173))*SIN(RADIANS(PARADEROS_VALIDOS!$E$2:$E$68)))),2)</f>
        <v>1.5</v>
      </c>
      <c r="AF173" s="2" t="str">
        <f t="shared" si="11"/>
        <v>🟡 Cerca (1-3 km)</v>
      </c>
      <c r="AG173" s="2"/>
      <c r="AH173" s="2"/>
      <c r="AI173" s="51">
        <v>-11.997563</v>
      </c>
      <c r="AJ173" s="51">
        <v>-76.900062000000005</v>
      </c>
      <c r="AK173" s="2" t="str">
        <f>IFERROR(VLOOKUP(I173,tdcargo[],2,FALSE),"DESCONOCIDO")</f>
        <v>OPERARIO</v>
      </c>
    </row>
    <row r="174" spans="1:37" x14ac:dyDescent="0.35">
      <c r="A174" s="2" t="s">
        <v>147</v>
      </c>
      <c r="B174" s="2" t="s">
        <v>628</v>
      </c>
      <c r="C174" s="2" t="s">
        <v>1007</v>
      </c>
      <c r="D174" s="2" t="s">
        <v>1008</v>
      </c>
      <c r="E174" s="2">
        <v>30</v>
      </c>
      <c r="F174" s="2" t="s">
        <v>28</v>
      </c>
      <c r="G174" s="2" t="s">
        <v>29</v>
      </c>
      <c r="H174" s="2">
        <v>20513948</v>
      </c>
      <c r="I174" s="2" t="s">
        <v>378</v>
      </c>
      <c r="J174" s="3">
        <v>45698</v>
      </c>
      <c r="K174" s="2" t="s">
        <v>31</v>
      </c>
      <c r="L174" s="2" t="s">
        <v>379</v>
      </c>
      <c r="M174" s="2" t="s">
        <v>380</v>
      </c>
      <c r="N174" s="2" t="s">
        <v>34</v>
      </c>
      <c r="O174" s="2" t="s">
        <v>37</v>
      </c>
      <c r="P174" s="2" t="s">
        <v>36</v>
      </c>
      <c r="Q174" s="2" t="s">
        <v>1009</v>
      </c>
      <c r="R174" s="2">
        <v>15401</v>
      </c>
      <c r="S174" s="2" t="s">
        <v>37</v>
      </c>
      <c r="T174" s="2" t="s">
        <v>37</v>
      </c>
      <c r="U174" s="2" t="s">
        <v>38</v>
      </c>
      <c r="V174" s="3">
        <v>45698</v>
      </c>
      <c r="W174" s="2" t="s">
        <v>77</v>
      </c>
      <c r="X174" s="2" t="str">
        <f t="shared" si="8"/>
        <v>Avenida Lima Canto Chico, San Juan De Lurigancho, Lima, Lima, Perú</v>
      </c>
      <c r="Y174" s="22">
        <v>-12.0027539</v>
      </c>
      <c r="Z174" s="22">
        <v>-77.0177604</v>
      </c>
      <c r="AA174" s="33">
        <f t="shared" si="9"/>
        <v>12.81</v>
      </c>
      <c r="AB174" s="2" t="str">
        <f t="shared" si="10"/>
        <v>🟠 Moderada (10-20 km)</v>
      </c>
      <c r="AC174" s="2" t="str" cm="1">
        <f t="array" ref="AC174">INDEX(PARADEROS_VALIDOS!$C$2:$C$68,MATCH(MIN(6371*ACOS(COS(RADIANS(Y174))*COS(RADIANS(PARADEROS_VALIDOS!$E$2:$E$68))*COS(RADIANS(PARADEROS_VALIDOS!$F$2:$F$68)-RADIANS(Z174))+SIN(RADIANS(Y174))*SIN(RADIANS(PARADEROS_VALIDOS!$E$2:$E$68)))),6371*ACOS(COS(RADIANS(Y174))*COS(RADIANS(PARADEROS_VALIDOS!$E$2:$E$68))*COS(RADIANS(PARADEROS_VALIDOS!$F$2:$F$68)-RADIANS(Z174))+SIN(RADIANS(Y174))*SIN(RADIANS(PARADEROS_VALIDOS!$E$2:$E$68))),0))</f>
        <v>Paradero Metro Hacienda</v>
      </c>
      <c r="AD174" s="2" t="str">
        <f>IFERROR(INDEX(PARADEROS_VALIDOS!$A$2:$A$68,MATCH(AC174,PARADEROS_VALIDOS!$C$2:$C$68,0)),"")</f>
        <v>RUTA 6B</v>
      </c>
      <c r="AE174" s="33" cm="1">
        <f t="array" ref="AE174">ROUND(MIN(6371*ACOS(COS(RADIANS(Y174))*COS(RADIANS(PARADEROS_VALIDOS!$E$2:$E$68))*COS(RADIANS(PARADEROS_VALIDOS!$F$2:$F$68)-RADIANS(Z174))+SIN(RADIANS(Y174))*SIN(RADIANS(PARADEROS_VALIDOS!$E$2:$E$68)))),2)</f>
        <v>1.28</v>
      </c>
      <c r="AF174" s="2" t="str">
        <f t="shared" si="11"/>
        <v>🟡 Cerca (1-3 km)</v>
      </c>
      <c r="AG174" s="2"/>
      <c r="AH174" s="2"/>
      <c r="AI174" s="51">
        <v>-11.997563</v>
      </c>
      <c r="AJ174" s="51">
        <v>-76.900062000000005</v>
      </c>
      <c r="AK174" s="2" t="str">
        <f>IFERROR(VLOOKUP(I174,tdcargo[],2,FALSE),"DESCONOCIDO")</f>
        <v>STAFF</v>
      </c>
    </row>
    <row r="175" spans="1:37" x14ac:dyDescent="0.35">
      <c r="A175" s="2" t="s">
        <v>1010</v>
      </c>
      <c r="B175" s="2" t="s">
        <v>1011</v>
      </c>
      <c r="C175" s="2" t="s">
        <v>277</v>
      </c>
      <c r="D175" s="2" t="s">
        <v>888</v>
      </c>
      <c r="E175" s="2">
        <v>22</v>
      </c>
      <c r="F175" s="2" t="s">
        <v>28</v>
      </c>
      <c r="G175" s="2" t="s">
        <v>29</v>
      </c>
      <c r="H175" s="2">
        <v>20508878</v>
      </c>
      <c r="I175" s="2" t="s">
        <v>30</v>
      </c>
      <c r="J175" s="3">
        <v>45488</v>
      </c>
      <c r="K175" s="2" t="s">
        <v>31</v>
      </c>
      <c r="L175" s="2" t="s">
        <v>164</v>
      </c>
      <c r="M175" s="2" t="s">
        <v>165</v>
      </c>
      <c r="N175" s="2" t="s">
        <v>82</v>
      </c>
      <c r="O175" s="2" t="s">
        <v>1012</v>
      </c>
      <c r="P175" s="2" t="s">
        <v>36</v>
      </c>
      <c r="Q175" s="2" t="s">
        <v>46</v>
      </c>
      <c r="R175" s="2">
        <v>15457</v>
      </c>
      <c r="S175" s="2" t="s">
        <v>37</v>
      </c>
      <c r="T175" s="2" t="s">
        <v>37</v>
      </c>
      <c r="U175" s="2" t="s">
        <v>76</v>
      </c>
      <c r="V175" s="3">
        <v>45488</v>
      </c>
      <c r="W175" s="2" t="s">
        <v>48</v>
      </c>
      <c r="X175" s="2" t="str">
        <f t="shared" si="8"/>
        <v>Calle Basilio Auqui, Lurigancho, Lima, Lima, Perú</v>
      </c>
      <c r="Y175" s="22">
        <v>-11.9942815</v>
      </c>
      <c r="Z175" s="22">
        <v>-76.952499900000007</v>
      </c>
      <c r="AA175" s="33">
        <f t="shared" si="9"/>
        <v>5.72</v>
      </c>
      <c r="AB175" s="2" t="str">
        <f t="shared" si="10"/>
        <v>🟡 Cerca (5-10 km)</v>
      </c>
      <c r="AC175" s="2" t="str" cm="1">
        <f t="array" ref="AC175">INDEX(PARADEROS_VALIDOS!$C$2:$C$68,MATCH(MIN(6371*ACOS(COS(RADIANS(Y175))*COS(RADIANS(PARADEROS_VALIDOS!$E$2:$E$68))*COS(RADIANS(PARADEROS_VALIDOS!$F$2:$F$68)-RADIANS(Z175))+SIN(RADIANS(Y175))*SIN(RADIANS(PARADEROS_VALIDOS!$E$2:$E$68)))),6371*ACOS(COS(RADIANS(Y175))*COS(RADIANS(PARADEROS_VALIDOS!$E$2:$E$68))*COS(RADIANS(PARADEROS_VALIDOS!$F$2:$F$68)-RADIANS(Z175))+SIN(RADIANS(Y175))*SIN(RADIANS(PARADEROS_VALIDOS!$E$2:$E$68))),0))</f>
        <v>Paradero Saracoto</v>
      </c>
      <c r="AD175" s="2" t="str">
        <f>IFERROR(INDEX(PARADEROS_VALIDOS!$A$2:$A$68,MATCH(AC175,PARADEROS_VALIDOS!$C$2:$C$68,0)),"")</f>
        <v>RUTA 1</v>
      </c>
      <c r="AE175" s="33" cm="1">
        <f t="array" ref="AE175">ROUND(MIN(6371*ACOS(COS(RADIANS(Y175))*COS(RADIANS(PARADEROS_VALIDOS!$E$2:$E$68))*COS(RADIANS(PARADEROS_VALIDOS!$F$2:$F$68)-RADIANS(Z175))+SIN(RADIANS(Y175))*SIN(RADIANS(PARADEROS_VALIDOS!$E$2:$E$68)))),2)</f>
        <v>3.75</v>
      </c>
      <c r="AF175" s="2" t="str">
        <f t="shared" si="11"/>
        <v>🟠 Moderada (3-5 km)</v>
      </c>
      <c r="AG175" s="2"/>
      <c r="AH175" s="2"/>
      <c r="AI175" s="51">
        <v>-11.997563</v>
      </c>
      <c r="AJ175" s="51">
        <v>-76.900062000000005</v>
      </c>
      <c r="AK175" s="2" t="str">
        <f>IFERROR(VLOOKUP(I175,tdcargo[],2,FALSE),"DESCONOCIDO")</f>
        <v>OPERARIO</v>
      </c>
    </row>
    <row r="176" spans="1:37" x14ac:dyDescent="0.35">
      <c r="A176" s="2" t="s">
        <v>1013</v>
      </c>
      <c r="B176" s="2" t="s">
        <v>1014</v>
      </c>
      <c r="C176" s="2" t="s">
        <v>122</v>
      </c>
      <c r="D176" s="2" t="s">
        <v>1015</v>
      </c>
      <c r="E176" s="2">
        <v>44</v>
      </c>
      <c r="F176" s="2" t="s">
        <v>28</v>
      </c>
      <c r="G176" s="2" t="s">
        <v>29</v>
      </c>
      <c r="H176" s="2">
        <v>20508828</v>
      </c>
      <c r="I176" s="2" t="s">
        <v>30</v>
      </c>
      <c r="J176" s="3">
        <v>45547</v>
      </c>
      <c r="K176" s="2" t="s">
        <v>31</v>
      </c>
      <c r="L176" s="2" t="s">
        <v>108</v>
      </c>
      <c r="M176" s="2" t="s">
        <v>109</v>
      </c>
      <c r="N176" s="2" t="s">
        <v>82</v>
      </c>
      <c r="O176" s="2" t="s">
        <v>1016</v>
      </c>
      <c r="P176" s="2" t="s">
        <v>36</v>
      </c>
      <c r="Q176" s="2" t="s">
        <v>1017</v>
      </c>
      <c r="R176" s="2">
        <v>15457</v>
      </c>
      <c r="S176" s="2" t="s">
        <v>37</v>
      </c>
      <c r="T176" s="2" t="s">
        <v>37</v>
      </c>
      <c r="U176" s="2" t="s">
        <v>76</v>
      </c>
      <c r="V176" s="3">
        <v>45547</v>
      </c>
      <c r="W176" s="2" t="s">
        <v>48</v>
      </c>
      <c r="X176" s="2" t="str">
        <f t="shared" si="8"/>
        <v>Calle Asoc. Flor De Las Magnolias Cajamarquilla, Lurigancho, Lima, Lima, Perú</v>
      </c>
      <c r="Y176" s="22">
        <v>-11.9749748</v>
      </c>
      <c r="Z176" s="22">
        <v>-76.898280499999998</v>
      </c>
      <c r="AA176" s="33">
        <f t="shared" si="9"/>
        <v>2.52</v>
      </c>
      <c r="AB176" s="2" t="str">
        <f t="shared" si="10"/>
        <v>🟢 Muy Cerca (0-5 km)</v>
      </c>
      <c r="AC176" s="2" t="str" cm="1">
        <f t="array" ref="AC176">INDEX(PARADEROS_VALIDOS!$C$2:$C$68,MATCH(MIN(6371*ACOS(COS(RADIANS(Y176))*COS(RADIANS(PARADEROS_VALIDOS!$E$2:$E$68))*COS(RADIANS(PARADEROS_VALIDOS!$F$2:$F$68)-RADIANS(Z176))+SIN(RADIANS(Y176))*SIN(RADIANS(PARADEROS_VALIDOS!$E$2:$E$68)))),6371*ACOS(COS(RADIANS(Y176))*COS(RADIANS(PARADEROS_VALIDOS!$E$2:$E$68))*COS(RADIANS(PARADEROS_VALIDOS!$F$2:$F$68)-RADIANS(Z176))+SIN(RADIANS(Y176))*SIN(RADIANS(PARADEROS_VALIDOS!$E$2:$E$68))),0))</f>
        <v>Paradero Arco San Antonio</v>
      </c>
      <c r="AD176" s="2" t="str">
        <f>IFERROR(INDEX(PARADEROS_VALIDOS!$A$2:$A$68,MATCH(AC176,PARADEROS_VALIDOS!$C$2:$C$68,0)),"")</f>
        <v>RUTA 2</v>
      </c>
      <c r="AE176" s="33" cm="1">
        <f t="array" ref="AE176">ROUND(MIN(6371*ACOS(COS(RADIANS(Y176))*COS(RADIANS(PARADEROS_VALIDOS!$E$2:$E$68))*COS(RADIANS(PARADEROS_VALIDOS!$F$2:$F$68)-RADIANS(Z176))+SIN(RADIANS(Y176))*SIN(RADIANS(PARADEROS_VALIDOS!$E$2:$E$68)))),2)</f>
        <v>2.13</v>
      </c>
      <c r="AF176" s="2" t="str">
        <f t="shared" si="11"/>
        <v>🟡 Cerca (1-3 km)</v>
      </c>
      <c r="AG176" s="2"/>
      <c r="AH176" s="2"/>
      <c r="AI176" s="51">
        <v>-11.997563</v>
      </c>
      <c r="AJ176" s="51">
        <v>-76.900062000000005</v>
      </c>
      <c r="AK176" s="2" t="str">
        <f>IFERROR(VLOOKUP(I176,tdcargo[],2,FALSE),"DESCONOCIDO")</f>
        <v>OPERARIO</v>
      </c>
    </row>
    <row r="177" spans="1:37" x14ac:dyDescent="0.35">
      <c r="A177" s="2" t="s">
        <v>1018</v>
      </c>
      <c r="B177" s="2" t="s">
        <v>1019</v>
      </c>
      <c r="C177" s="2" t="s">
        <v>1020</v>
      </c>
      <c r="D177" s="2" t="s">
        <v>1021</v>
      </c>
      <c r="E177" s="2">
        <v>36</v>
      </c>
      <c r="F177" s="2" t="s">
        <v>28</v>
      </c>
      <c r="G177" s="2" t="s">
        <v>29</v>
      </c>
      <c r="H177" s="2">
        <v>20512198</v>
      </c>
      <c r="I177" s="2" t="s">
        <v>30</v>
      </c>
      <c r="J177" s="3">
        <v>45719</v>
      </c>
      <c r="K177" s="2" t="s">
        <v>31</v>
      </c>
      <c r="L177" s="2" t="s">
        <v>108</v>
      </c>
      <c r="M177" s="2" t="s">
        <v>109</v>
      </c>
      <c r="N177" s="2" t="s">
        <v>34</v>
      </c>
      <c r="O177" s="2" t="s">
        <v>1022</v>
      </c>
      <c r="P177" s="2" t="s">
        <v>36</v>
      </c>
      <c r="Q177" s="2" t="s">
        <v>1023</v>
      </c>
      <c r="R177" s="2">
        <v>15457</v>
      </c>
      <c r="S177" s="2" t="s">
        <v>37</v>
      </c>
      <c r="T177" s="2" t="s">
        <v>37</v>
      </c>
      <c r="U177" s="2" t="s">
        <v>76</v>
      </c>
      <c r="V177" s="3">
        <v>45719</v>
      </c>
      <c r="W177" s="2" t="s">
        <v>77</v>
      </c>
      <c r="X177" s="2" t="str">
        <f t="shared" si="8"/>
        <v>Avenida Av. Circunvalacion Mz. L Lote 17 C La Capitana, Lurigancho, Lima, Lima, Perú</v>
      </c>
      <c r="Y177" s="22">
        <v>-12.0026583</v>
      </c>
      <c r="Z177" s="22">
        <v>-76.910984799999994</v>
      </c>
      <c r="AA177" s="33">
        <f t="shared" si="9"/>
        <v>1.32</v>
      </c>
      <c r="AB177" s="2" t="str">
        <f t="shared" si="10"/>
        <v>🟢 Muy Cerca (0-5 km)</v>
      </c>
      <c r="AC177" s="2" t="str" cm="1">
        <f t="array" ref="AC177">INDEX(PARADEROS_VALIDOS!$C$2:$C$68,MATCH(MIN(6371*ACOS(COS(RADIANS(Y177))*COS(RADIANS(PARADEROS_VALIDOS!$E$2:$E$68))*COS(RADIANS(PARADEROS_VALIDOS!$F$2:$F$68)-RADIANS(Z177))+SIN(RADIANS(Y177))*SIN(RADIANS(PARADEROS_VALIDOS!$E$2:$E$68)))),6371*ACOS(COS(RADIANS(Y177))*COS(RADIANS(PARADEROS_VALIDOS!$E$2:$E$68))*COS(RADIANS(PARADEROS_VALIDOS!$F$2:$F$68)-RADIANS(Z177))+SIN(RADIANS(Y177))*SIN(RADIANS(PARADEROS_VALIDOS!$E$2:$E$68))),0))</f>
        <v>Tottus Huachipa</v>
      </c>
      <c r="AD177" s="2" t="str">
        <f>IFERROR(INDEX(PARADEROS_VALIDOS!$A$2:$A$68,MATCH(AC177,PARADEROS_VALIDOS!$C$2:$C$68,0)),"")</f>
        <v>RUTA 1</v>
      </c>
      <c r="AE177" s="33" cm="1">
        <f t="array" ref="AE177">ROUND(MIN(6371*ACOS(COS(RADIANS(Y177))*COS(RADIANS(PARADEROS_VALIDOS!$E$2:$E$68))*COS(RADIANS(PARADEROS_VALIDOS!$F$2:$F$68)-RADIANS(Z177))+SIN(RADIANS(Y177))*SIN(RADIANS(PARADEROS_VALIDOS!$E$2:$E$68)))),2)</f>
        <v>1.18</v>
      </c>
      <c r="AF177" s="2" t="str">
        <f t="shared" si="11"/>
        <v>🟡 Cerca (1-3 km)</v>
      </c>
      <c r="AG177" s="2"/>
      <c r="AH177" s="2"/>
      <c r="AI177" s="51">
        <v>-11.997563</v>
      </c>
      <c r="AJ177" s="51">
        <v>-76.900062000000005</v>
      </c>
      <c r="AK177" s="2" t="str">
        <f>IFERROR(VLOOKUP(I177,tdcargo[],2,FALSE),"DESCONOCIDO")</f>
        <v>OPERARIO</v>
      </c>
    </row>
    <row r="178" spans="1:37" x14ac:dyDescent="0.35">
      <c r="A178" s="2" t="s">
        <v>1024</v>
      </c>
      <c r="B178" s="2" t="s">
        <v>1025</v>
      </c>
      <c r="C178" s="2" t="s">
        <v>842</v>
      </c>
      <c r="D178" s="2" t="s">
        <v>343</v>
      </c>
      <c r="E178" s="2">
        <v>38</v>
      </c>
      <c r="F178" s="2" t="s">
        <v>28</v>
      </c>
      <c r="G178" s="2" t="s">
        <v>29</v>
      </c>
      <c r="H178" s="2">
        <v>20515634</v>
      </c>
      <c r="I178" s="2" t="s">
        <v>62</v>
      </c>
      <c r="J178" s="3">
        <v>45229</v>
      </c>
      <c r="K178" s="2" t="s">
        <v>31</v>
      </c>
      <c r="L178" s="2" t="s">
        <v>72</v>
      </c>
      <c r="M178" s="2" t="s">
        <v>73</v>
      </c>
      <c r="N178" s="2" t="s">
        <v>34</v>
      </c>
      <c r="O178" s="2" t="s">
        <v>1026</v>
      </c>
      <c r="P178" s="2" t="s">
        <v>36</v>
      </c>
      <c r="Q178" s="2" t="s">
        <v>1027</v>
      </c>
      <c r="R178" s="2">
        <v>15004</v>
      </c>
      <c r="S178" s="2" t="s">
        <v>37</v>
      </c>
      <c r="T178" s="2" t="s">
        <v>37</v>
      </c>
      <c r="U178" s="2" t="s">
        <v>57</v>
      </c>
      <c r="V178" s="3">
        <v>45229</v>
      </c>
      <c r="W178" s="2" t="s">
        <v>48</v>
      </c>
      <c r="X178" s="2" t="str">
        <f t="shared" si="8"/>
        <v>Avenida San Marcos Av San Marcos, Ate, Lima, Lima, Perú</v>
      </c>
      <c r="Y178" s="22">
        <v>-12.019080600000001</v>
      </c>
      <c r="Z178" s="22">
        <v>-76.820975599999997</v>
      </c>
      <c r="AA178" s="33">
        <f t="shared" si="9"/>
        <v>8.93</v>
      </c>
      <c r="AB178" s="2" t="str">
        <f t="shared" si="10"/>
        <v>🟡 Cerca (5-10 km)</v>
      </c>
      <c r="AC178" s="2" t="str" cm="1">
        <f t="array" ref="AC178">INDEX(PARADEROS_VALIDOS!$C$2:$C$68,MATCH(MIN(6371*ACOS(COS(RADIANS(Y178))*COS(RADIANS(PARADEROS_VALIDOS!$E$2:$E$68))*COS(RADIANS(PARADEROS_VALIDOS!$F$2:$F$68)-RADIANS(Z178))+SIN(RADIANS(Y178))*SIN(RADIANS(PARADEROS_VALIDOS!$E$2:$E$68)))),6371*ACOS(COS(RADIANS(Y178))*COS(RADIANS(PARADEROS_VALIDOS!$E$2:$E$68))*COS(RADIANS(PARADEROS_VALIDOS!$F$2:$F$68)-RADIANS(Z178))+SIN(RADIANS(Y178))*SIN(RADIANS(PARADEROS_VALIDOS!$E$2:$E$68))),0))</f>
        <v>Paradero Aurora</v>
      </c>
      <c r="AD178" s="2" t="str">
        <f>IFERROR(INDEX(PARADEROS_VALIDOS!$A$2:$A$68,MATCH(AC178,PARADEROS_VALIDOS!$C$2:$C$68,0)),"")</f>
        <v>RUTA 3</v>
      </c>
      <c r="AE178" s="33" cm="1">
        <f t="array" ref="AE178">ROUND(MIN(6371*ACOS(COS(RADIANS(Y178))*COS(RADIANS(PARADEROS_VALIDOS!$E$2:$E$68))*COS(RADIANS(PARADEROS_VALIDOS!$F$2:$F$68)-RADIANS(Z178))+SIN(RADIANS(Y178))*SIN(RADIANS(PARADEROS_VALIDOS!$E$2:$E$68)))),2)</f>
        <v>0.77</v>
      </c>
      <c r="AF178" s="2" t="str">
        <f t="shared" si="11"/>
        <v>🟢 Muy Cerca (0-1 km)</v>
      </c>
      <c r="AG178" s="2"/>
      <c r="AH178" s="2"/>
      <c r="AI178" s="51">
        <v>-11.997563</v>
      </c>
      <c r="AJ178" s="51">
        <v>-76.900062000000005</v>
      </c>
      <c r="AK178" s="2" t="str">
        <f>IFERROR(VLOOKUP(I178,tdcargo[],2,FALSE),"DESCONOCIDO")</f>
        <v>OPERARIO</v>
      </c>
    </row>
    <row r="179" spans="1:37" x14ac:dyDescent="0.35">
      <c r="A179" s="2" t="s">
        <v>1028</v>
      </c>
      <c r="B179" s="2" t="s">
        <v>1029</v>
      </c>
      <c r="C179" s="2" t="s">
        <v>171</v>
      </c>
      <c r="D179" s="2" t="s">
        <v>1030</v>
      </c>
      <c r="E179" s="2">
        <v>18</v>
      </c>
      <c r="F179" s="2" t="s">
        <v>28</v>
      </c>
      <c r="G179" s="2" t="s">
        <v>29</v>
      </c>
      <c r="H179" s="2">
        <v>20514489</v>
      </c>
      <c r="I179" s="2" t="s">
        <v>30</v>
      </c>
      <c r="J179" s="3">
        <v>46055</v>
      </c>
      <c r="K179" s="2" t="s">
        <v>31</v>
      </c>
      <c r="L179" s="2" t="s">
        <v>132</v>
      </c>
      <c r="M179" s="2" t="s">
        <v>133</v>
      </c>
      <c r="N179" s="2" t="s">
        <v>36</v>
      </c>
      <c r="O179" s="2" t="s">
        <v>1031</v>
      </c>
      <c r="P179" s="2" t="s">
        <v>36</v>
      </c>
      <c r="Q179" s="2" t="s">
        <v>1032</v>
      </c>
      <c r="R179" s="2">
        <v>15004</v>
      </c>
      <c r="S179" s="2" t="s">
        <v>37</v>
      </c>
      <c r="T179" s="2" t="s">
        <v>37</v>
      </c>
      <c r="U179" s="2" t="s">
        <v>57</v>
      </c>
      <c r="V179" s="3">
        <v>46055</v>
      </c>
      <c r="W179" s="2" t="s">
        <v>135</v>
      </c>
      <c r="X179" s="2" t="str">
        <f t="shared" si="8"/>
        <v>Las Moras AV. LOS CLAVELES, Ate, Lima, Lima, Perú</v>
      </c>
      <c r="Y179" s="22">
        <v>-12.039479999999999</v>
      </c>
      <c r="Z179" s="22">
        <v>-76.90025</v>
      </c>
      <c r="AA179" s="33">
        <f t="shared" si="9"/>
        <v>4.66</v>
      </c>
      <c r="AB179" s="2" t="str">
        <f t="shared" si="10"/>
        <v>🟢 Muy Cerca (0-5 km)</v>
      </c>
      <c r="AC179" s="2" t="str" cm="1">
        <f t="array" ref="AC179">INDEX(PARADEROS_VALIDOS!$C$2:$C$68,MATCH(MIN(6371*ACOS(COS(RADIANS(Y179))*COS(RADIANS(PARADEROS_VALIDOS!$E$2:$E$68))*COS(RADIANS(PARADEROS_VALIDOS!$F$2:$F$68)-RADIANS(Z179))+SIN(RADIANS(Y179))*SIN(RADIANS(PARADEROS_VALIDOS!$E$2:$E$68)))),6371*ACOS(COS(RADIANS(Y179))*COS(RADIANS(PARADEROS_VALIDOS!$E$2:$E$68))*COS(RADIANS(PARADEROS_VALIDOS!$F$2:$F$68)-RADIANS(Z179))+SIN(RADIANS(Y179))*SIN(RADIANS(PARADEROS_VALIDOS!$E$2:$E$68))),0))</f>
        <v>Paradero Esperanza</v>
      </c>
      <c r="AD179" s="2" t="str">
        <f>IFERROR(INDEX(PARADEROS_VALIDOS!$A$2:$A$68,MATCH(AC179,PARADEROS_VALIDOS!$C$2:$C$68,0)),"")</f>
        <v>RUTA 4B</v>
      </c>
      <c r="AE179" s="33" cm="1">
        <f t="array" ref="AE179">ROUND(MIN(6371*ACOS(COS(RADIANS(Y179))*COS(RADIANS(PARADEROS_VALIDOS!$E$2:$E$68))*COS(RADIANS(PARADEROS_VALIDOS!$F$2:$F$68)-RADIANS(Z179))+SIN(RADIANS(Y179))*SIN(RADIANS(PARADEROS_VALIDOS!$E$2:$E$68)))),2)</f>
        <v>2.1</v>
      </c>
      <c r="AF179" s="2" t="str">
        <f t="shared" si="11"/>
        <v>🟡 Cerca (1-3 km)</v>
      </c>
      <c r="AG179" s="2"/>
      <c r="AH179" s="2"/>
      <c r="AI179" s="51">
        <v>-11.997563</v>
      </c>
      <c r="AJ179" s="51">
        <v>-76.900062000000005</v>
      </c>
      <c r="AK179" s="2" t="str">
        <f>IFERROR(VLOOKUP(I179,tdcargo[],2,FALSE),"DESCONOCIDO")</f>
        <v>OPERARIO</v>
      </c>
    </row>
    <row r="180" spans="1:37" x14ac:dyDescent="0.35">
      <c r="A180" s="2" t="s">
        <v>1033</v>
      </c>
      <c r="B180" s="2" t="s">
        <v>1034</v>
      </c>
      <c r="C180" s="2" t="s">
        <v>1035</v>
      </c>
      <c r="D180" s="2" t="s">
        <v>1036</v>
      </c>
      <c r="E180" s="2">
        <v>30</v>
      </c>
      <c r="F180" s="2" t="s">
        <v>28</v>
      </c>
      <c r="G180" s="2" t="s">
        <v>29</v>
      </c>
      <c r="H180" s="2">
        <v>20514513</v>
      </c>
      <c r="I180" s="2" t="s">
        <v>30</v>
      </c>
      <c r="J180" s="3">
        <v>46055</v>
      </c>
      <c r="K180" s="2" t="s">
        <v>31</v>
      </c>
      <c r="L180" s="2" t="s">
        <v>132</v>
      </c>
      <c r="M180" s="2" t="s">
        <v>133</v>
      </c>
      <c r="N180" s="2" t="s">
        <v>36</v>
      </c>
      <c r="O180" s="2" t="s">
        <v>1037</v>
      </c>
      <c r="P180" s="2" t="s">
        <v>36</v>
      </c>
      <c r="Q180" s="2" t="s">
        <v>1038</v>
      </c>
      <c r="R180" s="2">
        <v>15457</v>
      </c>
      <c r="S180" s="2" t="s">
        <v>37</v>
      </c>
      <c r="T180" s="2" t="s">
        <v>37</v>
      </c>
      <c r="U180" s="2" t="s">
        <v>76</v>
      </c>
      <c r="V180" s="3">
        <v>46055</v>
      </c>
      <c r="W180" s="2" t="s">
        <v>135</v>
      </c>
      <c r="X180" s="2" t="str">
        <f t="shared" si="8"/>
        <v>San Fernando Bajo CHOSICA, Lurigancho, Lima, Lima, Perú</v>
      </c>
      <c r="Y180" s="22">
        <v>-11.9370592</v>
      </c>
      <c r="Z180" s="22">
        <v>-76.692882900000001</v>
      </c>
      <c r="AA180" s="33">
        <f t="shared" si="9"/>
        <v>23.52</v>
      </c>
      <c r="AB180" s="2" t="str">
        <f t="shared" si="10"/>
        <v>🔴 Lejos (&gt;20 km)</v>
      </c>
      <c r="AC180" s="2" t="str" cm="1">
        <f t="array" ref="AC180">INDEX(PARADEROS_VALIDOS!$C$2:$C$68,MATCH(MIN(6371*ACOS(COS(RADIANS(Y180))*COS(RADIANS(PARADEROS_VALIDOS!$E$2:$E$68))*COS(RADIANS(PARADEROS_VALIDOS!$F$2:$F$68)-RADIANS(Z180))+SIN(RADIANS(Y180))*SIN(RADIANS(PARADEROS_VALIDOS!$E$2:$E$68)))),6371*ACOS(COS(RADIANS(Y180))*COS(RADIANS(PARADEROS_VALIDOS!$E$2:$E$68))*COS(RADIANS(PARADEROS_VALIDOS!$F$2:$F$68)-RADIANS(Z180))+SIN(RADIANS(Y180))*SIN(RADIANS(PARADEROS_VALIDOS!$E$2:$E$68))),0))</f>
        <v>Paradero Girasoles - Chaclacayo</v>
      </c>
      <c r="AD180" s="2" t="str">
        <f>IFERROR(INDEX(PARADEROS_VALIDOS!$A$2:$A$68,MATCH(AC180,PARADEROS_VALIDOS!$C$2:$C$68,0)),"")</f>
        <v>RUTA 5A</v>
      </c>
      <c r="AE180" s="33" cm="1">
        <f t="array" ref="AE180">ROUND(MIN(6371*ACOS(COS(RADIANS(Y180))*COS(RADIANS(PARADEROS_VALIDOS!$E$2:$E$68))*COS(RADIANS(PARADEROS_VALIDOS!$F$2:$F$68)-RADIANS(Z180))+SIN(RADIANS(Y180))*SIN(RADIANS(PARADEROS_VALIDOS!$E$2:$E$68)))),2)</f>
        <v>9.7100000000000009</v>
      </c>
      <c r="AF180" s="2" t="str">
        <f t="shared" si="11"/>
        <v>🔴 Lejos (&gt;5 km)</v>
      </c>
      <c r="AG180" s="2"/>
      <c r="AH180" s="2"/>
      <c r="AI180" s="51">
        <v>-11.997563</v>
      </c>
      <c r="AJ180" s="51">
        <v>-76.900062000000005</v>
      </c>
      <c r="AK180" s="2" t="str">
        <f>IFERROR(VLOOKUP(I180,tdcargo[],2,FALSE),"DESCONOCIDO")</f>
        <v>OPERARIO</v>
      </c>
    </row>
    <row r="181" spans="1:37" x14ac:dyDescent="0.35">
      <c r="A181" s="2" t="s">
        <v>1039</v>
      </c>
      <c r="B181" s="2" t="s">
        <v>1040</v>
      </c>
      <c r="C181" s="2" t="s">
        <v>236</v>
      </c>
      <c r="D181" s="2" t="s">
        <v>1041</v>
      </c>
      <c r="E181" s="2">
        <v>28</v>
      </c>
      <c r="F181" s="2" t="s">
        <v>28</v>
      </c>
      <c r="G181" s="2" t="s">
        <v>29</v>
      </c>
      <c r="H181" s="2">
        <v>20508812</v>
      </c>
      <c r="I181" s="2" t="s">
        <v>30</v>
      </c>
      <c r="J181" s="3">
        <v>46055</v>
      </c>
      <c r="K181" s="2" t="s">
        <v>31</v>
      </c>
      <c r="L181" s="2" t="s">
        <v>164</v>
      </c>
      <c r="M181" s="2" t="s">
        <v>165</v>
      </c>
      <c r="N181" s="2" t="s">
        <v>82</v>
      </c>
      <c r="O181" s="2" t="s">
        <v>1042</v>
      </c>
      <c r="P181" s="2" t="s">
        <v>186</v>
      </c>
      <c r="Q181" s="2" t="s">
        <v>1043</v>
      </c>
      <c r="R181" s="2">
        <v>15457</v>
      </c>
      <c r="S181" s="2" t="s">
        <v>37</v>
      </c>
      <c r="T181" s="2" t="s">
        <v>37</v>
      </c>
      <c r="U181" s="2" t="s">
        <v>76</v>
      </c>
      <c r="V181" s="3">
        <v>46055</v>
      </c>
      <c r="W181" s="2" t="s">
        <v>135</v>
      </c>
      <c r="X181" s="2" t="str">
        <f t="shared" si="8"/>
        <v>Calle Cedroz, Urb. Urbanización EL BOSQUE, Lurigancho, Lima, Lima, Perú</v>
      </c>
      <c r="Y181" s="22">
        <v>-12.009696699999999</v>
      </c>
      <c r="Z181" s="22">
        <v>-76.905361299999996</v>
      </c>
      <c r="AA181" s="33">
        <f t="shared" si="9"/>
        <v>1.47</v>
      </c>
      <c r="AB181" s="2" t="str">
        <f t="shared" si="10"/>
        <v>🟢 Muy Cerca (0-5 km)</v>
      </c>
      <c r="AC181" s="2" t="str" cm="1">
        <f t="array" ref="AC181">INDEX(PARADEROS_VALIDOS!$C$2:$C$68,MATCH(MIN(6371*ACOS(COS(RADIANS(Y181))*COS(RADIANS(PARADEROS_VALIDOS!$E$2:$E$68))*COS(RADIANS(PARADEROS_VALIDOS!$F$2:$F$68)-RADIANS(Z181))+SIN(RADIANS(Y181))*SIN(RADIANS(PARADEROS_VALIDOS!$E$2:$E$68)))),6371*ACOS(COS(RADIANS(Y181))*COS(RADIANS(PARADEROS_VALIDOS!$E$2:$E$68))*COS(RADIANS(PARADEROS_VALIDOS!$F$2:$F$68)-RADIANS(Z181))+SIN(RADIANS(Y181))*SIN(RADIANS(PARADEROS_VALIDOS!$E$2:$E$68))),0))</f>
        <v>Tottus Huachipa</v>
      </c>
      <c r="AD181" s="2" t="str">
        <f>IFERROR(INDEX(PARADEROS_VALIDOS!$A$2:$A$68,MATCH(AC181,PARADEROS_VALIDOS!$C$2:$C$68,0)),"")</f>
        <v>RUTA 1</v>
      </c>
      <c r="AE181" s="33" cm="1">
        <f t="array" ref="AE181">ROUND(MIN(6371*ACOS(COS(RADIANS(Y181))*COS(RADIANS(PARADEROS_VALIDOS!$E$2:$E$68))*COS(RADIANS(PARADEROS_VALIDOS!$F$2:$F$68)-RADIANS(Z181))+SIN(RADIANS(Y181))*SIN(RADIANS(PARADEROS_VALIDOS!$E$2:$E$68)))),2)</f>
        <v>1.18</v>
      </c>
      <c r="AF181" s="2" t="str">
        <f t="shared" si="11"/>
        <v>🟡 Cerca (1-3 km)</v>
      </c>
      <c r="AG181" s="2"/>
      <c r="AH181" s="2"/>
      <c r="AI181" s="51">
        <v>-11.997563</v>
      </c>
      <c r="AJ181" s="51">
        <v>-76.900062000000005</v>
      </c>
      <c r="AK181" s="2" t="str">
        <f>IFERROR(VLOOKUP(I181,tdcargo[],2,FALSE),"DESCONOCIDO")</f>
        <v>OPERARIO</v>
      </c>
    </row>
    <row r="182" spans="1:37" x14ac:dyDescent="0.35">
      <c r="A182" s="2" t="s">
        <v>1044</v>
      </c>
      <c r="B182" s="2" t="s">
        <v>1045</v>
      </c>
      <c r="C182" s="2" t="s">
        <v>1046</v>
      </c>
      <c r="D182" s="2" t="s">
        <v>1047</v>
      </c>
      <c r="E182" s="2">
        <v>20</v>
      </c>
      <c r="F182" s="2" t="s">
        <v>28</v>
      </c>
      <c r="G182" s="2" t="s">
        <v>29</v>
      </c>
      <c r="H182" s="2">
        <v>20508918</v>
      </c>
      <c r="I182" s="2" t="s">
        <v>30</v>
      </c>
      <c r="J182" s="3">
        <v>45614</v>
      </c>
      <c r="K182" s="2" t="s">
        <v>31</v>
      </c>
      <c r="L182" s="2" t="s">
        <v>132</v>
      </c>
      <c r="M182" s="2" t="s">
        <v>133</v>
      </c>
      <c r="N182" s="2" t="s">
        <v>82</v>
      </c>
      <c r="O182" s="2" t="s">
        <v>1048</v>
      </c>
      <c r="P182" s="2" t="s">
        <v>36</v>
      </c>
      <c r="Q182" s="2" t="s">
        <v>1049</v>
      </c>
      <c r="R182" s="2">
        <v>15457</v>
      </c>
      <c r="S182" s="2" t="s">
        <v>37</v>
      </c>
      <c r="T182" s="2" t="s">
        <v>37</v>
      </c>
      <c r="U182" s="2" t="s">
        <v>76</v>
      </c>
      <c r="V182" s="3">
        <v>45614</v>
      </c>
      <c r="W182" s="2" t="s">
        <v>48</v>
      </c>
      <c r="X182" s="2" t="str">
        <f t="shared" si="8"/>
        <v>Calle Casa Huerta La Campiã‘A Mz R Lt 8 Sector B La Campiã‘A Sector B, Lurigancho, Lima, Lima, Perú</v>
      </c>
      <c r="Y182" s="22">
        <v>-11.976007299999999</v>
      </c>
      <c r="Z182" s="22">
        <v>-76.9174893</v>
      </c>
      <c r="AA182" s="33">
        <f t="shared" si="9"/>
        <v>3.06</v>
      </c>
      <c r="AB182" s="2" t="str">
        <f t="shared" si="10"/>
        <v>🟢 Muy Cerca (0-5 km)</v>
      </c>
      <c r="AC182" s="2" t="str" cm="1">
        <f t="array" ref="AC182">INDEX(PARADEROS_VALIDOS!$C$2:$C$68,MATCH(MIN(6371*ACOS(COS(RADIANS(Y182))*COS(RADIANS(PARADEROS_VALIDOS!$E$2:$E$68))*COS(RADIANS(PARADEROS_VALIDOS!$F$2:$F$68)-RADIANS(Z182))+SIN(RADIANS(Y182))*SIN(RADIANS(PARADEROS_VALIDOS!$E$2:$E$68)))),6371*ACOS(COS(RADIANS(Y182))*COS(RADIANS(PARADEROS_VALIDOS!$E$2:$E$68))*COS(RADIANS(PARADEROS_VALIDOS!$F$2:$F$68)-RADIANS(Z182))+SIN(RADIANS(Y182))*SIN(RADIANS(PARADEROS_VALIDOS!$E$2:$E$68))),0))</f>
        <v>Paradero Arco San Antonio</v>
      </c>
      <c r="AD182" s="2" t="str">
        <f>IFERROR(INDEX(PARADEROS_VALIDOS!$A$2:$A$68,MATCH(AC182,PARADEROS_VALIDOS!$C$2:$C$68,0)),"")</f>
        <v>RUTA 2</v>
      </c>
      <c r="AE182" s="33" cm="1">
        <f t="array" ref="AE182">ROUND(MIN(6371*ACOS(COS(RADIANS(Y182))*COS(RADIANS(PARADEROS_VALIDOS!$E$2:$E$68))*COS(RADIANS(PARADEROS_VALIDOS!$F$2:$F$68)-RADIANS(Z182))+SIN(RADIANS(Y182))*SIN(RADIANS(PARADEROS_VALIDOS!$E$2:$E$68)))),2)</f>
        <v>2.5</v>
      </c>
      <c r="AF182" s="2" t="str">
        <f t="shared" si="11"/>
        <v>🟡 Cerca (1-3 km)</v>
      </c>
      <c r="AG182" s="2"/>
      <c r="AH182" s="2"/>
      <c r="AI182" s="51">
        <v>-11.997563</v>
      </c>
      <c r="AJ182" s="51">
        <v>-76.900062000000005</v>
      </c>
      <c r="AK182" s="2" t="str">
        <f>IFERROR(VLOOKUP(I182,tdcargo[],2,FALSE),"DESCONOCIDO")</f>
        <v>OPERARIO</v>
      </c>
    </row>
    <row r="183" spans="1:37" x14ac:dyDescent="0.35">
      <c r="A183" s="2" t="s">
        <v>1050</v>
      </c>
      <c r="B183" s="2" t="s">
        <v>1051</v>
      </c>
      <c r="C183" s="2" t="s">
        <v>1052</v>
      </c>
      <c r="D183" s="2" t="s">
        <v>451</v>
      </c>
      <c r="E183" s="2">
        <v>31</v>
      </c>
      <c r="F183" s="2" t="s">
        <v>28</v>
      </c>
      <c r="G183" s="2" t="s">
        <v>29</v>
      </c>
      <c r="H183" s="2">
        <v>20508959</v>
      </c>
      <c r="I183" s="2" t="s">
        <v>30</v>
      </c>
      <c r="J183" s="3">
        <v>45099</v>
      </c>
      <c r="K183" s="2" t="s">
        <v>31</v>
      </c>
      <c r="L183" s="2" t="s">
        <v>132</v>
      </c>
      <c r="M183" s="2" t="s">
        <v>133</v>
      </c>
      <c r="N183" s="2" t="s">
        <v>34</v>
      </c>
      <c r="O183" s="2" t="s">
        <v>1053</v>
      </c>
      <c r="P183" s="2" t="s">
        <v>1054</v>
      </c>
      <c r="Q183" s="2" t="s">
        <v>1055</v>
      </c>
      <c r="R183" s="2">
        <v>15457</v>
      </c>
      <c r="S183" s="2" t="s">
        <v>37</v>
      </c>
      <c r="T183" s="2" t="s">
        <v>37</v>
      </c>
      <c r="U183" s="2" t="s">
        <v>76</v>
      </c>
      <c r="V183" s="3">
        <v>45099</v>
      </c>
      <c r="W183" s="2" t="s">
        <v>48</v>
      </c>
      <c r="X183" s="2" t="str">
        <f t="shared" si="8"/>
        <v>Avenida Av.Circunvalacion, Z.I. Zona Industrial Capitana, Lurigancho, Lima, Lima, Perú</v>
      </c>
      <c r="Y183" s="22">
        <v>-12.076609299999999</v>
      </c>
      <c r="Z183" s="22">
        <v>-76.990294000000006</v>
      </c>
      <c r="AA183" s="33">
        <f t="shared" si="9"/>
        <v>13.17</v>
      </c>
      <c r="AB183" s="2" t="str">
        <f t="shared" si="10"/>
        <v>🟠 Moderada (10-20 km)</v>
      </c>
      <c r="AC183" s="2" t="str" cm="1">
        <f t="array" ref="AC183">INDEX(PARADEROS_VALIDOS!$C$2:$C$68,MATCH(MIN(6371*ACOS(COS(RADIANS(Y183))*COS(RADIANS(PARADEROS_VALIDOS!$E$2:$E$68))*COS(RADIANS(PARADEROS_VALIDOS!$F$2:$F$68)-RADIANS(Z183))+SIN(RADIANS(Y183))*SIN(RADIANS(PARADEROS_VALIDOS!$E$2:$E$68)))),6371*ACOS(COS(RADIANS(Y183))*COS(RADIANS(PARADEROS_VALIDOS!$E$2:$E$68))*COS(RADIANS(PARADEROS_VALIDOS!$F$2:$F$68)-RADIANS(Z183))+SIN(RADIANS(Y183))*SIN(RADIANS(PARADEROS_VALIDOS!$E$2:$E$68))),0))</f>
        <v>Paradero Javier Prado</v>
      </c>
      <c r="AD183" s="2" t="str">
        <f>IFERROR(INDEX(PARADEROS_VALIDOS!$A$2:$A$68,MATCH(AC183,PARADEROS_VALIDOS!$C$2:$C$68,0)),"")</f>
        <v>RUTA 7</v>
      </c>
      <c r="AE183" s="33" cm="1">
        <f t="array" ref="AE183">ROUND(MIN(6371*ACOS(COS(RADIANS(Y183))*COS(RADIANS(PARADEROS_VALIDOS!$E$2:$E$68))*COS(RADIANS(PARADEROS_VALIDOS!$F$2:$F$68)-RADIANS(Z183))+SIN(RADIANS(Y183))*SIN(RADIANS(PARADEROS_VALIDOS!$E$2:$E$68)))),2)</f>
        <v>1.3</v>
      </c>
      <c r="AF183" s="2" t="str">
        <f t="shared" si="11"/>
        <v>🟡 Cerca (1-3 km)</v>
      </c>
      <c r="AG183" s="2"/>
      <c r="AH183" s="2"/>
      <c r="AI183" s="51">
        <v>-11.997563</v>
      </c>
      <c r="AJ183" s="51">
        <v>-76.900062000000005</v>
      </c>
      <c r="AK183" s="2" t="str">
        <f>IFERROR(VLOOKUP(I183,tdcargo[],2,FALSE),"DESCONOCIDO")</f>
        <v>OPERARIO</v>
      </c>
    </row>
    <row r="184" spans="1:37" x14ac:dyDescent="0.35">
      <c r="A184" s="2" t="s">
        <v>1056</v>
      </c>
      <c r="B184" s="2" t="s">
        <v>1057</v>
      </c>
      <c r="C184" s="2" t="s">
        <v>1058</v>
      </c>
      <c r="D184" s="2" t="s">
        <v>1059</v>
      </c>
      <c r="E184" s="2">
        <v>42</v>
      </c>
      <c r="F184" s="2" t="s">
        <v>28</v>
      </c>
      <c r="G184" s="2" t="s">
        <v>29</v>
      </c>
      <c r="H184" s="2">
        <v>20509002</v>
      </c>
      <c r="I184" s="2" t="s">
        <v>44</v>
      </c>
      <c r="J184" s="3">
        <v>45344</v>
      </c>
      <c r="K184" s="2" t="s">
        <v>31</v>
      </c>
      <c r="L184" s="2" t="s">
        <v>1060</v>
      </c>
      <c r="M184" s="2" t="s">
        <v>281</v>
      </c>
      <c r="N184" s="2" t="s">
        <v>82</v>
      </c>
      <c r="O184" s="2" t="s">
        <v>1061</v>
      </c>
      <c r="P184" s="2" t="s">
        <v>36</v>
      </c>
      <c r="Q184" s="2" t="s">
        <v>303</v>
      </c>
      <c r="R184" s="2">
        <v>15401</v>
      </c>
      <c r="S184" s="2" t="s">
        <v>37</v>
      </c>
      <c r="T184" s="2" t="s">
        <v>37</v>
      </c>
      <c r="U184" s="2" t="s">
        <v>38</v>
      </c>
      <c r="V184" s="3">
        <v>45344</v>
      </c>
      <c r="W184" s="2" t="s">
        <v>48</v>
      </c>
      <c r="X184" s="2" t="str">
        <f t="shared" si="8"/>
        <v>Calle S/N Huascar, San Juan De Lurigancho, Lima, Lima, Perú</v>
      </c>
      <c r="Y184" s="22">
        <v>-11.9802214</v>
      </c>
      <c r="Z184" s="22">
        <v>-76.989015600000002</v>
      </c>
      <c r="AA184" s="33">
        <f t="shared" si="9"/>
        <v>9.8699999999999992</v>
      </c>
      <c r="AB184" s="2" t="str">
        <f t="shared" si="10"/>
        <v>🟡 Cerca (5-10 km)</v>
      </c>
      <c r="AC184" s="2" t="str" cm="1">
        <f t="array" ref="AC184">INDEX(PARADEROS_VALIDOS!$C$2:$C$68,MATCH(MIN(6371*ACOS(COS(RADIANS(Y184))*COS(RADIANS(PARADEROS_VALIDOS!$E$2:$E$68))*COS(RADIANS(PARADEROS_VALIDOS!$F$2:$F$68)-RADIANS(Z184))+SIN(RADIANS(Y184))*SIN(RADIANS(PARADEROS_VALIDOS!$E$2:$E$68)))),6371*ACOS(COS(RADIANS(Y184))*COS(RADIANS(PARADEROS_VALIDOS!$E$2:$E$68))*COS(RADIANS(PARADEROS_VALIDOS!$F$2:$F$68)-RADIANS(Z184))+SIN(RADIANS(Y184))*SIN(RADIANS(PARADEROS_VALIDOS!$E$2:$E$68))),0))</f>
        <v>Paradero San Martin</v>
      </c>
      <c r="AD184" s="2" t="str">
        <f>IFERROR(INDEX(PARADEROS_VALIDOS!$A$2:$A$68,MATCH(AC184,PARADEROS_VALIDOS!$C$2:$C$68,0)),"")</f>
        <v>RUTA 6A</v>
      </c>
      <c r="AE184" s="33" cm="1">
        <f t="array" ref="AE184">ROUND(MIN(6371*ACOS(COS(RADIANS(Y184))*COS(RADIANS(PARADEROS_VALIDOS!$E$2:$E$68))*COS(RADIANS(PARADEROS_VALIDOS!$F$2:$F$68)-RADIANS(Z184))+SIN(RADIANS(Y184))*SIN(RADIANS(PARADEROS_VALIDOS!$E$2:$E$68)))),2)</f>
        <v>1.35</v>
      </c>
      <c r="AF184" s="2" t="str">
        <f t="shared" si="11"/>
        <v>🟡 Cerca (1-3 km)</v>
      </c>
      <c r="AG184" s="2"/>
      <c r="AH184" s="2"/>
      <c r="AI184" s="51">
        <v>-11.997563</v>
      </c>
      <c r="AJ184" s="51">
        <v>-76.900062000000005</v>
      </c>
      <c r="AK184" s="2" t="str">
        <f>IFERROR(VLOOKUP(I184,tdcargo[],2,FALSE),"DESCONOCIDO")</f>
        <v>OPERARIO</v>
      </c>
    </row>
    <row r="185" spans="1:37" x14ac:dyDescent="0.35">
      <c r="A185" s="2" t="s">
        <v>73</v>
      </c>
      <c r="B185" s="2" t="s">
        <v>1062</v>
      </c>
      <c r="C185" s="2" t="s">
        <v>1063</v>
      </c>
      <c r="D185" s="2" t="s">
        <v>277</v>
      </c>
      <c r="E185" s="2">
        <v>42</v>
      </c>
      <c r="F185" s="2" t="s">
        <v>28</v>
      </c>
      <c r="G185" s="2" t="s">
        <v>29</v>
      </c>
      <c r="H185" s="2">
        <v>20512083</v>
      </c>
      <c r="I185" s="2" t="s">
        <v>416</v>
      </c>
      <c r="J185" s="3">
        <v>44658</v>
      </c>
      <c r="K185" s="2" t="s">
        <v>31</v>
      </c>
      <c r="L185" s="2" t="s">
        <v>1064</v>
      </c>
      <c r="M185" s="2" t="s">
        <v>1065</v>
      </c>
      <c r="N185" s="2" t="s">
        <v>34</v>
      </c>
      <c r="O185" s="2" t="s">
        <v>1066</v>
      </c>
      <c r="P185" s="2" t="s">
        <v>186</v>
      </c>
      <c r="Q185" s="2" t="s">
        <v>46</v>
      </c>
      <c r="R185" s="2">
        <v>15076</v>
      </c>
      <c r="S185" s="2" t="s">
        <v>37</v>
      </c>
      <c r="T185" s="2" t="s">
        <v>37</v>
      </c>
      <c r="U185" s="2" t="s">
        <v>1067</v>
      </c>
      <c r="V185" s="3">
        <v>44658</v>
      </c>
      <c r="W185" s="2" t="s">
        <v>48</v>
      </c>
      <c r="X185" s="2" t="str">
        <f t="shared" si="8"/>
        <v>Avenida Sucre, Urb. Urbanización, Magdalena Del Mar, Lima, Lima, Perú</v>
      </c>
      <c r="Y185" s="22">
        <v>-12.090700699999999</v>
      </c>
      <c r="Z185" s="22">
        <v>-77.070021600000004</v>
      </c>
      <c r="AA185" s="33">
        <f t="shared" si="9"/>
        <v>21.19</v>
      </c>
      <c r="AB185" s="2" t="str">
        <f t="shared" si="10"/>
        <v>🔴 Lejos (&gt;20 km)</v>
      </c>
      <c r="AC185" s="2" t="str" cm="1">
        <f t="array" ref="AC185">INDEX(PARADEROS_VALIDOS!$C$2:$C$68,MATCH(MIN(6371*ACOS(COS(RADIANS(Y185))*COS(RADIANS(PARADEROS_VALIDOS!$E$2:$E$68))*COS(RADIANS(PARADEROS_VALIDOS!$F$2:$F$68)-RADIANS(Z185))+SIN(RADIANS(Y185))*SIN(RADIANS(PARADEROS_VALIDOS!$E$2:$E$68)))),6371*ACOS(COS(RADIANS(Y185))*COS(RADIANS(PARADEROS_VALIDOS!$E$2:$E$68))*COS(RADIANS(PARADEROS_VALIDOS!$F$2:$F$68)-RADIANS(Z185))+SIN(RADIANS(Y185))*SIN(RADIANS(PARADEROS_VALIDOS!$E$2:$E$68))),0))</f>
        <v>Universitaria con La Marina</v>
      </c>
      <c r="AD185" s="2" t="str">
        <f>IFERROR(INDEX(PARADEROS_VALIDOS!$A$2:$A$68,MATCH(AC185,PARADEROS_VALIDOS!$C$2:$C$68,0)),"")</f>
        <v>RUTA 9</v>
      </c>
      <c r="AE185" s="33" cm="1">
        <f t="array" ref="AE185">ROUND(MIN(6371*ACOS(COS(RADIANS(Y185))*COS(RADIANS(PARADEROS_VALIDOS!$E$2:$E$68))*COS(RADIANS(PARADEROS_VALIDOS!$F$2:$F$68)-RADIANS(Z185))+SIN(RADIANS(Y185))*SIN(RADIANS(PARADEROS_VALIDOS!$E$2:$E$68)))),2)</f>
        <v>1.88</v>
      </c>
      <c r="AF185" s="2" t="str">
        <f t="shared" si="11"/>
        <v>🟡 Cerca (1-3 km)</v>
      </c>
      <c r="AG185" s="2"/>
      <c r="AH185" s="2"/>
      <c r="AI185" s="51">
        <v>-11.997563</v>
      </c>
      <c r="AJ185" s="51">
        <v>-76.900062000000005</v>
      </c>
      <c r="AK185" s="2" t="str">
        <f>IFERROR(VLOOKUP(I185,tdcargo[],2,FALSE),"DESCONOCIDO")</f>
        <v>STAFF</v>
      </c>
    </row>
    <row r="186" spans="1:37" x14ac:dyDescent="0.35">
      <c r="A186" s="2" t="s">
        <v>1068</v>
      </c>
      <c r="B186" s="2" t="s">
        <v>1069</v>
      </c>
      <c r="C186" s="2" t="s">
        <v>467</v>
      </c>
      <c r="D186" s="2" t="s">
        <v>1070</v>
      </c>
      <c r="E186" s="2">
        <v>35</v>
      </c>
      <c r="F186" s="2" t="s">
        <v>28</v>
      </c>
      <c r="G186" s="2" t="s">
        <v>29</v>
      </c>
      <c r="H186" s="2">
        <v>20508955</v>
      </c>
      <c r="I186" s="2" t="s">
        <v>30</v>
      </c>
      <c r="J186" s="3">
        <v>45964</v>
      </c>
      <c r="K186" s="2" t="s">
        <v>31</v>
      </c>
      <c r="L186" s="2" t="s">
        <v>32</v>
      </c>
      <c r="M186" s="2" t="s">
        <v>33</v>
      </c>
      <c r="N186" s="2" t="s">
        <v>36</v>
      </c>
      <c r="O186" s="2" t="s">
        <v>480</v>
      </c>
      <c r="P186" s="2" t="s">
        <v>36</v>
      </c>
      <c r="Q186" s="2" t="s">
        <v>1071</v>
      </c>
      <c r="R186" s="2">
        <v>15457</v>
      </c>
      <c r="S186" s="2" t="s">
        <v>37</v>
      </c>
      <c r="T186" s="2" t="s">
        <v>37</v>
      </c>
      <c r="U186" s="2" t="s">
        <v>76</v>
      </c>
      <c r="V186" s="3">
        <v>45964</v>
      </c>
      <c r="W186" s="2" t="s">
        <v>39</v>
      </c>
      <c r="X186" s="2" t="str">
        <f t="shared" si="8"/>
        <v>Los Pinos Parcela Del Fundo Ni, Lurigancho, Lima, Lima, Perú</v>
      </c>
      <c r="Y186" s="22">
        <v>-11.9353306</v>
      </c>
      <c r="Z186" s="22">
        <v>-76.993663299999994</v>
      </c>
      <c r="AA186" s="33">
        <f t="shared" si="9"/>
        <v>12.31</v>
      </c>
      <c r="AB186" s="2" t="str">
        <f t="shared" si="10"/>
        <v>🟠 Moderada (10-20 km)</v>
      </c>
      <c r="AC186" s="2" t="str" cm="1">
        <f t="array" ref="AC186">INDEX(PARADEROS_VALIDOS!$C$2:$C$68,MATCH(MIN(6371*ACOS(COS(RADIANS(Y186))*COS(RADIANS(PARADEROS_VALIDOS!$E$2:$E$68))*COS(RADIANS(PARADEROS_VALIDOS!$F$2:$F$68)-RADIANS(Z186))+SIN(RADIANS(Y186))*SIN(RADIANS(PARADEROS_VALIDOS!$E$2:$E$68)))),6371*ACOS(COS(RADIANS(Y186))*COS(RADIANS(PARADEROS_VALIDOS!$E$2:$E$68))*COS(RADIANS(PARADEROS_VALIDOS!$F$2:$F$68)-RADIANS(Z186))+SIN(RADIANS(Y186))*SIN(RADIANS(PARADEROS_VALIDOS!$E$2:$E$68))),0))</f>
        <v>Paradero Acho</v>
      </c>
      <c r="AD186" s="2" t="str">
        <f>IFERROR(INDEX(PARADEROS_VALIDOS!$A$2:$A$68,MATCH(AC186,PARADEROS_VALIDOS!$C$2:$C$68,0)),"")</f>
        <v>RUTA 8</v>
      </c>
      <c r="AE186" s="33" cm="1">
        <f t="array" ref="AE186">ROUND(MIN(6371*ACOS(COS(RADIANS(Y186))*COS(RADIANS(PARADEROS_VALIDOS!$E$2:$E$68))*COS(RADIANS(PARADEROS_VALIDOS!$F$2:$F$68)-RADIANS(Z186))+SIN(RADIANS(Y186))*SIN(RADIANS(PARADEROS_VALIDOS!$E$2:$E$68)))),2)</f>
        <v>4.26</v>
      </c>
      <c r="AF186" s="2" t="str">
        <f t="shared" si="11"/>
        <v>🟠 Moderada (3-5 km)</v>
      </c>
      <c r="AG186" s="2"/>
      <c r="AH186" s="2"/>
      <c r="AI186" s="51">
        <v>-11.997563</v>
      </c>
      <c r="AJ186" s="51">
        <v>-76.900062000000005</v>
      </c>
      <c r="AK186" s="2" t="str">
        <f>IFERROR(VLOOKUP(I186,tdcargo[],2,FALSE),"DESCONOCIDO")</f>
        <v>OPERARIO</v>
      </c>
    </row>
    <row r="187" spans="1:37" x14ac:dyDescent="0.35">
      <c r="A187" s="2" t="s">
        <v>1072</v>
      </c>
      <c r="B187" s="2" t="s">
        <v>1073</v>
      </c>
      <c r="C187" s="2" t="s">
        <v>451</v>
      </c>
      <c r="D187" s="2" t="s">
        <v>1074</v>
      </c>
      <c r="E187" s="2">
        <v>33</v>
      </c>
      <c r="F187" s="2" t="s">
        <v>28</v>
      </c>
      <c r="G187" s="2" t="s">
        <v>29</v>
      </c>
      <c r="H187" s="2">
        <v>20508806</v>
      </c>
      <c r="I187" s="2" t="s">
        <v>62</v>
      </c>
      <c r="J187" s="3">
        <v>44588</v>
      </c>
      <c r="K187" s="2" t="s">
        <v>31</v>
      </c>
      <c r="L187" s="2" t="s">
        <v>164</v>
      </c>
      <c r="M187" s="2" t="s">
        <v>165</v>
      </c>
      <c r="N187" s="2" t="s">
        <v>34</v>
      </c>
      <c r="O187" s="2" t="s">
        <v>631</v>
      </c>
      <c r="P187" s="2" t="s">
        <v>36</v>
      </c>
      <c r="Q187" s="2" t="s">
        <v>631</v>
      </c>
      <c r="R187" s="2">
        <v>15004</v>
      </c>
      <c r="S187" s="2" t="s">
        <v>37</v>
      </c>
      <c r="T187" s="2" t="s">
        <v>37</v>
      </c>
      <c r="U187" s="2" t="s">
        <v>57</v>
      </c>
      <c r="V187" s="3">
        <v>44588</v>
      </c>
      <c r="W187" s="2" t="s">
        <v>48</v>
      </c>
      <c r="X187" s="2" t="str">
        <f t="shared" si="8"/>
        <v>Avenida Las Torres Las Torres, Ate, Lima, Lima, Perú</v>
      </c>
      <c r="Y187" s="22">
        <v>-12.0164002</v>
      </c>
      <c r="Z187" s="22">
        <v>-76.8977182</v>
      </c>
      <c r="AA187" s="33">
        <f t="shared" si="9"/>
        <v>2.11</v>
      </c>
      <c r="AB187" s="2" t="str">
        <f t="shared" si="10"/>
        <v>🟢 Muy Cerca (0-5 km)</v>
      </c>
      <c r="AC187" s="2" t="str" cm="1">
        <f t="array" ref="AC187">INDEX(PARADEROS_VALIDOS!$C$2:$C$68,MATCH(MIN(6371*ACOS(COS(RADIANS(Y187))*COS(RADIANS(PARADEROS_VALIDOS!$E$2:$E$68))*COS(RADIANS(PARADEROS_VALIDOS!$F$2:$F$68)-RADIANS(Z187))+SIN(RADIANS(Y187))*SIN(RADIANS(PARADEROS_VALIDOS!$E$2:$E$68)))),6371*ACOS(COS(RADIANS(Y187))*COS(RADIANS(PARADEROS_VALIDOS!$E$2:$E$68))*COS(RADIANS(PARADEROS_VALIDOS!$F$2:$F$68)-RADIANS(Z187))+SIN(RADIANS(Y187))*SIN(RADIANS(PARADEROS_VALIDOS!$E$2:$E$68))),0))</f>
        <v>Paradero Esperanza</v>
      </c>
      <c r="AD187" s="2" t="str">
        <f>IFERROR(INDEX(PARADEROS_VALIDOS!$A$2:$A$68,MATCH(AC187,PARADEROS_VALIDOS!$C$2:$C$68,0)),"")</f>
        <v>RUTA 4B</v>
      </c>
      <c r="AE187" s="33" cm="1">
        <f t="array" ref="AE187">ROUND(MIN(6371*ACOS(COS(RADIANS(Y187))*COS(RADIANS(PARADEROS_VALIDOS!$E$2:$E$68))*COS(RADIANS(PARADEROS_VALIDOS!$F$2:$F$68)-RADIANS(Z187))+SIN(RADIANS(Y187))*SIN(RADIANS(PARADEROS_VALIDOS!$E$2:$E$68)))),2)</f>
        <v>1.1599999999999999</v>
      </c>
      <c r="AF187" s="2" t="str">
        <f t="shared" si="11"/>
        <v>🟡 Cerca (1-3 km)</v>
      </c>
      <c r="AG187" s="2"/>
      <c r="AH187" s="2"/>
      <c r="AI187" s="51">
        <v>-11.997563</v>
      </c>
      <c r="AJ187" s="51">
        <v>-76.900062000000005</v>
      </c>
      <c r="AK187" s="2" t="str">
        <f>IFERROR(VLOOKUP(I187,tdcargo[],2,FALSE),"DESCONOCIDO")</f>
        <v>OPERARIO</v>
      </c>
    </row>
    <row r="188" spans="1:37" x14ac:dyDescent="0.35">
      <c r="A188" s="2" t="s">
        <v>1075</v>
      </c>
      <c r="B188" s="2" t="s">
        <v>1076</v>
      </c>
      <c r="C188" s="2" t="s">
        <v>1077</v>
      </c>
      <c r="D188" s="2" t="s">
        <v>1078</v>
      </c>
      <c r="E188" s="2">
        <v>36</v>
      </c>
      <c r="F188" s="2" t="s">
        <v>28</v>
      </c>
      <c r="G188" s="2" t="s">
        <v>29</v>
      </c>
      <c r="H188" s="2">
        <v>20508841</v>
      </c>
      <c r="I188" s="2" t="s">
        <v>62</v>
      </c>
      <c r="J188" s="3">
        <v>43146</v>
      </c>
      <c r="K188" s="2" t="s">
        <v>31</v>
      </c>
      <c r="L188" s="2" t="s">
        <v>164</v>
      </c>
      <c r="M188" s="2" t="s">
        <v>165</v>
      </c>
      <c r="N188" s="2" t="s">
        <v>82</v>
      </c>
      <c r="O188" s="2" t="s">
        <v>1079</v>
      </c>
      <c r="P188" s="2" t="s">
        <v>88</v>
      </c>
      <c r="Q188" s="2" t="s">
        <v>1080</v>
      </c>
      <c r="R188" s="2">
        <v>15004</v>
      </c>
      <c r="S188" s="2" t="s">
        <v>37</v>
      </c>
      <c r="T188" s="2" t="s">
        <v>37</v>
      </c>
      <c r="U188" s="2" t="s">
        <v>57</v>
      </c>
      <c r="V188" s="3">
        <v>43146</v>
      </c>
      <c r="W188" s="2" t="s">
        <v>48</v>
      </c>
      <c r="X188" s="2" t="str">
        <f t="shared" si="8"/>
        <v>Calle 05 De Enero Horacio Zevallos, A.H. Asentamiento Humano 5 De Enero, Ate, Lima, Lima, Perú</v>
      </c>
      <c r="Y188" s="22">
        <v>-12.0355823</v>
      </c>
      <c r="Z188" s="22">
        <v>-76.902900500000001</v>
      </c>
      <c r="AA188" s="33">
        <f t="shared" si="9"/>
        <v>4.24</v>
      </c>
      <c r="AB188" s="2" t="str">
        <f t="shared" si="10"/>
        <v>🟢 Muy Cerca (0-5 km)</v>
      </c>
      <c r="AC188" s="2" t="str" cm="1">
        <f t="array" ref="AC188">INDEX(PARADEROS_VALIDOS!$C$2:$C$68,MATCH(MIN(6371*ACOS(COS(RADIANS(Y188))*COS(RADIANS(PARADEROS_VALIDOS!$E$2:$E$68))*COS(RADIANS(PARADEROS_VALIDOS!$F$2:$F$68)-RADIANS(Z188))+SIN(RADIANS(Y188))*SIN(RADIANS(PARADEROS_VALIDOS!$E$2:$E$68)))),6371*ACOS(COS(RADIANS(Y188))*COS(RADIANS(PARADEROS_VALIDOS!$E$2:$E$68))*COS(RADIANS(PARADEROS_VALIDOS!$F$2:$F$68)-RADIANS(Z188))+SIN(RADIANS(Y188))*SIN(RADIANS(PARADEROS_VALIDOS!$E$2:$E$68))),0))</f>
        <v>Paradero Esperanza</v>
      </c>
      <c r="AD188" s="2" t="str">
        <f>IFERROR(INDEX(PARADEROS_VALIDOS!$A$2:$A$68,MATCH(AC188,PARADEROS_VALIDOS!$C$2:$C$68,0)),"")</f>
        <v>RUTA 4B</v>
      </c>
      <c r="AE188" s="33" cm="1">
        <f t="array" ref="AE188">ROUND(MIN(6371*ACOS(COS(RADIANS(Y188))*COS(RADIANS(PARADEROS_VALIDOS!$E$2:$E$68))*COS(RADIANS(PARADEROS_VALIDOS!$F$2:$F$68)-RADIANS(Z188))+SIN(RADIANS(Y188))*SIN(RADIANS(PARADEROS_VALIDOS!$E$2:$E$68)))),2)</f>
        <v>1.6</v>
      </c>
      <c r="AF188" s="2" t="str">
        <f t="shared" si="11"/>
        <v>🟡 Cerca (1-3 km)</v>
      </c>
      <c r="AG188" s="2"/>
      <c r="AH188" s="2"/>
      <c r="AI188" s="51">
        <v>-11.997563</v>
      </c>
      <c r="AJ188" s="51">
        <v>-76.900062000000005</v>
      </c>
      <c r="AK188" s="2" t="str">
        <f>IFERROR(VLOOKUP(I188,tdcargo[],2,FALSE),"DESCONOCIDO")</f>
        <v>OPERARIO</v>
      </c>
    </row>
    <row r="189" spans="1:37" x14ac:dyDescent="0.35">
      <c r="A189" s="2" t="s">
        <v>1081</v>
      </c>
      <c r="B189" s="2" t="s">
        <v>1082</v>
      </c>
      <c r="C189" s="2" t="s">
        <v>1083</v>
      </c>
      <c r="D189" s="2" t="s">
        <v>1084</v>
      </c>
      <c r="E189" s="2">
        <v>46</v>
      </c>
      <c r="F189" s="2" t="s">
        <v>28</v>
      </c>
      <c r="G189" s="2" t="s">
        <v>29</v>
      </c>
      <c r="H189" s="2">
        <v>20508732</v>
      </c>
      <c r="I189" s="2" t="s">
        <v>62</v>
      </c>
      <c r="J189" s="3">
        <v>44168</v>
      </c>
      <c r="K189" s="2" t="s">
        <v>31</v>
      </c>
      <c r="L189" s="2" t="s">
        <v>100</v>
      </c>
      <c r="M189" s="2" t="s">
        <v>101</v>
      </c>
      <c r="N189" s="2" t="s">
        <v>82</v>
      </c>
      <c r="O189" s="2" t="s">
        <v>1085</v>
      </c>
      <c r="P189" s="2" t="s">
        <v>88</v>
      </c>
      <c r="Q189" s="2" t="s">
        <v>1085</v>
      </c>
      <c r="R189" s="2">
        <v>15004</v>
      </c>
      <c r="S189" s="2" t="s">
        <v>37</v>
      </c>
      <c r="T189" s="2" t="s">
        <v>37</v>
      </c>
      <c r="U189" s="2" t="s">
        <v>57</v>
      </c>
      <c r="V189" s="3">
        <v>44168</v>
      </c>
      <c r="W189" s="2" t="s">
        <v>48</v>
      </c>
      <c r="X189" s="2" t="str">
        <f t="shared" si="8"/>
        <v>Calle San Carlos, A.H. Asentamiento Humano San Carlos, Ate, Lima, Lima, Perú</v>
      </c>
      <c r="Y189" s="22">
        <v>-12.0255811</v>
      </c>
      <c r="Z189" s="22">
        <v>-76.940029800000005</v>
      </c>
      <c r="AA189" s="33">
        <f t="shared" si="9"/>
        <v>5.35</v>
      </c>
      <c r="AB189" s="2" t="str">
        <f t="shared" si="10"/>
        <v>🟡 Cerca (5-10 km)</v>
      </c>
      <c r="AC189" s="2" t="str" cm="1">
        <f t="array" ref="AC189">INDEX(PARADEROS_VALIDOS!$C$2:$C$68,MATCH(MIN(6371*ACOS(COS(RADIANS(Y189))*COS(RADIANS(PARADEROS_VALIDOS!$E$2:$E$68))*COS(RADIANS(PARADEROS_VALIDOS!$F$2:$F$68)-RADIANS(Z189))+SIN(RADIANS(Y189))*SIN(RADIANS(PARADEROS_VALIDOS!$E$2:$E$68)))),6371*ACOS(COS(RADIANS(Y189))*COS(RADIANS(PARADEROS_VALIDOS!$E$2:$E$68))*COS(RADIANS(PARADEROS_VALIDOS!$F$2:$F$68)-RADIANS(Z189))+SIN(RADIANS(Y189))*SIN(RADIANS(PARADEROS_VALIDOS!$E$2:$E$68))),0))</f>
        <v>Real Plaza Puruchuco (Grifo Primax)</v>
      </c>
      <c r="AD189" s="2" t="str">
        <f>IFERROR(INDEX(PARADEROS_VALIDOS!$A$2:$A$68,MATCH(AC189,PARADEROS_VALIDOS!$C$2:$C$68,0)),"")</f>
        <v>RUTA 4A</v>
      </c>
      <c r="AE189" s="33" cm="1">
        <f t="array" ref="AE189">ROUND(MIN(6371*ACOS(COS(RADIANS(Y189))*COS(RADIANS(PARADEROS_VALIDOS!$E$2:$E$68))*COS(RADIANS(PARADEROS_VALIDOS!$F$2:$F$68)-RADIANS(Z189))+SIN(RADIANS(Y189))*SIN(RADIANS(PARADEROS_VALIDOS!$E$2:$E$68)))),2)</f>
        <v>1.96</v>
      </c>
      <c r="AF189" s="2" t="str">
        <f t="shared" si="11"/>
        <v>🟡 Cerca (1-3 km)</v>
      </c>
      <c r="AG189" s="2"/>
      <c r="AH189" s="2"/>
      <c r="AI189" s="51">
        <v>-11.997563</v>
      </c>
      <c r="AJ189" s="51">
        <v>-76.900062000000005</v>
      </c>
      <c r="AK189" s="2" t="str">
        <f>IFERROR(VLOOKUP(I189,tdcargo[],2,FALSE),"DESCONOCIDO")</f>
        <v>OPERARIO</v>
      </c>
    </row>
    <row r="190" spans="1:37" x14ac:dyDescent="0.35">
      <c r="A190" s="2" t="s">
        <v>1086</v>
      </c>
      <c r="B190" s="2" t="s">
        <v>1087</v>
      </c>
      <c r="C190" s="2" t="s">
        <v>531</v>
      </c>
      <c r="D190" s="2" t="s">
        <v>1088</v>
      </c>
      <c r="E190" s="2">
        <v>34</v>
      </c>
      <c r="F190" s="2" t="s">
        <v>28</v>
      </c>
      <c r="G190" s="2" t="s">
        <v>29</v>
      </c>
      <c r="H190" s="2">
        <v>20508814</v>
      </c>
      <c r="I190" s="2" t="s">
        <v>30</v>
      </c>
      <c r="J190" s="3">
        <v>45761</v>
      </c>
      <c r="K190" s="2" t="s">
        <v>31</v>
      </c>
      <c r="L190" s="2" t="s">
        <v>108</v>
      </c>
      <c r="M190" s="2" t="s">
        <v>109</v>
      </c>
      <c r="N190" s="2" t="s">
        <v>34</v>
      </c>
      <c r="O190" s="2" t="s">
        <v>748</v>
      </c>
      <c r="P190" s="2" t="s">
        <v>36</v>
      </c>
      <c r="Q190" s="2" t="s">
        <v>1089</v>
      </c>
      <c r="R190" s="2">
        <v>15457</v>
      </c>
      <c r="S190" s="2" t="s">
        <v>37</v>
      </c>
      <c r="T190" s="2" t="s">
        <v>37</v>
      </c>
      <c r="U190" s="2" t="s">
        <v>76</v>
      </c>
      <c r="V190" s="3">
        <v>45761</v>
      </c>
      <c r="W190" s="2" t="s">
        <v>39</v>
      </c>
      <c r="X190" s="2" t="str">
        <f t="shared" si="8"/>
        <v>Avenida Nieveria Huachipa Nieveria, Lurigancho, Lima, Lima, Perú</v>
      </c>
      <c r="Y190" s="22">
        <v>-11.997489399999999</v>
      </c>
      <c r="Z190" s="22">
        <v>-76.919619499999996</v>
      </c>
      <c r="AA190" s="33">
        <f t="shared" si="9"/>
        <v>2.13</v>
      </c>
      <c r="AB190" s="2" t="str">
        <f t="shared" si="10"/>
        <v>🟢 Muy Cerca (0-5 km)</v>
      </c>
      <c r="AC190" s="2" t="str" cm="1">
        <f t="array" ref="AC190">INDEX(PARADEROS_VALIDOS!$C$2:$C$68,MATCH(MIN(6371*ACOS(COS(RADIANS(Y190))*COS(RADIANS(PARADEROS_VALIDOS!$E$2:$E$68))*COS(RADIANS(PARADEROS_VALIDOS!$F$2:$F$68)-RADIANS(Z190))+SIN(RADIANS(Y190))*SIN(RADIANS(PARADEROS_VALIDOS!$E$2:$E$68)))),6371*ACOS(COS(RADIANS(Y190))*COS(RADIANS(PARADEROS_VALIDOS!$E$2:$E$68))*COS(RADIANS(PARADEROS_VALIDOS!$F$2:$F$68)-RADIANS(Z190))+SIN(RADIANS(Y190))*SIN(RADIANS(PARADEROS_VALIDOS!$E$2:$E$68))),0))</f>
        <v>Paradero Arco San Antonio</v>
      </c>
      <c r="AD190" s="2" t="str">
        <f>IFERROR(INDEX(PARADEROS_VALIDOS!$A$2:$A$68,MATCH(AC190,PARADEROS_VALIDOS!$C$2:$C$68,0)),"")</f>
        <v>RUTA 2</v>
      </c>
      <c r="AE190" s="33" cm="1">
        <f t="array" ref="AE190">ROUND(MIN(6371*ACOS(COS(RADIANS(Y190))*COS(RADIANS(PARADEROS_VALIDOS!$E$2:$E$68))*COS(RADIANS(PARADEROS_VALIDOS!$F$2:$F$68)-RADIANS(Z190))+SIN(RADIANS(Y190))*SIN(RADIANS(PARADEROS_VALIDOS!$E$2:$E$68)))),2)</f>
        <v>1.85</v>
      </c>
      <c r="AF190" s="2" t="str">
        <f t="shared" si="11"/>
        <v>🟡 Cerca (1-3 km)</v>
      </c>
      <c r="AG190" s="2"/>
      <c r="AH190" s="2"/>
      <c r="AI190" s="51">
        <v>-11.997563</v>
      </c>
      <c r="AJ190" s="51">
        <v>-76.900062000000005</v>
      </c>
      <c r="AK190" s="2" t="str">
        <f>IFERROR(VLOOKUP(I190,tdcargo[],2,FALSE),"DESCONOCIDO")</f>
        <v>OPERARIO</v>
      </c>
    </row>
    <row r="191" spans="1:37" x14ac:dyDescent="0.35">
      <c r="A191" s="2" t="s">
        <v>1090</v>
      </c>
      <c r="B191" s="2" t="s">
        <v>1091</v>
      </c>
      <c r="C191" s="2" t="s">
        <v>355</v>
      </c>
      <c r="D191" s="2" t="s">
        <v>1092</v>
      </c>
      <c r="E191" s="2">
        <v>26</v>
      </c>
      <c r="F191" s="2" t="s">
        <v>28</v>
      </c>
      <c r="G191" s="2" t="s">
        <v>29</v>
      </c>
      <c r="H191" s="2">
        <v>20508992</v>
      </c>
      <c r="I191" s="2" t="s">
        <v>30</v>
      </c>
      <c r="J191" s="3">
        <v>45520</v>
      </c>
      <c r="K191" s="2" t="s">
        <v>31</v>
      </c>
      <c r="L191" s="2" t="s">
        <v>63</v>
      </c>
      <c r="M191" s="2" t="s">
        <v>64</v>
      </c>
      <c r="N191" s="2" t="s">
        <v>53</v>
      </c>
      <c r="O191" s="2" t="s">
        <v>1093</v>
      </c>
      <c r="P191" s="2" t="s">
        <v>36</v>
      </c>
      <c r="Q191" s="2" t="s">
        <v>1093</v>
      </c>
      <c r="R191" s="2">
        <v>15311</v>
      </c>
      <c r="S191" s="2" t="s">
        <v>37</v>
      </c>
      <c r="T191" s="2" t="s">
        <v>37</v>
      </c>
      <c r="U191" s="2" t="s">
        <v>1094</v>
      </c>
      <c r="V191" s="3">
        <v>45520</v>
      </c>
      <c r="W191" s="2" t="s">
        <v>48</v>
      </c>
      <c r="X191" s="2" t="str">
        <f t="shared" si="8"/>
        <v>Jirón Real Felipe Real Felipe, Independencia, Lima, Lima, Perú</v>
      </c>
      <c r="Y191" s="22">
        <v>-11.968677899999999</v>
      </c>
      <c r="Z191" s="22">
        <v>-77.040019000000001</v>
      </c>
      <c r="AA191" s="33">
        <f t="shared" si="9"/>
        <v>15.56</v>
      </c>
      <c r="AB191" s="2" t="str">
        <f t="shared" si="10"/>
        <v>🟠 Moderada (10-20 km)</v>
      </c>
      <c r="AC191" s="2" t="str" cm="1">
        <f t="array" ref="AC191">INDEX(PARADEROS_VALIDOS!$C$2:$C$68,MATCH(MIN(6371*ACOS(COS(RADIANS(Y191))*COS(RADIANS(PARADEROS_VALIDOS!$E$2:$E$68))*COS(RADIANS(PARADEROS_VALIDOS!$F$2:$F$68)-RADIANS(Z191))+SIN(RADIANS(Y191))*SIN(RADIANS(PARADEROS_VALIDOS!$E$2:$E$68)))),6371*ACOS(COS(RADIANS(Y191))*COS(RADIANS(PARADEROS_VALIDOS!$E$2:$E$68))*COS(RADIANS(PARADEROS_VALIDOS!$F$2:$F$68)-RADIANS(Z191))+SIN(RADIANS(Y191))*SIN(RADIANS(PARADEROS_VALIDOS!$E$2:$E$68))),0))</f>
        <v>Paradero 15 de Julio</v>
      </c>
      <c r="AD191" s="2" t="str">
        <f>IFERROR(INDEX(PARADEROS_VALIDOS!$A$2:$A$68,MATCH(AC191,PARADEROS_VALIDOS!$C$2:$C$68,0)),"")</f>
        <v>RUTA 3</v>
      </c>
      <c r="AE191" s="33" cm="1">
        <f t="array" ref="AE191">ROUND(MIN(6371*ACOS(COS(RADIANS(Y191))*COS(RADIANS(PARADEROS_VALIDOS!$E$2:$E$68))*COS(RADIANS(PARADEROS_VALIDOS!$F$2:$F$68)-RADIANS(Z191))+SIN(RADIANS(Y191))*SIN(RADIANS(PARADEROS_VALIDOS!$E$2:$E$68)))),2)</f>
        <v>2.27</v>
      </c>
      <c r="AF191" s="2" t="str">
        <f t="shared" si="11"/>
        <v>🟡 Cerca (1-3 km)</v>
      </c>
      <c r="AG191" s="2"/>
      <c r="AH191" s="2"/>
      <c r="AI191" s="51">
        <v>-11.997563</v>
      </c>
      <c r="AJ191" s="51">
        <v>-76.900062000000005</v>
      </c>
      <c r="AK191" s="2" t="str">
        <f>IFERROR(VLOOKUP(I191,tdcargo[],2,FALSE),"DESCONOCIDO")</f>
        <v>OPERARIO</v>
      </c>
    </row>
    <row r="192" spans="1:37" x14ac:dyDescent="0.35">
      <c r="A192" s="2" t="s">
        <v>1095</v>
      </c>
      <c r="B192" s="2" t="s">
        <v>1096</v>
      </c>
      <c r="C192" s="2" t="s">
        <v>1097</v>
      </c>
      <c r="D192" s="2" t="s">
        <v>1098</v>
      </c>
      <c r="E192" s="2">
        <v>21</v>
      </c>
      <c r="F192" s="2" t="s">
        <v>28</v>
      </c>
      <c r="G192" s="2" t="s">
        <v>29</v>
      </c>
      <c r="H192" s="2">
        <v>20510580</v>
      </c>
      <c r="I192" s="2" t="s">
        <v>30</v>
      </c>
      <c r="J192" s="3">
        <v>45658</v>
      </c>
      <c r="K192" s="2" t="s">
        <v>31</v>
      </c>
      <c r="L192" s="2" t="s">
        <v>100</v>
      </c>
      <c r="M192" s="2" t="s">
        <v>101</v>
      </c>
      <c r="N192" s="2" t="s">
        <v>82</v>
      </c>
      <c r="O192" s="2" t="s">
        <v>1099</v>
      </c>
      <c r="P192" s="2" t="s">
        <v>36</v>
      </c>
      <c r="Q192" s="2" t="s">
        <v>1017</v>
      </c>
      <c r="R192" s="2">
        <v>15457</v>
      </c>
      <c r="S192" s="2" t="s">
        <v>37</v>
      </c>
      <c r="T192" s="2" t="s">
        <v>37</v>
      </c>
      <c r="U192" s="2" t="s">
        <v>76</v>
      </c>
      <c r="V192" s="3">
        <v>45658</v>
      </c>
      <c r="W192" s="2" t="s">
        <v>77</v>
      </c>
      <c r="X192" s="2" t="str">
        <f t="shared" si="8"/>
        <v>Calle San Juan De Cajamarquilla Mz B Lt 5, El Ayllu Cajamarquilla, Lurigancho, Lima, Lima, Perú</v>
      </c>
      <c r="Y192" s="22">
        <v>-12.035608699999999</v>
      </c>
      <c r="Z192" s="22">
        <v>-77.002313799999996</v>
      </c>
      <c r="AA192" s="33">
        <f t="shared" si="9"/>
        <v>11.9</v>
      </c>
      <c r="AB192" s="2" t="str">
        <f t="shared" si="10"/>
        <v>🟠 Moderada (10-20 km)</v>
      </c>
      <c r="AC192" s="2" t="str" cm="1">
        <f t="array" ref="AC192">INDEX(PARADEROS_VALIDOS!$C$2:$C$68,MATCH(MIN(6371*ACOS(COS(RADIANS(Y192))*COS(RADIANS(PARADEROS_VALIDOS!$E$2:$E$68))*COS(RADIANS(PARADEROS_VALIDOS!$F$2:$F$68)-RADIANS(Z192))+SIN(RADIANS(Y192))*SIN(RADIANS(PARADEROS_VALIDOS!$E$2:$E$68)))),6371*ACOS(COS(RADIANS(Y192))*COS(RADIANS(PARADEROS_VALIDOS!$E$2:$E$68))*COS(RADIANS(PARADEROS_VALIDOS!$F$2:$F$68)-RADIANS(Z192))+SIN(RADIANS(Y192))*SIN(RADIANS(PARADEROS_VALIDOS!$E$2:$E$68))),0))</f>
        <v>Puente Nuevo (Av. Chinchaysuyo &amp; Av. Malecón Checa)</v>
      </c>
      <c r="AD192" s="2" t="str">
        <f>IFERROR(INDEX(PARADEROS_VALIDOS!$A$2:$A$68,MATCH(AC192,PARADEROS_VALIDOS!$C$2:$C$68,0)),"")</f>
        <v>RUTA 6C</v>
      </c>
      <c r="AE192" s="33" cm="1">
        <f t="array" ref="AE192">ROUND(MIN(6371*ACOS(COS(RADIANS(Y192))*COS(RADIANS(PARADEROS_VALIDOS!$E$2:$E$68))*COS(RADIANS(PARADEROS_VALIDOS!$F$2:$F$68)-RADIANS(Z192))+SIN(RADIANS(Y192))*SIN(RADIANS(PARADEROS_VALIDOS!$E$2:$E$68)))),2)</f>
        <v>1.22</v>
      </c>
      <c r="AF192" s="2" t="str">
        <f t="shared" si="11"/>
        <v>🟡 Cerca (1-3 km)</v>
      </c>
      <c r="AG192" s="2"/>
      <c r="AH192" s="2"/>
      <c r="AI192" s="51">
        <v>-11.997563</v>
      </c>
      <c r="AJ192" s="51">
        <v>-76.900062000000005</v>
      </c>
      <c r="AK192" s="2" t="str">
        <f>IFERROR(VLOOKUP(I192,tdcargo[],2,FALSE),"DESCONOCIDO")</f>
        <v>OPERARIO</v>
      </c>
    </row>
    <row r="193" spans="1:37" x14ac:dyDescent="0.35">
      <c r="A193" s="2" t="s">
        <v>1100</v>
      </c>
      <c r="B193" s="2" t="s">
        <v>1101</v>
      </c>
      <c r="C193" s="2" t="s">
        <v>1102</v>
      </c>
      <c r="D193" s="2" t="s">
        <v>842</v>
      </c>
      <c r="E193" s="2">
        <v>19</v>
      </c>
      <c r="F193" s="2" t="s">
        <v>28</v>
      </c>
      <c r="G193" s="2" t="s">
        <v>29</v>
      </c>
      <c r="H193" s="2">
        <v>20510595</v>
      </c>
      <c r="I193" s="2" t="s">
        <v>30</v>
      </c>
      <c r="J193" s="3">
        <v>45663</v>
      </c>
      <c r="K193" s="2" t="s">
        <v>31</v>
      </c>
      <c r="L193" s="2" t="s">
        <v>72</v>
      </c>
      <c r="M193" s="2" t="s">
        <v>73</v>
      </c>
      <c r="N193" s="2" t="s">
        <v>36</v>
      </c>
      <c r="O193" s="2" t="s">
        <v>1103</v>
      </c>
      <c r="P193" s="2" t="s">
        <v>36</v>
      </c>
      <c r="Q193" s="2" t="s">
        <v>1104</v>
      </c>
      <c r="R193" s="2">
        <v>15004</v>
      </c>
      <c r="S193" s="2" t="s">
        <v>37</v>
      </c>
      <c r="T193" s="2" t="s">
        <v>37</v>
      </c>
      <c r="U193" s="2" t="s">
        <v>57</v>
      </c>
      <c r="V193" s="3">
        <v>45663</v>
      </c>
      <c r="W193" s="2" t="s">
        <v>77</v>
      </c>
      <c r="X193" s="2" t="str">
        <f t="shared" si="8"/>
        <v>Horacio Zevallos -Ate Grupo E, Ate, Lima, Lima, Perú</v>
      </c>
      <c r="Y193" s="22">
        <v>-12.014523799999999</v>
      </c>
      <c r="Z193" s="22">
        <v>-76.838354100000004</v>
      </c>
      <c r="AA193" s="33">
        <f t="shared" si="9"/>
        <v>6.97</v>
      </c>
      <c r="AB193" s="2" t="str">
        <f t="shared" si="10"/>
        <v>🟡 Cerca (5-10 km)</v>
      </c>
      <c r="AC193" s="2" t="str" cm="1">
        <f t="array" ref="AC193">INDEX(PARADEROS_VALIDOS!$C$2:$C$68,MATCH(MIN(6371*ACOS(COS(RADIANS(Y193))*COS(RADIANS(PARADEROS_VALIDOS!$E$2:$E$68))*COS(RADIANS(PARADEROS_VALIDOS!$F$2:$F$68)-RADIANS(Z193))+SIN(RADIANS(Y193))*SIN(RADIANS(PARADEROS_VALIDOS!$E$2:$E$68)))),6371*ACOS(COS(RADIANS(Y193))*COS(RADIANS(PARADEROS_VALIDOS!$E$2:$E$68))*COS(RADIANS(PARADEROS_VALIDOS!$F$2:$F$68)-RADIANS(Z193))+SIN(RADIANS(Y193))*SIN(RADIANS(PARADEROS_VALIDOS!$E$2:$E$68))),0))</f>
        <v>Entrada Horacio</v>
      </c>
      <c r="AD193" s="2" t="str">
        <f>IFERROR(INDEX(PARADEROS_VALIDOS!$A$2:$A$68,MATCH(AC193,PARADEROS_VALIDOS!$C$2:$C$68,0)),"")</f>
        <v>RUTA 5B</v>
      </c>
      <c r="AE193" s="33" cm="1">
        <f t="array" ref="AE193">ROUND(MIN(6371*ACOS(COS(RADIANS(Y193))*COS(RADIANS(PARADEROS_VALIDOS!$E$2:$E$68))*COS(RADIANS(PARADEROS_VALIDOS!$F$2:$F$68)-RADIANS(Z193))+SIN(RADIANS(Y193))*SIN(RADIANS(PARADEROS_VALIDOS!$E$2:$E$68)))),2)</f>
        <v>0.79</v>
      </c>
      <c r="AF193" s="2" t="str">
        <f t="shared" si="11"/>
        <v>🟢 Muy Cerca (0-1 km)</v>
      </c>
      <c r="AG193" s="2"/>
      <c r="AH193" s="2"/>
      <c r="AI193" s="51">
        <v>-11.997563</v>
      </c>
      <c r="AJ193" s="51">
        <v>-76.900062000000005</v>
      </c>
      <c r="AK193" s="2" t="str">
        <f>IFERROR(VLOOKUP(I193,tdcargo[],2,FALSE),"DESCONOCIDO")</f>
        <v>OPERARIO</v>
      </c>
    </row>
    <row r="194" spans="1:37" x14ac:dyDescent="0.35">
      <c r="A194" s="2" t="s">
        <v>1105</v>
      </c>
      <c r="B194" s="2" t="s">
        <v>169</v>
      </c>
      <c r="C194" s="2" t="s">
        <v>1106</v>
      </c>
      <c r="D194" s="2" t="s">
        <v>572</v>
      </c>
      <c r="E194" s="2">
        <v>20</v>
      </c>
      <c r="F194" s="2" t="s">
        <v>28</v>
      </c>
      <c r="G194" s="2" t="s">
        <v>29</v>
      </c>
      <c r="H194" s="2">
        <v>20510577</v>
      </c>
      <c r="I194" s="2" t="s">
        <v>30</v>
      </c>
      <c r="J194" s="3">
        <v>46045</v>
      </c>
      <c r="K194" s="2" t="s">
        <v>31</v>
      </c>
      <c r="L194" s="2" t="s">
        <v>100</v>
      </c>
      <c r="M194" s="2" t="s">
        <v>101</v>
      </c>
      <c r="N194" s="2" t="s">
        <v>82</v>
      </c>
      <c r="O194" s="2" t="s">
        <v>1107</v>
      </c>
      <c r="P194" s="2" t="s">
        <v>36</v>
      </c>
      <c r="Q194" s="2" t="s">
        <v>727</v>
      </c>
      <c r="R194" s="2">
        <v>15004</v>
      </c>
      <c r="S194" s="2" t="s">
        <v>37</v>
      </c>
      <c r="T194" s="2" t="s">
        <v>37</v>
      </c>
      <c r="U194" s="2" t="s">
        <v>57</v>
      </c>
      <c r="V194" s="3">
        <v>46045</v>
      </c>
      <c r="W194" s="2" t="s">
        <v>135</v>
      </c>
      <c r="X194" s="2" t="str">
        <f t="shared" ref="X194:X257" si="12">_xlfn.LET(_xlpm.parte1,TRIM(IF(OR(N194="Otros / No aplica",N194=""),"",N194&amp;" ")&amp;O194&amp;IF(AND(P194&lt;&gt;"",P194&lt;&gt;"Otros / No aplica"),", "&amp;P194,"")&amp;IF(AND(Q194&lt;&gt;"",Q194&lt;&gt;"Nd",Q194&lt;&gt;0,Q194&lt;&gt;"0")," "&amp;Q194,"")),_xlpm.parte2,U194&amp;", "&amp;T194&amp;", "&amp;S194&amp;", Perú",IF(LEFT(_xlpm.parte1,1)=",",TRIM(MID(_xlpm.parte1,2,255))&amp;", "&amp;_xlpm.parte2,IF(_xlpm.parte1="",_xlpm.parte2,_xlpm.parte1&amp;", "&amp;_xlpm.parte2)))</f>
        <v>Calle Ucv 84 Lt 56 Zona E HUAYCAN, Ate, Lima, Lima, Perú</v>
      </c>
      <c r="Y194" s="22">
        <v>-12.010009</v>
      </c>
      <c r="Z194" s="22">
        <v>-76.827871599999995</v>
      </c>
      <c r="AA194" s="33">
        <f t="shared" ref="AA194:AA257" si="13">ROUND(6371*ACOS(COS(RADIANS(-11.997563))*COS(RADIANS(Y194))*COS(RADIANS(Z194)-RADIANS(-76.900062))+SIN(RADIANS(-11.997563))*SIN(RADIANS(Y194))),2)</f>
        <v>7.97</v>
      </c>
      <c r="AB194" s="2" t="str">
        <f t="shared" ref="AB194:AB257" si="14">IF(AA194&lt;=5,"🟢 Muy Cerca (0-5 km)",IF(AA194&lt;=10,"🟡 Cerca (5-10 km)",IF(AA194&lt;=20,"🟠 Moderada (10-20 km)","🔴 Lejos (&gt;20 km)")))</f>
        <v>🟡 Cerca (5-10 km)</v>
      </c>
      <c r="AC194" s="2" t="str" cm="1">
        <f t="array" ref="AC194">INDEX(PARADEROS_VALIDOS!$C$2:$C$68,MATCH(MIN(6371*ACOS(COS(RADIANS(Y194))*COS(RADIANS(PARADEROS_VALIDOS!$E$2:$E$68))*COS(RADIANS(PARADEROS_VALIDOS!$F$2:$F$68)-RADIANS(Z194))+SIN(RADIANS(Y194))*SIN(RADIANS(PARADEROS_VALIDOS!$E$2:$E$68)))),6371*ACOS(COS(RADIANS(Y194))*COS(RADIANS(PARADEROS_VALIDOS!$E$2:$E$68))*COS(RADIANS(PARADEROS_VALIDOS!$F$2:$F$68)-RADIANS(Z194))+SIN(RADIANS(Y194))*SIN(RADIANS(PARADEROS_VALIDOS!$E$2:$E$68))),0))</f>
        <v>Entrada Horacio</v>
      </c>
      <c r="AD194" s="2" t="str">
        <f>IFERROR(INDEX(PARADEROS_VALIDOS!$A$2:$A$68,MATCH(AC194,PARADEROS_VALIDOS!$C$2:$C$68,0)),"")</f>
        <v>RUTA 5B</v>
      </c>
      <c r="AE194" s="33" cm="1">
        <f t="array" ref="AE194">ROUND(MIN(6371*ACOS(COS(RADIANS(Y194))*COS(RADIANS(PARADEROS_VALIDOS!$E$2:$E$68))*COS(RADIANS(PARADEROS_VALIDOS!$F$2:$F$68)-RADIANS(Z194))+SIN(RADIANS(Y194))*SIN(RADIANS(PARADEROS_VALIDOS!$E$2:$E$68)))),2)</f>
        <v>1.55</v>
      </c>
      <c r="AF194" s="2" t="str">
        <f t="shared" ref="AF194:AF257" si="15">IF(AE194&lt;=1,"🟢 Muy Cerca (0-1 km)",IF(AE194&lt;=3,"🟡 Cerca (1-3 km)",IF(AE194&lt;=5,"🟠 Moderada (3-5 km)","🔴 Lejos (&gt;5 km)")))</f>
        <v>🟡 Cerca (1-3 km)</v>
      </c>
      <c r="AG194" s="2"/>
      <c r="AH194" s="2"/>
      <c r="AI194" s="51">
        <v>-11.997563</v>
      </c>
      <c r="AJ194" s="51">
        <v>-76.900062000000005</v>
      </c>
      <c r="AK194" s="2" t="str">
        <f>IFERROR(VLOOKUP(I194,tdcargo[],2,FALSE),"DESCONOCIDO")</f>
        <v>OPERARIO</v>
      </c>
    </row>
    <row r="195" spans="1:37" x14ac:dyDescent="0.35">
      <c r="A195" s="2" t="s">
        <v>1108</v>
      </c>
      <c r="B195" s="2" t="s">
        <v>1109</v>
      </c>
      <c r="C195" s="2" t="s">
        <v>531</v>
      </c>
      <c r="D195" s="2" t="s">
        <v>577</v>
      </c>
      <c r="E195" s="2">
        <v>22</v>
      </c>
      <c r="F195" s="2" t="s">
        <v>28</v>
      </c>
      <c r="G195" s="2" t="s">
        <v>29</v>
      </c>
      <c r="H195" s="2">
        <v>20508924</v>
      </c>
      <c r="I195" s="2" t="s">
        <v>30</v>
      </c>
      <c r="J195" s="3">
        <v>46041</v>
      </c>
      <c r="K195" s="2" t="s">
        <v>31</v>
      </c>
      <c r="L195" s="2" t="s">
        <v>132</v>
      </c>
      <c r="M195" s="2" t="s">
        <v>133</v>
      </c>
      <c r="N195" s="2" t="s">
        <v>36</v>
      </c>
      <c r="O195" s="2" t="s">
        <v>1110</v>
      </c>
      <c r="P195" s="2" t="s">
        <v>186</v>
      </c>
      <c r="Q195" s="2" t="s">
        <v>1111</v>
      </c>
      <c r="R195" s="2">
        <v>15401</v>
      </c>
      <c r="S195" s="2" t="s">
        <v>37</v>
      </c>
      <c r="T195" s="2" t="s">
        <v>37</v>
      </c>
      <c r="U195" s="2" t="s">
        <v>38</v>
      </c>
      <c r="V195" s="3">
        <v>46041</v>
      </c>
      <c r="W195" s="2" t="s">
        <v>135</v>
      </c>
      <c r="X195" s="2" t="str">
        <f t="shared" si="12"/>
        <v>Belisario Suarez, Urb. Urbanización LOS CONSTRUCTORES, San Juan De Lurigancho, Lima, Lima, Perú</v>
      </c>
      <c r="Y195" s="22">
        <v>-11.9479899</v>
      </c>
      <c r="Z195" s="22">
        <v>-76.979212000000004</v>
      </c>
      <c r="AA195" s="33">
        <f t="shared" si="13"/>
        <v>10.220000000000001</v>
      </c>
      <c r="AB195" s="2" t="str">
        <f t="shared" si="14"/>
        <v>🟠 Moderada (10-20 km)</v>
      </c>
      <c r="AC195" s="2" t="str" cm="1">
        <f t="array" ref="AC195">INDEX(PARADEROS_VALIDOS!$C$2:$C$68,MATCH(MIN(6371*ACOS(COS(RADIANS(Y195))*COS(RADIANS(PARADEROS_VALIDOS!$E$2:$E$68))*COS(RADIANS(PARADEROS_VALIDOS!$F$2:$F$68)-RADIANS(Z195))+SIN(RADIANS(Y195))*SIN(RADIANS(PARADEROS_VALIDOS!$E$2:$E$68)))),6371*ACOS(COS(RADIANS(Y195))*COS(RADIANS(PARADEROS_VALIDOS!$E$2:$E$68))*COS(RADIANS(PARADEROS_VALIDOS!$F$2:$F$68)-RADIANS(Z195))+SIN(RADIANS(Y195))*SIN(RADIANS(PARADEROS_VALIDOS!$E$2:$E$68))),0))</f>
        <v>Paradero San Martin</v>
      </c>
      <c r="AD195" s="2" t="str">
        <f>IFERROR(INDEX(PARADEROS_VALIDOS!$A$2:$A$68,MATCH(AC195,PARADEROS_VALIDOS!$C$2:$C$68,0)),"")</f>
        <v>RUTA 6A</v>
      </c>
      <c r="AE195" s="33" cm="1">
        <f t="array" ref="AE195">ROUND(MIN(6371*ACOS(COS(RADIANS(Y195))*COS(RADIANS(PARADEROS_VALIDOS!$E$2:$E$68))*COS(RADIANS(PARADEROS_VALIDOS!$F$2:$F$68)-RADIANS(Z195))+SIN(RADIANS(Y195))*SIN(RADIANS(PARADEROS_VALIDOS!$E$2:$E$68)))),2)</f>
        <v>3.77</v>
      </c>
      <c r="AF195" s="2" t="str">
        <f t="shared" si="15"/>
        <v>🟠 Moderada (3-5 km)</v>
      </c>
      <c r="AG195" s="2"/>
      <c r="AH195" s="2"/>
      <c r="AI195" s="51">
        <v>-11.997563</v>
      </c>
      <c r="AJ195" s="51">
        <v>-76.900062000000005</v>
      </c>
      <c r="AK195" s="2" t="str">
        <f>IFERROR(VLOOKUP(I195,tdcargo[],2,FALSE),"DESCONOCIDO")</f>
        <v>OPERARIO</v>
      </c>
    </row>
    <row r="196" spans="1:37" x14ac:dyDescent="0.35">
      <c r="A196" s="2" t="s">
        <v>1112</v>
      </c>
      <c r="B196" s="2" t="s">
        <v>1113</v>
      </c>
      <c r="C196" s="2" t="s">
        <v>364</v>
      </c>
      <c r="D196" s="2" t="s">
        <v>1114</v>
      </c>
      <c r="E196" s="2">
        <v>38</v>
      </c>
      <c r="F196" s="2" t="s">
        <v>28</v>
      </c>
      <c r="G196" s="2" t="s">
        <v>29</v>
      </c>
      <c r="H196" s="2">
        <v>20508884</v>
      </c>
      <c r="I196" s="2" t="s">
        <v>62</v>
      </c>
      <c r="J196" s="3">
        <v>43129</v>
      </c>
      <c r="K196" s="2" t="s">
        <v>31</v>
      </c>
      <c r="L196" s="2" t="s">
        <v>32</v>
      </c>
      <c r="M196" s="2" t="s">
        <v>33</v>
      </c>
      <c r="N196" s="2" t="s">
        <v>82</v>
      </c>
      <c r="O196" s="2" t="s">
        <v>1115</v>
      </c>
      <c r="P196" s="2" t="s">
        <v>36</v>
      </c>
      <c r="Q196" s="2" t="s">
        <v>1116</v>
      </c>
      <c r="R196" s="2">
        <v>15457</v>
      </c>
      <c r="S196" s="2" t="s">
        <v>37</v>
      </c>
      <c r="T196" s="2" t="s">
        <v>37</v>
      </c>
      <c r="U196" s="2" t="s">
        <v>76</v>
      </c>
      <c r="V196" s="3">
        <v>43129</v>
      </c>
      <c r="W196" s="2" t="s">
        <v>48</v>
      </c>
      <c r="X196" s="2" t="str">
        <f t="shared" si="12"/>
        <v>Calle Los Laureles San Pedro Y San Pablo, Lurigancho, Lima, Lima, Perú</v>
      </c>
      <c r="Y196" s="22">
        <v>-11.971721000000001</v>
      </c>
      <c r="Z196" s="22">
        <v>-77.043425900000003</v>
      </c>
      <c r="AA196" s="33">
        <f t="shared" si="13"/>
        <v>15.86</v>
      </c>
      <c r="AB196" s="2" t="str">
        <f t="shared" si="14"/>
        <v>🟠 Moderada (10-20 km)</v>
      </c>
      <c r="AC196" s="2" t="str" cm="1">
        <f t="array" ref="AC196">INDEX(PARADEROS_VALIDOS!$C$2:$C$68,MATCH(MIN(6371*ACOS(COS(RADIANS(Y196))*COS(RADIANS(PARADEROS_VALIDOS!$E$2:$E$68))*COS(RADIANS(PARADEROS_VALIDOS!$F$2:$F$68)-RADIANS(Z196))+SIN(RADIANS(Y196))*SIN(RADIANS(PARADEROS_VALIDOS!$E$2:$E$68)))),6371*ACOS(COS(RADIANS(Y196))*COS(RADIANS(PARADEROS_VALIDOS!$E$2:$E$68))*COS(RADIANS(PARADEROS_VALIDOS!$F$2:$F$68)-RADIANS(Z196))+SIN(RADIANS(Y196))*SIN(RADIANS(PARADEROS_VALIDOS!$E$2:$E$68))),0))</f>
        <v>Paradero 15 de Julio</v>
      </c>
      <c r="AD196" s="2" t="str">
        <f>IFERROR(INDEX(PARADEROS_VALIDOS!$A$2:$A$68,MATCH(AC196,PARADEROS_VALIDOS!$C$2:$C$68,0)),"")</f>
        <v>RUTA 3</v>
      </c>
      <c r="AE196" s="33" cm="1">
        <f t="array" ref="AE196">ROUND(MIN(6371*ACOS(COS(RADIANS(Y196))*COS(RADIANS(PARADEROS_VALIDOS!$E$2:$E$68))*COS(RADIANS(PARADEROS_VALIDOS!$F$2:$F$68)-RADIANS(Z196))+SIN(RADIANS(Y196))*SIN(RADIANS(PARADEROS_VALIDOS!$E$2:$E$68)))),2)</f>
        <v>1.8</v>
      </c>
      <c r="AF196" s="2" t="str">
        <f t="shared" si="15"/>
        <v>🟡 Cerca (1-3 km)</v>
      </c>
      <c r="AG196" s="2"/>
      <c r="AH196" s="2"/>
      <c r="AI196" s="51">
        <v>-11.997563</v>
      </c>
      <c r="AJ196" s="51">
        <v>-76.900062000000005</v>
      </c>
      <c r="AK196" s="2" t="str">
        <f>IFERROR(VLOOKUP(I196,tdcargo[],2,FALSE),"DESCONOCIDO")</f>
        <v>OPERARIO</v>
      </c>
    </row>
    <row r="197" spans="1:37" x14ac:dyDescent="0.35">
      <c r="A197" s="2" t="s">
        <v>1117</v>
      </c>
      <c r="B197" s="2" t="s">
        <v>1118</v>
      </c>
      <c r="C197" s="2" t="s">
        <v>1119</v>
      </c>
      <c r="D197" s="2" t="s">
        <v>1120</v>
      </c>
      <c r="E197" s="2">
        <v>21</v>
      </c>
      <c r="F197" s="2" t="s">
        <v>28</v>
      </c>
      <c r="G197" s="2" t="s">
        <v>29</v>
      </c>
      <c r="H197" s="2">
        <v>20508774</v>
      </c>
      <c r="I197" s="2" t="s">
        <v>30</v>
      </c>
      <c r="J197" s="3">
        <v>45779</v>
      </c>
      <c r="K197" s="2" t="s">
        <v>31</v>
      </c>
      <c r="L197" s="2" t="s">
        <v>72</v>
      </c>
      <c r="M197" s="2" t="s">
        <v>73</v>
      </c>
      <c r="N197" s="2" t="s">
        <v>36</v>
      </c>
      <c r="O197" s="2" t="s">
        <v>1121</v>
      </c>
      <c r="P197" s="2" t="s">
        <v>36</v>
      </c>
      <c r="Q197" s="2" t="s">
        <v>1122</v>
      </c>
      <c r="R197" s="2">
        <v>15457</v>
      </c>
      <c r="S197" s="2" t="s">
        <v>37</v>
      </c>
      <c r="T197" s="2" t="s">
        <v>37</v>
      </c>
      <c r="U197" s="2" t="s">
        <v>76</v>
      </c>
      <c r="V197" s="3">
        <v>45779</v>
      </c>
      <c r="W197" s="2" t="s">
        <v>39</v>
      </c>
      <c r="X197" s="2" t="str">
        <f t="shared" si="12"/>
        <v>Asociacion Casa Huerta 1Ro De Mayo , Jicarmarca An Asociacion 1Ro De Mayo, Lurigancho, Lima, Lima, Perú</v>
      </c>
      <c r="Y197" s="22">
        <v>-12.027283199999999</v>
      </c>
      <c r="Z197" s="22">
        <v>-76.903883300000004</v>
      </c>
      <c r="AA197" s="33">
        <f t="shared" si="13"/>
        <v>3.33</v>
      </c>
      <c r="AB197" s="2" t="str">
        <f t="shared" si="14"/>
        <v>🟢 Muy Cerca (0-5 km)</v>
      </c>
      <c r="AC197" s="2" t="str" cm="1">
        <f t="array" ref="AC197">INDEX(PARADEROS_VALIDOS!$C$2:$C$68,MATCH(MIN(6371*ACOS(COS(RADIANS(Y197))*COS(RADIANS(PARADEROS_VALIDOS!$E$2:$E$68))*COS(RADIANS(PARADEROS_VALIDOS!$F$2:$F$68)-RADIANS(Z197))+SIN(RADIANS(Y197))*SIN(RADIANS(PARADEROS_VALIDOS!$E$2:$E$68)))),6371*ACOS(COS(RADIANS(Y197))*COS(RADIANS(PARADEROS_VALIDOS!$E$2:$E$68))*COS(RADIANS(PARADEROS_VALIDOS!$F$2:$F$68)-RADIANS(Z197))+SIN(RADIANS(Y197))*SIN(RADIANS(PARADEROS_VALIDOS!$E$2:$E$68))),0))</f>
        <v>Paradero Esperanza</v>
      </c>
      <c r="AD197" s="2" t="str">
        <f>IFERROR(INDEX(PARADEROS_VALIDOS!$A$2:$A$68,MATCH(AC197,PARADEROS_VALIDOS!$C$2:$C$68,0)),"")</f>
        <v>RUTA 4B</v>
      </c>
      <c r="AE197" s="33" cm="1">
        <f t="array" ref="AE197">ROUND(MIN(6371*ACOS(COS(RADIANS(Y197))*COS(RADIANS(PARADEROS_VALIDOS!$E$2:$E$68))*COS(RADIANS(PARADEROS_VALIDOS!$F$2:$F$68)-RADIANS(Z197))+SIN(RADIANS(Y197))*SIN(RADIANS(PARADEROS_VALIDOS!$E$2:$E$68)))),2)</f>
        <v>0.69</v>
      </c>
      <c r="AF197" s="2" t="str">
        <f t="shared" si="15"/>
        <v>🟢 Muy Cerca (0-1 km)</v>
      </c>
      <c r="AG197" s="2"/>
      <c r="AH197" s="2"/>
      <c r="AI197" s="51">
        <v>-11.997563</v>
      </c>
      <c r="AJ197" s="51">
        <v>-76.900062000000005</v>
      </c>
      <c r="AK197" s="2" t="str">
        <f>IFERROR(VLOOKUP(I197,tdcargo[],2,FALSE),"DESCONOCIDO")</f>
        <v>OPERARIO</v>
      </c>
    </row>
    <row r="198" spans="1:37" x14ac:dyDescent="0.35">
      <c r="A198" s="2" t="s">
        <v>1123</v>
      </c>
      <c r="B198" s="2" t="s">
        <v>1124</v>
      </c>
      <c r="C198" s="2" t="s">
        <v>1125</v>
      </c>
      <c r="D198" s="2" t="s">
        <v>364</v>
      </c>
      <c r="E198" s="2">
        <v>21</v>
      </c>
      <c r="F198" s="2" t="s">
        <v>28</v>
      </c>
      <c r="G198" s="2" t="s">
        <v>29</v>
      </c>
      <c r="H198" s="2">
        <v>20510609</v>
      </c>
      <c r="I198" s="2" t="s">
        <v>62</v>
      </c>
      <c r="J198" s="3">
        <v>45442</v>
      </c>
      <c r="K198" s="2" t="s">
        <v>31</v>
      </c>
      <c r="L198" s="2" t="s">
        <v>32</v>
      </c>
      <c r="M198" s="2" t="s">
        <v>33</v>
      </c>
      <c r="N198" s="2" t="s">
        <v>36</v>
      </c>
      <c r="O198" s="2" t="s">
        <v>46</v>
      </c>
      <c r="P198" s="2" t="s">
        <v>36</v>
      </c>
      <c r="Q198" s="2" t="s">
        <v>505</v>
      </c>
      <c r="R198" s="2">
        <v>15001</v>
      </c>
      <c r="S198" s="2" t="s">
        <v>37</v>
      </c>
      <c r="T198" s="2" t="s">
        <v>37</v>
      </c>
      <c r="U198" s="2" t="s">
        <v>37</v>
      </c>
      <c r="V198" s="3">
        <v>45442</v>
      </c>
      <c r="W198" s="2" t="s">
        <v>48</v>
      </c>
      <c r="X198" s="2" t="str">
        <f t="shared" si="12"/>
        <v>Nd Paraiso De Cajamarquilla, Lima, Lima, Lima, Perú</v>
      </c>
      <c r="Y198" s="22">
        <v>-11.978393499999999</v>
      </c>
      <c r="Z198" s="22">
        <v>-76.908844299999998</v>
      </c>
      <c r="AA198" s="33">
        <f t="shared" si="13"/>
        <v>2.34</v>
      </c>
      <c r="AB198" s="2" t="str">
        <f t="shared" si="14"/>
        <v>🟢 Muy Cerca (0-5 km)</v>
      </c>
      <c r="AC198" s="2" t="str" cm="1">
        <f t="array" ref="AC198">INDEX(PARADEROS_VALIDOS!$C$2:$C$68,MATCH(MIN(6371*ACOS(COS(RADIANS(Y198))*COS(RADIANS(PARADEROS_VALIDOS!$E$2:$E$68))*COS(RADIANS(PARADEROS_VALIDOS!$F$2:$F$68)-RADIANS(Z198))+SIN(RADIANS(Y198))*SIN(RADIANS(PARADEROS_VALIDOS!$E$2:$E$68)))),6371*ACOS(COS(RADIANS(Y198))*COS(RADIANS(PARADEROS_VALIDOS!$E$2:$E$68))*COS(RADIANS(PARADEROS_VALIDOS!$F$2:$F$68)-RADIANS(Z198))+SIN(RADIANS(Y198))*SIN(RADIANS(PARADEROS_VALIDOS!$E$2:$E$68))),0))</f>
        <v>Paradero Arco San Antonio</v>
      </c>
      <c r="AD198" s="2" t="str">
        <f>IFERROR(INDEX(PARADEROS_VALIDOS!$A$2:$A$68,MATCH(AC198,PARADEROS_VALIDOS!$C$2:$C$68,0)),"")</f>
        <v>RUTA 2</v>
      </c>
      <c r="AE198" s="33" cm="1">
        <f t="array" ref="AE198">ROUND(MIN(6371*ACOS(COS(RADIANS(Y198))*COS(RADIANS(PARADEROS_VALIDOS!$E$2:$E$68))*COS(RADIANS(PARADEROS_VALIDOS!$F$2:$F$68)-RADIANS(Z198))+SIN(RADIANS(Y198))*SIN(RADIANS(PARADEROS_VALIDOS!$E$2:$E$68)))),2)</f>
        <v>1.79</v>
      </c>
      <c r="AF198" s="2" t="str">
        <f t="shared" si="15"/>
        <v>🟡 Cerca (1-3 km)</v>
      </c>
      <c r="AG198" s="2"/>
      <c r="AH198" s="2"/>
      <c r="AI198" s="51">
        <v>-11.997563</v>
      </c>
      <c r="AJ198" s="51">
        <v>-76.900062000000005</v>
      </c>
      <c r="AK198" s="2" t="str">
        <f>IFERROR(VLOOKUP(I198,tdcargo[],2,FALSE),"DESCONOCIDO")</f>
        <v>OPERARIO</v>
      </c>
    </row>
    <row r="199" spans="1:37" x14ac:dyDescent="0.35">
      <c r="A199" s="2" t="s">
        <v>1126</v>
      </c>
      <c r="B199" s="2" t="s">
        <v>1127</v>
      </c>
      <c r="C199" s="2" t="s">
        <v>1128</v>
      </c>
      <c r="D199" s="2" t="s">
        <v>1129</v>
      </c>
      <c r="E199" s="2">
        <v>24</v>
      </c>
      <c r="F199" s="2" t="s">
        <v>28</v>
      </c>
      <c r="G199" s="2" t="s">
        <v>29</v>
      </c>
      <c r="H199" s="2">
        <v>20508850</v>
      </c>
      <c r="I199" s="2" t="s">
        <v>30</v>
      </c>
      <c r="J199" s="3">
        <v>46097</v>
      </c>
      <c r="K199" s="2" t="s">
        <v>31</v>
      </c>
      <c r="L199" s="2" t="s">
        <v>108</v>
      </c>
      <c r="M199" s="2" t="s">
        <v>109</v>
      </c>
      <c r="N199" s="2" t="s">
        <v>36</v>
      </c>
      <c r="O199" s="2" t="s">
        <v>1130</v>
      </c>
      <c r="P199" s="2" t="s">
        <v>36</v>
      </c>
      <c r="Q199" s="2" t="s">
        <v>1131</v>
      </c>
      <c r="R199" s="2">
        <v>15457</v>
      </c>
      <c r="S199" s="2" t="s">
        <v>37</v>
      </c>
      <c r="T199" s="2" t="s">
        <v>37</v>
      </c>
      <c r="U199" s="2" t="s">
        <v>76</v>
      </c>
      <c r="V199" s="3">
        <v>46097</v>
      </c>
      <c r="W199" s="2" t="s">
        <v>135</v>
      </c>
      <c r="X199" s="2" t="str">
        <f t="shared" si="12"/>
        <v>Oswaldo Burga Saldañ CANTUTA, Lurigancho, Lima, Lima, Perú</v>
      </c>
      <c r="Y199" s="22">
        <v>-12.009696699999999</v>
      </c>
      <c r="Z199" s="22">
        <v>-76.905361299999996</v>
      </c>
      <c r="AA199" s="33">
        <f t="shared" si="13"/>
        <v>1.47</v>
      </c>
      <c r="AB199" s="2" t="str">
        <f t="shared" si="14"/>
        <v>🟢 Muy Cerca (0-5 km)</v>
      </c>
      <c r="AC199" s="2" t="str" cm="1">
        <f t="array" ref="AC199">INDEX(PARADEROS_VALIDOS!$C$2:$C$68,MATCH(MIN(6371*ACOS(COS(RADIANS(Y199))*COS(RADIANS(PARADEROS_VALIDOS!$E$2:$E$68))*COS(RADIANS(PARADEROS_VALIDOS!$F$2:$F$68)-RADIANS(Z199))+SIN(RADIANS(Y199))*SIN(RADIANS(PARADEROS_VALIDOS!$E$2:$E$68)))),6371*ACOS(COS(RADIANS(Y199))*COS(RADIANS(PARADEROS_VALIDOS!$E$2:$E$68))*COS(RADIANS(PARADEROS_VALIDOS!$F$2:$F$68)-RADIANS(Z199))+SIN(RADIANS(Y199))*SIN(RADIANS(PARADEROS_VALIDOS!$E$2:$E$68))),0))</f>
        <v>Tottus Huachipa</v>
      </c>
      <c r="AD199" s="2" t="str">
        <f>IFERROR(INDEX(PARADEROS_VALIDOS!$A$2:$A$68,MATCH(AC199,PARADEROS_VALIDOS!$C$2:$C$68,0)),"")</f>
        <v>RUTA 1</v>
      </c>
      <c r="AE199" s="33" cm="1">
        <f t="array" ref="AE199">ROUND(MIN(6371*ACOS(COS(RADIANS(Y199))*COS(RADIANS(PARADEROS_VALIDOS!$E$2:$E$68))*COS(RADIANS(PARADEROS_VALIDOS!$F$2:$F$68)-RADIANS(Z199))+SIN(RADIANS(Y199))*SIN(RADIANS(PARADEROS_VALIDOS!$E$2:$E$68)))),2)</f>
        <v>1.18</v>
      </c>
      <c r="AF199" s="2" t="str">
        <f t="shared" si="15"/>
        <v>🟡 Cerca (1-3 km)</v>
      </c>
      <c r="AG199" s="2"/>
      <c r="AH199" s="2"/>
      <c r="AI199" s="51">
        <v>-11.997563</v>
      </c>
      <c r="AJ199" s="51">
        <v>-76.900062000000005</v>
      </c>
      <c r="AK199" s="2" t="str">
        <f>IFERROR(VLOOKUP(I199,tdcargo[],2,FALSE),"DESCONOCIDO")</f>
        <v>OPERARIO</v>
      </c>
    </row>
    <row r="200" spans="1:37" x14ac:dyDescent="0.35">
      <c r="A200" s="2" t="s">
        <v>1132</v>
      </c>
      <c r="B200" s="2" t="s">
        <v>1133</v>
      </c>
      <c r="C200" s="2" t="s">
        <v>1134</v>
      </c>
      <c r="D200" s="2" t="s">
        <v>26</v>
      </c>
      <c r="E200" s="2">
        <v>27</v>
      </c>
      <c r="F200" s="2" t="s">
        <v>28</v>
      </c>
      <c r="G200" s="2" t="s">
        <v>29</v>
      </c>
      <c r="H200" s="2">
        <v>20513989</v>
      </c>
      <c r="I200" s="2" t="s">
        <v>30</v>
      </c>
      <c r="J200" s="3">
        <v>45870</v>
      </c>
      <c r="K200" s="2" t="s">
        <v>31</v>
      </c>
      <c r="L200" s="2" t="s">
        <v>32</v>
      </c>
      <c r="M200" s="2" t="s">
        <v>33</v>
      </c>
      <c r="N200" s="2" t="s">
        <v>34</v>
      </c>
      <c r="O200" s="2" t="s">
        <v>1135</v>
      </c>
      <c r="P200" s="2" t="s">
        <v>36</v>
      </c>
      <c r="Q200" s="2" t="s">
        <v>1012</v>
      </c>
      <c r="R200" s="2">
        <v>15510</v>
      </c>
      <c r="S200" s="2" t="s">
        <v>37</v>
      </c>
      <c r="T200" s="2" t="s">
        <v>195</v>
      </c>
      <c r="U200" s="2" t="s">
        <v>196</v>
      </c>
      <c r="V200" s="3">
        <v>45870</v>
      </c>
      <c r="W200" s="2" t="s">
        <v>39</v>
      </c>
      <c r="X200" s="2" t="str">
        <f t="shared" si="12"/>
        <v>Avenida 16 De Mayo Basilio Auqui, San Antonio, Huarochiri, Lima, Perú</v>
      </c>
      <c r="Y200" s="22">
        <v>-11.993431599999999</v>
      </c>
      <c r="Z200" s="22">
        <v>-76.951778399999995</v>
      </c>
      <c r="AA200" s="33">
        <f t="shared" si="13"/>
        <v>5.64</v>
      </c>
      <c r="AB200" s="2" t="str">
        <f t="shared" si="14"/>
        <v>🟡 Cerca (5-10 km)</v>
      </c>
      <c r="AC200" s="2" t="str" cm="1">
        <f t="array" ref="AC200">INDEX(PARADEROS_VALIDOS!$C$2:$C$68,MATCH(MIN(6371*ACOS(COS(RADIANS(Y200))*COS(RADIANS(PARADEROS_VALIDOS!$E$2:$E$68))*COS(RADIANS(PARADEROS_VALIDOS!$F$2:$F$68)-RADIANS(Z200))+SIN(RADIANS(Y200))*SIN(RADIANS(PARADEROS_VALIDOS!$E$2:$E$68)))),6371*ACOS(COS(RADIANS(Y200))*COS(RADIANS(PARADEROS_VALIDOS!$E$2:$E$68))*COS(RADIANS(PARADEROS_VALIDOS!$F$2:$F$68)-RADIANS(Z200))+SIN(RADIANS(Y200))*SIN(RADIANS(PARADEROS_VALIDOS!$E$2:$E$68))),0))</f>
        <v>Paradero Saracoto</v>
      </c>
      <c r="AD200" s="2" t="str">
        <f>IFERROR(INDEX(PARADEROS_VALIDOS!$A$2:$A$68,MATCH(AC200,PARADEROS_VALIDOS!$C$2:$C$68,0)),"")</f>
        <v>RUTA 1</v>
      </c>
      <c r="AE200" s="33" cm="1">
        <f t="array" ref="AE200">ROUND(MIN(6371*ACOS(COS(RADIANS(Y200))*COS(RADIANS(PARADEROS_VALIDOS!$E$2:$E$68))*COS(RADIANS(PARADEROS_VALIDOS!$F$2:$F$68)-RADIANS(Z200))+SIN(RADIANS(Y200))*SIN(RADIANS(PARADEROS_VALIDOS!$E$2:$E$68)))),2)</f>
        <v>3.87</v>
      </c>
      <c r="AF200" s="2" t="str">
        <f t="shared" si="15"/>
        <v>🟠 Moderada (3-5 km)</v>
      </c>
      <c r="AG200" s="2"/>
      <c r="AH200" s="2"/>
      <c r="AI200" s="51">
        <v>-11.997563</v>
      </c>
      <c r="AJ200" s="51">
        <v>-76.900062000000005</v>
      </c>
      <c r="AK200" s="2" t="str">
        <f>IFERROR(VLOOKUP(I200,tdcargo[],2,FALSE),"DESCONOCIDO")</f>
        <v>OPERARIO</v>
      </c>
    </row>
    <row r="201" spans="1:37" x14ac:dyDescent="0.35">
      <c r="A201" s="2" t="s">
        <v>1136</v>
      </c>
      <c r="B201" s="2" t="s">
        <v>1137</v>
      </c>
      <c r="C201" s="2" t="s">
        <v>1138</v>
      </c>
      <c r="D201" s="2" t="s">
        <v>1139</v>
      </c>
      <c r="E201" s="2">
        <v>25</v>
      </c>
      <c r="F201" s="2" t="s">
        <v>28</v>
      </c>
      <c r="G201" s="2" t="s">
        <v>29</v>
      </c>
      <c r="H201" s="2">
        <v>20508820</v>
      </c>
      <c r="I201" s="2" t="s">
        <v>30</v>
      </c>
      <c r="J201" s="3">
        <v>45509</v>
      </c>
      <c r="K201" s="2" t="s">
        <v>31</v>
      </c>
      <c r="L201" s="2" t="s">
        <v>108</v>
      </c>
      <c r="M201" s="2" t="s">
        <v>109</v>
      </c>
      <c r="N201" s="2" t="s">
        <v>34</v>
      </c>
      <c r="O201" s="2" t="s">
        <v>658</v>
      </c>
      <c r="P201" s="2" t="s">
        <v>36</v>
      </c>
      <c r="Q201" s="2" t="s">
        <v>1140</v>
      </c>
      <c r="R201" s="2">
        <v>15004</v>
      </c>
      <c r="S201" s="2" t="s">
        <v>37</v>
      </c>
      <c r="T201" s="2" t="s">
        <v>37</v>
      </c>
      <c r="U201" s="2" t="s">
        <v>57</v>
      </c>
      <c r="V201" s="3">
        <v>45509</v>
      </c>
      <c r="W201" s="2" t="s">
        <v>48</v>
      </c>
      <c r="X201" s="2" t="str">
        <f t="shared" si="12"/>
        <v>Avenida Jose Carlos Mariategui San Antonio De Jicamarca, Ate, Lima, Lima, Perú</v>
      </c>
      <c r="Y201" s="22">
        <v>-12.025410600000001</v>
      </c>
      <c r="Z201" s="22">
        <v>-76.907185699999999</v>
      </c>
      <c r="AA201" s="33">
        <f t="shared" si="13"/>
        <v>3.19</v>
      </c>
      <c r="AB201" s="2" t="str">
        <f t="shared" si="14"/>
        <v>🟢 Muy Cerca (0-5 km)</v>
      </c>
      <c r="AC201" s="2" t="str" cm="1">
        <f t="array" ref="AC201">INDEX(PARADEROS_VALIDOS!$C$2:$C$68,MATCH(MIN(6371*ACOS(COS(RADIANS(Y201))*COS(RADIANS(PARADEROS_VALIDOS!$E$2:$E$68))*COS(RADIANS(PARADEROS_VALIDOS!$F$2:$F$68)-RADIANS(Z201))+SIN(RADIANS(Y201))*SIN(RADIANS(PARADEROS_VALIDOS!$E$2:$E$68)))),6371*ACOS(COS(RADIANS(Y201))*COS(RADIANS(PARADEROS_VALIDOS!$E$2:$E$68))*COS(RADIANS(PARADEROS_VALIDOS!$F$2:$F$68)-RADIANS(Z201))+SIN(RADIANS(Y201))*SIN(RADIANS(PARADEROS_VALIDOS!$E$2:$E$68))),0))</f>
        <v>Paradero Esperanza</v>
      </c>
      <c r="AD201" s="2" t="str">
        <f>IFERROR(INDEX(PARADEROS_VALIDOS!$A$2:$A$68,MATCH(AC201,PARADEROS_VALIDOS!$C$2:$C$68,0)),"")</f>
        <v>RUTA 4B</v>
      </c>
      <c r="AE201" s="33" cm="1">
        <f t="array" ref="AE201">ROUND(MIN(6371*ACOS(COS(RADIANS(Y201))*COS(RADIANS(PARADEROS_VALIDOS!$E$2:$E$68))*COS(RADIANS(PARADEROS_VALIDOS!$F$2:$F$68)-RADIANS(Z201))+SIN(RADIANS(Y201))*SIN(RADIANS(PARADEROS_VALIDOS!$E$2:$E$68)))),2)</f>
        <v>0.4</v>
      </c>
      <c r="AF201" s="2" t="str">
        <f t="shared" si="15"/>
        <v>🟢 Muy Cerca (0-1 km)</v>
      </c>
      <c r="AG201" s="2"/>
      <c r="AH201" s="2"/>
      <c r="AI201" s="51">
        <v>-11.997563</v>
      </c>
      <c r="AJ201" s="51">
        <v>-76.900062000000005</v>
      </c>
      <c r="AK201" s="2" t="str">
        <f>IFERROR(VLOOKUP(I201,tdcargo[],2,FALSE),"DESCONOCIDO")</f>
        <v>OPERARIO</v>
      </c>
    </row>
    <row r="202" spans="1:37" x14ac:dyDescent="0.35">
      <c r="A202" s="2" t="s">
        <v>1141</v>
      </c>
      <c r="B202" s="2" t="s">
        <v>1142</v>
      </c>
      <c r="C202" s="2" t="s">
        <v>682</v>
      </c>
      <c r="D202" s="2" t="s">
        <v>1143</v>
      </c>
      <c r="E202" s="2">
        <v>25</v>
      </c>
      <c r="F202" s="2" t="s">
        <v>28</v>
      </c>
      <c r="G202" s="2" t="s">
        <v>29</v>
      </c>
      <c r="H202" s="2">
        <v>20510597</v>
      </c>
      <c r="I202" s="2" t="s">
        <v>30</v>
      </c>
      <c r="J202" s="3">
        <v>45918</v>
      </c>
      <c r="K202" s="2" t="s">
        <v>31</v>
      </c>
      <c r="L202" s="2" t="s">
        <v>72</v>
      </c>
      <c r="M202" s="2" t="s">
        <v>73</v>
      </c>
      <c r="N202" s="2" t="s">
        <v>82</v>
      </c>
      <c r="O202" s="2" t="s">
        <v>1144</v>
      </c>
      <c r="P202" s="2" t="s">
        <v>36</v>
      </c>
      <c r="Q202" s="2" t="s">
        <v>166</v>
      </c>
      <c r="R202" s="2">
        <v>15457</v>
      </c>
      <c r="S202" s="2" t="s">
        <v>37</v>
      </c>
      <c r="T202" s="2" t="s">
        <v>37</v>
      </c>
      <c r="U202" s="2" t="s">
        <v>76</v>
      </c>
      <c r="V202" s="3">
        <v>45918</v>
      </c>
      <c r="W202" s="2" t="s">
        <v>39</v>
      </c>
      <c r="X202" s="2" t="str">
        <f t="shared" si="12"/>
        <v>Calle Sin Numero La Campiña, Lurigancho, Lima, Lima, Perú</v>
      </c>
      <c r="Y202" s="22">
        <v>-12.009696699999999</v>
      </c>
      <c r="Z202" s="22">
        <v>-76.905361299999996</v>
      </c>
      <c r="AA202" s="33">
        <f t="shared" si="13"/>
        <v>1.47</v>
      </c>
      <c r="AB202" s="2" t="str">
        <f t="shared" si="14"/>
        <v>🟢 Muy Cerca (0-5 km)</v>
      </c>
      <c r="AC202" s="2" t="str" cm="1">
        <f t="array" ref="AC202">INDEX(PARADEROS_VALIDOS!$C$2:$C$68,MATCH(MIN(6371*ACOS(COS(RADIANS(Y202))*COS(RADIANS(PARADEROS_VALIDOS!$E$2:$E$68))*COS(RADIANS(PARADEROS_VALIDOS!$F$2:$F$68)-RADIANS(Z202))+SIN(RADIANS(Y202))*SIN(RADIANS(PARADEROS_VALIDOS!$E$2:$E$68)))),6371*ACOS(COS(RADIANS(Y202))*COS(RADIANS(PARADEROS_VALIDOS!$E$2:$E$68))*COS(RADIANS(PARADEROS_VALIDOS!$F$2:$F$68)-RADIANS(Z202))+SIN(RADIANS(Y202))*SIN(RADIANS(PARADEROS_VALIDOS!$E$2:$E$68))),0))</f>
        <v>Tottus Huachipa</v>
      </c>
      <c r="AD202" s="2" t="str">
        <f>IFERROR(INDEX(PARADEROS_VALIDOS!$A$2:$A$68,MATCH(AC202,PARADEROS_VALIDOS!$C$2:$C$68,0)),"")</f>
        <v>RUTA 1</v>
      </c>
      <c r="AE202" s="33" cm="1">
        <f t="array" ref="AE202">ROUND(MIN(6371*ACOS(COS(RADIANS(Y202))*COS(RADIANS(PARADEROS_VALIDOS!$E$2:$E$68))*COS(RADIANS(PARADEROS_VALIDOS!$F$2:$F$68)-RADIANS(Z202))+SIN(RADIANS(Y202))*SIN(RADIANS(PARADEROS_VALIDOS!$E$2:$E$68)))),2)</f>
        <v>1.18</v>
      </c>
      <c r="AF202" s="2" t="str">
        <f t="shared" si="15"/>
        <v>🟡 Cerca (1-3 km)</v>
      </c>
      <c r="AG202" s="2"/>
      <c r="AH202" s="2"/>
      <c r="AI202" s="51">
        <v>-11.997563</v>
      </c>
      <c r="AJ202" s="51">
        <v>-76.900062000000005</v>
      </c>
      <c r="AK202" s="2" t="str">
        <f>IFERROR(VLOOKUP(I202,tdcargo[],2,FALSE),"DESCONOCIDO")</f>
        <v>OPERARIO</v>
      </c>
    </row>
    <row r="203" spans="1:37" x14ac:dyDescent="0.35">
      <c r="A203" s="2" t="s">
        <v>1145</v>
      </c>
      <c r="B203" s="2" t="s">
        <v>1146</v>
      </c>
      <c r="C203" s="2" t="s">
        <v>343</v>
      </c>
      <c r="D203" s="2" t="s">
        <v>1147</v>
      </c>
      <c r="E203" s="2">
        <v>25</v>
      </c>
      <c r="F203" s="2" t="s">
        <v>28</v>
      </c>
      <c r="G203" s="2" t="s">
        <v>29</v>
      </c>
      <c r="H203" s="2">
        <v>20515628</v>
      </c>
      <c r="I203" s="2" t="s">
        <v>62</v>
      </c>
      <c r="J203" s="3">
        <v>45463</v>
      </c>
      <c r="K203" s="2" t="s">
        <v>31</v>
      </c>
      <c r="L203" s="2" t="s">
        <v>132</v>
      </c>
      <c r="M203" s="2" t="s">
        <v>133</v>
      </c>
      <c r="N203" s="2" t="s">
        <v>82</v>
      </c>
      <c r="O203" s="2" t="s">
        <v>1148</v>
      </c>
      <c r="P203" s="2" t="s">
        <v>36</v>
      </c>
      <c r="Q203" s="2" t="s">
        <v>1149</v>
      </c>
      <c r="R203" s="2">
        <v>15457</v>
      </c>
      <c r="S203" s="2" t="s">
        <v>37</v>
      </c>
      <c r="T203" s="2" t="s">
        <v>37</v>
      </c>
      <c r="U203" s="2" t="s">
        <v>76</v>
      </c>
      <c r="V203" s="3">
        <v>45463</v>
      </c>
      <c r="W203" s="2" t="s">
        <v>48</v>
      </c>
      <c r="X203" s="2" t="str">
        <f t="shared" si="12"/>
        <v>Calle Los Cedros Campiã‘A, Lurigancho, Lima, Lima, Perú</v>
      </c>
      <c r="Y203" s="22">
        <v>-12.009696699999999</v>
      </c>
      <c r="Z203" s="22">
        <v>-76.905361299999996</v>
      </c>
      <c r="AA203" s="33">
        <f t="shared" si="13"/>
        <v>1.47</v>
      </c>
      <c r="AB203" s="2" t="str">
        <f t="shared" si="14"/>
        <v>🟢 Muy Cerca (0-5 km)</v>
      </c>
      <c r="AC203" s="2" t="str" cm="1">
        <f t="array" ref="AC203">INDEX(PARADEROS_VALIDOS!$C$2:$C$68,MATCH(MIN(6371*ACOS(COS(RADIANS(Y203))*COS(RADIANS(PARADEROS_VALIDOS!$E$2:$E$68))*COS(RADIANS(PARADEROS_VALIDOS!$F$2:$F$68)-RADIANS(Z203))+SIN(RADIANS(Y203))*SIN(RADIANS(PARADEROS_VALIDOS!$E$2:$E$68)))),6371*ACOS(COS(RADIANS(Y203))*COS(RADIANS(PARADEROS_VALIDOS!$E$2:$E$68))*COS(RADIANS(PARADEROS_VALIDOS!$F$2:$F$68)-RADIANS(Z203))+SIN(RADIANS(Y203))*SIN(RADIANS(PARADEROS_VALIDOS!$E$2:$E$68))),0))</f>
        <v>Tottus Huachipa</v>
      </c>
      <c r="AD203" s="2" t="str">
        <f>IFERROR(INDEX(PARADEROS_VALIDOS!$A$2:$A$68,MATCH(AC203,PARADEROS_VALIDOS!$C$2:$C$68,0)),"")</f>
        <v>RUTA 1</v>
      </c>
      <c r="AE203" s="33" cm="1">
        <f t="array" ref="AE203">ROUND(MIN(6371*ACOS(COS(RADIANS(Y203))*COS(RADIANS(PARADEROS_VALIDOS!$E$2:$E$68))*COS(RADIANS(PARADEROS_VALIDOS!$F$2:$F$68)-RADIANS(Z203))+SIN(RADIANS(Y203))*SIN(RADIANS(PARADEROS_VALIDOS!$E$2:$E$68)))),2)</f>
        <v>1.18</v>
      </c>
      <c r="AF203" s="2" t="str">
        <f t="shared" si="15"/>
        <v>🟡 Cerca (1-3 km)</v>
      </c>
      <c r="AG203" s="2"/>
      <c r="AH203" s="2"/>
      <c r="AI203" s="51">
        <v>-11.997563</v>
      </c>
      <c r="AJ203" s="51">
        <v>-76.900062000000005</v>
      </c>
      <c r="AK203" s="2" t="str">
        <f>IFERROR(VLOOKUP(I203,tdcargo[],2,FALSE),"DESCONOCIDO")</f>
        <v>OPERARIO</v>
      </c>
    </row>
    <row r="204" spans="1:37" x14ac:dyDescent="0.35">
      <c r="A204" s="2" t="s">
        <v>1150</v>
      </c>
      <c r="B204" s="2" t="s">
        <v>1151</v>
      </c>
      <c r="C204" s="2" t="s">
        <v>1152</v>
      </c>
      <c r="D204" s="2" t="s">
        <v>1153</v>
      </c>
      <c r="E204" s="2">
        <v>32</v>
      </c>
      <c r="F204" s="2" t="s">
        <v>28</v>
      </c>
      <c r="G204" s="2" t="s">
        <v>29</v>
      </c>
      <c r="H204" s="2">
        <v>20515641</v>
      </c>
      <c r="I204" s="2" t="s">
        <v>44</v>
      </c>
      <c r="J204" s="3">
        <v>43122</v>
      </c>
      <c r="K204" s="2" t="s">
        <v>31</v>
      </c>
      <c r="L204" s="2" t="s">
        <v>164</v>
      </c>
      <c r="M204" s="2" t="s">
        <v>165</v>
      </c>
      <c r="N204" s="2" t="s">
        <v>36</v>
      </c>
      <c r="O204" s="2" t="s">
        <v>1154</v>
      </c>
      <c r="P204" s="2" t="s">
        <v>88</v>
      </c>
      <c r="Q204" s="2" t="s">
        <v>1154</v>
      </c>
      <c r="R204" s="2">
        <v>15004</v>
      </c>
      <c r="S204" s="2" t="s">
        <v>37</v>
      </c>
      <c r="T204" s="2" t="s">
        <v>37</v>
      </c>
      <c r="U204" s="2" t="s">
        <v>57</v>
      </c>
      <c r="V204" s="3">
        <v>43122</v>
      </c>
      <c r="W204" s="2" t="s">
        <v>48</v>
      </c>
      <c r="X204" s="2" t="str">
        <f t="shared" si="12"/>
        <v>Amauta, A.H. Asentamiento Humano Amauta, Ate, Lima, Lima, Perú</v>
      </c>
      <c r="Y204" s="22">
        <v>-12.0435052</v>
      </c>
      <c r="Z204" s="22">
        <v>-76.904161299999998</v>
      </c>
      <c r="AA204" s="33">
        <f t="shared" si="13"/>
        <v>5.13</v>
      </c>
      <c r="AB204" s="2" t="str">
        <f t="shared" si="14"/>
        <v>🟡 Cerca (5-10 km)</v>
      </c>
      <c r="AC204" s="2" t="str" cm="1">
        <f t="array" ref="AC204">INDEX(PARADEROS_VALIDOS!$C$2:$C$68,MATCH(MIN(6371*ACOS(COS(RADIANS(Y204))*COS(RADIANS(PARADEROS_VALIDOS!$E$2:$E$68))*COS(RADIANS(PARADEROS_VALIDOS!$F$2:$F$68)-RADIANS(Z204))+SIN(RADIANS(Y204))*SIN(RADIANS(PARADEROS_VALIDOS!$E$2:$E$68)))),6371*ACOS(COS(RADIANS(Y204))*COS(RADIANS(PARADEROS_VALIDOS!$E$2:$E$68))*COS(RADIANS(PARADEROS_VALIDOS!$F$2:$F$68)-RADIANS(Z204))+SIN(RADIANS(Y204))*SIN(RADIANS(PARADEROS_VALIDOS!$E$2:$E$68))),0))</f>
        <v>Paradero Esperanza</v>
      </c>
      <c r="AD204" s="2" t="str">
        <f>IFERROR(INDEX(PARADEROS_VALIDOS!$A$2:$A$68,MATCH(AC204,PARADEROS_VALIDOS!$C$2:$C$68,0)),"")</f>
        <v>RUTA 4B</v>
      </c>
      <c r="AE204" s="33" cm="1">
        <f t="array" ref="AE204">ROUND(MIN(6371*ACOS(COS(RADIANS(Y204))*COS(RADIANS(PARADEROS_VALIDOS!$E$2:$E$68))*COS(RADIANS(PARADEROS_VALIDOS!$F$2:$F$68)-RADIANS(Z204))+SIN(RADIANS(Y204))*SIN(RADIANS(PARADEROS_VALIDOS!$E$2:$E$68)))),2)</f>
        <v>2.4300000000000002</v>
      </c>
      <c r="AF204" s="2" t="str">
        <f t="shared" si="15"/>
        <v>🟡 Cerca (1-3 km)</v>
      </c>
      <c r="AG204" s="2"/>
      <c r="AH204" s="2"/>
      <c r="AI204" s="51">
        <v>-11.997563</v>
      </c>
      <c r="AJ204" s="51">
        <v>-76.900062000000005</v>
      </c>
      <c r="AK204" s="2" t="str">
        <f>IFERROR(VLOOKUP(I204,tdcargo[],2,FALSE),"DESCONOCIDO")</f>
        <v>OPERARIO</v>
      </c>
    </row>
    <row r="205" spans="1:37" x14ac:dyDescent="0.35">
      <c r="A205" s="2" t="s">
        <v>1155</v>
      </c>
      <c r="B205" s="2" t="s">
        <v>1156</v>
      </c>
      <c r="C205" s="2" t="s">
        <v>451</v>
      </c>
      <c r="D205" s="2" t="s">
        <v>1157</v>
      </c>
      <c r="E205" s="2">
        <v>27</v>
      </c>
      <c r="F205" s="2" t="s">
        <v>28</v>
      </c>
      <c r="G205" s="2" t="s">
        <v>29</v>
      </c>
      <c r="H205" s="2">
        <v>20513832</v>
      </c>
      <c r="I205" s="2" t="s">
        <v>30</v>
      </c>
      <c r="J205" s="3">
        <v>45901</v>
      </c>
      <c r="K205" s="2" t="s">
        <v>31</v>
      </c>
      <c r="L205" s="2" t="s">
        <v>32</v>
      </c>
      <c r="M205" s="2" t="s">
        <v>33</v>
      </c>
      <c r="N205" s="2" t="s">
        <v>82</v>
      </c>
      <c r="O205" s="2" t="s">
        <v>1158</v>
      </c>
      <c r="P205" s="2" t="s">
        <v>36</v>
      </c>
      <c r="Q205" s="2" t="s">
        <v>1159</v>
      </c>
      <c r="R205" s="2">
        <v>15004</v>
      </c>
      <c r="S205" s="2" t="s">
        <v>37</v>
      </c>
      <c r="T205" s="2" t="s">
        <v>37</v>
      </c>
      <c r="U205" s="2" t="s">
        <v>57</v>
      </c>
      <c r="V205" s="3">
        <v>45901</v>
      </c>
      <c r="W205" s="2" t="s">
        <v>39</v>
      </c>
      <c r="X205" s="2" t="str">
        <f t="shared" si="12"/>
        <v>Calle Calle Centauro Urb .Sol De Vitarte, Ate, Lima, Lima, Perú</v>
      </c>
      <c r="Y205" s="22">
        <v>-12.034845300000001</v>
      </c>
      <c r="Z205" s="22">
        <v>-76.936253500000007</v>
      </c>
      <c r="AA205" s="33">
        <f t="shared" si="13"/>
        <v>5.72</v>
      </c>
      <c r="AB205" s="2" t="str">
        <f t="shared" si="14"/>
        <v>🟡 Cerca (5-10 km)</v>
      </c>
      <c r="AC205" s="2" t="str" cm="1">
        <f t="array" ref="AC205">INDEX(PARADEROS_VALIDOS!$C$2:$C$68,MATCH(MIN(6371*ACOS(COS(RADIANS(Y205))*COS(RADIANS(PARADEROS_VALIDOS!$E$2:$E$68))*COS(RADIANS(PARADEROS_VALIDOS!$F$2:$F$68)-RADIANS(Z205))+SIN(RADIANS(Y205))*SIN(RADIANS(PARADEROS_VALIDOS!$E$2:$E$68)))),6371*ACOS(COS(RADIANS(Y205))*COS(RADIANS(PARADEROS_VALIDOS!$E$2:$E$68))*COS(RADIANS(PARADEROS_VALIDOS!$F$2:$F$68)-RADIANS(Z205))+SIN(RADIANS(Y205))*SIN(RADIANS(PARADEROS_VALIDOS!$E$2:$E$68))),0))</f>
        <v>Real Plaza Puruchuco (Grifo Primax)</v>
      </c>
      <c r="AD205" s="2" t="str">
        <f>IFERROR(INDEX(PARADEROS_VALIDOS!$A$2:$A$68,MATCH(AC205,PARADEROS_VALIDOS!$C$2:$C$68,0)),"")</f>
        <v>RUTA 4A</v>
      </c>
      <c r="AE205" s="33" cm="1">
        <f t="array" ref="AE205">ROUND(MIN(6371*ACOS(COS(RADIANS(Y205))*COS(RADIANS(PARADEROS_VALIDOS!$E$2:$E$68))*COS(RADIANS(PARADEROS_VALIDOS!$F$2:$F$68)-RADIANS(Z205))+SIN(RADIANS(Y205))*SIN(RADIANS(PARADEROS_VALIDOS!$E$2:$E$68)))),2)</f>
        <v>0.86</v>
      </c>
      <c r="AF205" s="2" t="str">
        <f t="shared" si="15"/>
        <v>🟢 Muy Cerca (0-1 km)</v>
      </c>
      <c r="AG205" s="2"/>
      <c r="AH205" s="2"/>
      <c r="AI205" s="51">
        <v>-11.997563</v>
      </c>
      <c r="AJ205" s="51">
        <v>-76.900062000000005</v>
      </c>
      <c r="AK205" s="2" t="str">
        <f>IFERROR(VLOOKUP(I205,tdcargo[],2,FALSE),"DESCONOCIDO")</f>
        <v>OPERARIO</v>
      </c>
    </row>
    <row r="206" spans="1:37" x14ac:dyDescent="0.35">
      <c r="A206" s="2" t="s">
        <v>1160</v>
      </c>
      <c r="B206" s="2" t="s">
        <v>1161</v>
      </c>
      <c r="C206" s="2" t="s">
        <v>1162</v>
      </c>
      <c r="D206" s="2" t="s">
        <v>1163</v>
      </c>
      <c r="E206" s="2">
        <v>21</v>
      </c>
      <c r="F206" s="2" t="s">
        <v>28</v>
      </c>
      <c r="G206" s="2" t="s">
        <v>29</v>
      </c>
      <c r="H206" s="2">
        <v>20508951</v>
      </c>
      <c r="I206" s="2" t="s">
        <v>30</v>
      </c>
      <c r="J206" s="3">
        <v>46055</v>
      </c>
      <c r="K206" s="2" t="s">
        <v>31</v>
      </c>
      <c r="L206" s="2" t="s">
        <v>132</v>
      </c>
      <c r="M206" s="2" t="s">
        <v>133</v>
      </c>
      <c r="N206" s="2" t="s">
        <v>36</v>
      </c>
      <c r="O206" s="2" t="s">
        <v>1164</v>
      </c>
      <c r="P206" s="2" t="s">
        <v>88</v>
      </c>
      <c r="Q206" s="2" t="s">
        <v>1165</v>
      </c>
      <c r="R206" s="2">
        <v>15457</v>
      </c>
      <c r="S206" s="2" t="s">
        <v>37</v>
      </c>
      <c r="T206" s="2" t="s">
        <v>37</v>
      </c>
      <c r="U206" s="2" t="s">
        <v>76</v>
      </c>
      <c r="V206" s="3">
        <v>46055</v>
      </c>
      <c r="W206" s="2" t="s">
        <v>135</v>
      </c>
      <c r="X206" s="2" t="str">
        <f t="shared" si="12"/>
        <v>Aa.Hh Casa Huerta, A.H. Asentamiento Humano ETAPA A MZ K LT 7, Lurigancho, Lima, Lima, Perú</v>
      </c>
      <c r="Y206" s="22">
        <v>-12.0984471</v>
      </c>
      <c r="Z206" s="22">
        <v>-76.962494800000002</v>
      </c>
      <c r="AA206" s="33">
        <f t="shared" si="13"/>
        <v>13.11</v>
      </c>
      <c r="AB206" s="2" t="str">
        <f t="shared" si="14"/>
        <v>🟠 Moderada (10-20 km)</v>
      </c>
      <c r="AC206" s="2" t="str" cm="1">
        <f t="array" ref="AC206">INDEX(PARADEROS_VALIDOS!$C$2:$C$68,MATCH(MIN(6371*ACOS(COS(RADIANS(Y206))*COS(RADIANS(PARADEROS_VALIDOS!$E$2:$E$68))*COS(RADIANS(PARADEROS_VALIDOS!$F$2:$F$68)-RADIANS(Z206))+SIN(RADIANS(Y206))*SIN(RADIANS(PARADEROS_VALIDOS!$E$2:$E$68)))),6371*ACOS(COS(RADIANS(Y206))*COS(RADIANS(PARADEROS_VALIDOS!$E$2:$E$68))*COS(RADIANS(PARADEROS_VALIDOS!$F$2:$F$68)-RADIANS(Z206))+SIN(RADIANS(Y206))*SIN(RADIANS(PARADEROS_VALIDOS!$E$2:$E$68))),0))</f>
        <v>Paradero Pte. Peatonal Primavera</v>
      </c>
      <c r="AD206" s="2" t="str">
        <f>IFERROR(INDEX(PARADEROS_VALIDOS!$A$2:$A$68,MATCH(AC206,PARADEROS_VALIDOS!$C$2:$C$68,0)),"")</f>
        <v>RUTA 8</v>
      </c>
      <c r="AE206" s="33" cm="1">
        <f t="array" ref="AE206">ROUND(MIN(6371*ACOS(COS(RADIANS(Y206))*COS(RADIANS(PARADEROS_VALIDOS!$E$2:$E$68))*COS(RADIANS(PARADEROS_VALIDOS!$F$2:$F$68)-RADIANS(Z206))+SIN(RADIANS(Y206))*SIN(RADIANS(PARADEROS_VALIDOS!$E$2:$E$68)))),2)</f>
        <v>2.17</v>
      </c>
      <c r="AF206" s="2" t="str">
        <f t="shared" si="15"/>
        <v>🟡 Cerca (1-3 km)</v>
      </c>
      <c r="AG206" s="2"/>
      <c r="AH206" s="2"/>
      <c r="AI206" s="51">
        <v>-11.997563</v>
      </c>
      <c r="AJ206" s="51">
        <v>-76.900062000000005</v>
      </c>
      <c r="AK206" s="2" t="str">
        <f>IFERROR(VLOOKUP(I206,tdcargo[],2,FALSE),"DESCONOCIDO")</f>
        <v>OPERARIO</v>
      </c>
    </row>
    <row r="207" spans="1:37" x14ac:dyDescent="0.35">
      <c r="A207" s="2" t="s">
        <v>1166</v>
      </c>
      <c r="B207" s="2" t="s">
        <v>1167</v>
      </c>
      <c r="C207" s="2" t="s">
        <v>1168</v>
      </c>
      <c r="D207" s="2" t="s">
        <v>364</v>
      </c>
      <c r="E207" s="2">
        <v>25</v>
      </c>
      <c r="F207" s="2" t="s">
        <v>28</v>
      </c>
      <c r="G207" s="2" t="s">
        <v>29</v>
      </c>
      <c r="H207" s="2">
        <v>20508858</v>
      </c>
      <c r="I207" s="2" t="s">
        <v>30</v>
      </c>
      <c r="J207" s="3">
        <v>46055</v>
      </c>
      <c r="K207" s="2" t="s">
        <v>31</v>
      </c>
      <c r="L207" s="2" t="s">
        <v>108</v>
      </c>
      <c r="M207" s="2" t="s">
        <v>109</v>
      </c>
      <c r="N207" s="2" t="s">
        <v>82</v>
      </c>
      <c r="O207" s="2" t="s">
        <v>1169</v>
      </c>
      <c r="P207" s="2" t="s">
        <v>186</v>
      </c>
      <c r="Q207" s="2" t="s">
        <v>1170</v>
      </c>
      <c r="R207" s="2">
        <v>15457</v>
      </c>
      <c r="S207" s="2" t="s">
        <v>37</v>
      </c>
      <c r="T207" s="2" t="s">
        <v>37</v>
      </c>
      <c r="U207" s="2" t="s">
        <v>76</v>
      </c>
      <c r="V207" s="3">
        <v>46055</v>
      </c>
      <c r="W207" s="2" t="s">
        <v>135</v>
      </c>
      <c r="X207" s="2" t="str">
        <f t="shared" si="12"/>
        <v>Calle Brillantes Capitana, Urb. Urbanización CAPITANA, Lurigancho, Lima, Lima, Perú</v>
      </c>
      <c r="Y207" s="22">
        <v>-12.002741200000001</v>
      </c>
      <c r="Z207" s="22">
        <v>-76.910712700000005</v>
      </c>
      <c r="AA207" s="33">
        <f t="shared" si="13"/>
        <v>1.29</v>
      </c>
      <c r="AB207" s="2" t="str">
        <f t="shared" si="14"/>
        <v>🟢 Muy Cerca (0-5 km)</v>
      </c>
      <c r="AC207" s="2" t="str" cm="1">
        <f t="array" ref="AC207">INDEX(PARADEROS_VALIDOS!$C$2:$C$68,MATCH(MIN(6371*ACOS(COS(RADIANS(Y207))*COS(RADIANS(PARADEROS_VALIDOS!$E$2:$E$68))*COS(RADIANS(PARADEROS_VALIDOS!$F$2:$F$68)-RADIANS(Z207))+SIN(RADIANS(Y207))*SIN(RADIANS(PARADEROS_VALIDOS!$E$2:$E$68)))),6371*ACOS(COS(RADIANS(Y207))*COS(RADIANS(PARADEROS_VALIDOS!$E$2:$E$68))*COS(RADIANS(PARADEROS_VALIDOS!$F$2:$F$68)-RADIANS(Z207))+SIN(RADIANS(Y207))*SIN(RADIANS(PARADEROS_VALIDOS!$E$2:$E$68))),0))</f>
        <v>Tottus Huachipa</v>
      </c>
      <c r="AD207" s="2" t="str">
        <f>IFERROR(INDEX(PARADEROS_VALIDOS!$A$2:$A$68,MATCH(AC207,PARADEROS_VALIDOS!$C$2:$C$68,0)),"")</f>
        <v>RUTA 1</v>
      </c>
      <c r="AE207" s="33" cm="1">
        <f t="array" ref="AE207">ROUND(MIN(6371*ACOS(COS(RADIANS(Y207))*COS(RADIANS(PARADEROS_VALIDOS!$E$2:$E$68))*COS(RADIANS(PARADEROS_VALIDOS!$F$2:$F$68)-RADIANS(Z207))+SIN(RADIANS(Y207))*SIN(RADIANS(PARADEROS_VALIDOS!$E$2:$E$68)))),2)</f>
        <v>1.1499999999999999</v>
      </c>
      <c r="AF207" s="2" t="str">
        <f t="shared" si="15"/>
        <v>🟡 Cerca (1-3 km)</v>
      </c>
      <c r="AG207" s="2"/>
      <c r="AH207" s="2"/>
      <c r="AI207" s="51">
        <v>-11.997563</v>
      </c>
      <c r="AJ207" s="51">
        <v>-76.900062000000005</v>
      </c>
      <c r="AK207" s="2" t="str">
        <f>IFERROR(VLOOKUP(I207,tdcargo[],2,FALSE),"DESCONOCIDO")</f>
        <v>OPERARIO</v>
      </c>
    </row>
    <row r="208" spans="1:37" x14ac:dyDescent="0.35">
      <c r="A208" s="2" t="s">
        <v>1171</v>
      </c>
      <c r="B208" s="2" t="s">
        <v>1172</v>
      </c>
      <c r="C208" s="2" t="s">
        <v>80</v>
      </c>
      <c r="D208" s="2" t="s">
        <v>1173</v>
      </c>
      <c r="E208" s="2">
        <v>27</v>
      </c>
      <c r="F208" s="2" t="s">
        <v>28</v>
      </c>
      <c r="G208" s="2" t="s">
        <v>29</v>
      </c>
      <c r="H208" s="2">
        <v>20508911</v>
      </c>
      <c r="I208" s="2" t="s">
        <v>30</v>
      </c>
      <c r="J208" s="3">
        <v>45190</v>
      </c>
      <c r="K208" s="2" t="s">
        <v>31</v>
      </c>
      <c r="L208" s="2" t="s">
        <v>132</v>
      </c>
      <c r="M208" s="2" t="s">
        <v>133</v>
      </c>
      <c r="N208" s="2" t="s">
        <v>34</v>
      </c>
      <c r="O208" s="2" t="s">
        <v>1174</v>
      </c>
      <c r="P208" s="2" t="s">
        <v>36</v>
      </c>
      <c r="Q208" s="2" t="s">
        <v>1149</v>
      </c>
      <c r="R208" s="2">
        <v>15457</v>
      </c>
      <c r="S208" s="2" t="s">
        <v>37</v>
      </c>
      <c r="T208" s="2" t="s">
        <v>37</v>
      </c>
      <c r="U208" s="2" t="s">
        <v>76</v>
      </c>
      <c r="V208" s="3">
        <v>45190</v>
      </c>
      <c r="W208" s="2" t="s">
        <v>48</v>
      </c>
      <c r="X208" s="2" t="str">
        <f t="shared" si="12"/>
        <v>Avenida Casa Huerta La Campiã‘A Lurigancho Chosica Campiã‘A, Lurigancho, Lima, Lima, Perú</v>
      </c>
      <c r="Y208" s="22">
        <v>-11.928603499999999</v>
      </c>
      <c r="Z208" s="22">
        <v>-76.683861399999998</v>
      </c>
      <c r="AA208" s="33">
        <f t="shared" si="13"/>
        <v>24.74</v>
      </c>
      <c r="AB208" s="2" t="str">
        <f t="shared" si="14"/>
        <v>🔴 Lejos (&gt;20 km)</v>
      </c>
      <c r="AC208" s="2" t="str" cm="1">
        <f t="array" ref="AC208">INDEX(PARADEROS_VALIDOS!$C$2:$C$68,MATCH(MIN(6371*ACOS(COS(RADIANS(Y208))*COS(RADIANS(PARADEROS_VALIDOS!$E$2:$E$68))*COS(RADIANS(PARADEROS_VALIDOS!$F$2:$F$68)-RADIANS(Z208))+SIN(RADIANS(Y208))*SIN(RADIANS(PARADEROS_VALIDOS!$E$2:$E$68)))),6371*ACOS(COS(RADIANS(Y208))*COS(RADIANS(PARADEROS_VALIDOS!$E$2:$E$68))*COS(RADIANS(PARADEROS_VALIDOS!$F$2:$F$68)-RADIANS(Z208))+SIN(RADIANS(Y208))*SIN(RADIANS(PARADEROS_VALIDOS!$E$2:$E$68))),0))</f>
        <v>Paradero Girasoles - Chaclacayo</v>
      </c>
      <c r="AD208" s="2" t="str">
        <f>IFERROR(INDEX(PARADEROS_VALIDOS!$A$2:$A$68,MATCH(AC208,PARADEROS_VALIDOS!$C$2:$C$68,0)),"")</f>
        <v>RUTA 5A</v>
      </c>
      <c r="AE208" s="33" cm="1">
        <f t="array" ref="AE208">ROUND(MIN(6371*ACOS(COS(RADIANS(Y208))*COS(RADIANS(PARADEROS_VALIDOS!$E$2:$E$68))*COS(RADIANS(PARADEROS_VALIDOS!$F$2:$F$68)-RADIANS(Z208))+SIN(RADIANS(Y208))*SIN(RADIANS(PARADEROS_VALIDOS!$E$2:$E$68)))),2)</f>
        <v>11.01</v>
      </c>
      <c r="AF208" s="2" t="str">
        <f t="shared" si="15"/>
        <v>🔴 Lejos (&gt;5 km)</v>
      </c>
      <c r="AG208" s="2"/>
      <c r="AH208" s="2"/>
      <c r="AI208" s="51">
        <v>-11.997563</v>
      </c>
      <c r="AJ208" s="51">
        <v>-76.900062000000005</v>
      </c>
      <c r="AK208" s="2" t="str">
        <f>IFERROR(VLOOKUP(I208,tdcargo[],2,FALSE),"DESCONOCIDO")</f>
        <v>OPERARIO</v>
      </c>
    </row>
    <row r="209" spans="1:37" x14ac:dyDescent="0.35">
      <c r="A209" s="2" t="s">
        <v>1175</v>
      </c>
      <c r="B209" s="2" t="s">
        <v>1176</v>
      </c>
      <c r="C209" s="2" t="s">
        <v>1177</v>
      </c>
      <c r="D209" s="2" t="s">
        <v>42</v>
      </c>
      <c r="E209" s="2">
        <v>30</v>
      </c>
      <c r="F209" s="2" t="s">
        <v>28</v>
      </c>
      <c r="G209" s="2" t="s">
        <v>29</v>
      </c>
      <c r="H209" s="2">
        <v>20508950</v>
      </c>
      <c r="I209" s="2" t="s">
        <v>30</v>
      </c>
      <c r="J209" s="3">
        <v>45719</v>
      </c>
      <c r="K209" s="2" t="s">
        <v>31</v>
      </c>
      <c r="L209" s="2" t="s">
        <v>132</v>
      </c>
      <c r="M209" s="2" t="s">
        <v>133</v>
      </c>
      <c r="N209" s="2" t="s">
        <v>148</v>
      </c>
      <c r="O209" s="2" t="s">
        <v>1178</v>
      </c>
      <c r="P209" s="2" t="s">
        <v>36</v>
      </c>
      <c r="Q209" s="2" t="s">
        <v>834</v>
      </c>
      <c r="R209" s="2">
        <v>15457</v>
      </c>
      <c r="S209" s="2" t="s">
        <v>37</v>
      </c>
      <c r="T209" s="2" t="s">
        <v>37</v>
      </c>
      <c r="U209" s="2" t="s">
        <v>76</v>
      </c>
      <c r="V209" s="3">
        <v>45719</v>
      </c>
      <c r="W209" s="2" t="s">
        <v>77</v>
      </c>
      <c r="X209" s="2" t="str">
        <f t="shared" si="12"/>
        <v>Pasaje La Union Santa Cruz Santa Cruz, Lurigancho, Lima, Lima, Perú</v>
      </c>
      <c r="Y209" s="22">
        <v>-12.1194854</v>
      </c>
      <c r="Z209" s="22">
        <v>-77.001251300000007</v>
      </c>
      <c r="AA209" s="33">
        <f t="shared" si="13"/>
        <v>17.46</v>
      </c>
      <c r="AB209" s="2" t="str">
        <f t="shared" si="14"/>
        <v>🟠 Moderada (10-20 km)</v>
      </c>
      <c r="AC209" s="2" t="str" cm="1">
        <f t="array" ref="AC209">INDEX(PARADEROS_VALIDOS!$C$2:$C$68,MATCH(MIN(6371*ACOS(COS(RADIANS(Y209))*COS(RADIANS(PARADEROS_VALIDOS!$E$2:$E$68))*COS(RADIANS(PARADEROS_VALIDOS!$F$2:$F$68)-RADIANS(Z209))+SIN(RADIANS(Y209))*SIN(RADIANS(PARADEROS_VALIDOS!$E$2:$E$68)))),6371*ACOS(COS(RADIANS(Y209))*COS(RADIANS(PARADEROS_VALIDOS!$E$2:$E$68))*COS(RADIANS(PARADEROS_VALIDOS!$F$2:$F$68)-RADIANS(Z209))+SIN(RADIANS(Y209))*SIN(RADIANS(PARADEROS_VALIDOS!$E$2:$E$68))),0))</f>
        <v>Paradero Pentagonito</v>
      </c>
      <c r="AD209" s="2" t="str">
        <f>IFERROR(INDEX(PARADEROS_VALIDOS!$A$2:$A$68,MATCH(AC209,PARADEROS_VALIDOS!$C$2:$C$68,0)),"")</f>
        <v>RUTA 7</v>
      </c>
      <c r="AE209" s="33" cm="1">
        <f t="array" ref="AE209">ROUND(MIN(6371*ACOS(COS(RADIANS(Y209))*COS(RADIANS(PARADEROS_VALIDOS!$E$2:$E$68))*COS(RADIANS(PARADEROS_VALIDOS!$F$2:$F$68)-RADIANS(Z209))+SIN(RADIANS(Y209))*SIN(RADIANS(PARADEROS_VALIDOS!$E$2:$E$68)))),2)</f>
        <v>2.61</v>
      </c>
      <c r="AF209" s="2" t="str">
        <f t="shared" si="15"/>
        <v>🟡 Cerca (1-3 km)</v>
      </c>
      <c r="AG209" s="2"/>
      <c r="AH209" s="2"/>
      <c r="AI209" s="51">
        <v>-11.997563</v>
      </c>
      <c r="AJ209" s="51">
        <v>-76.900062000000005</v>
      </c>
      <c r="AK209" s="2" t="str">
        <f>IFERROR(VLOOKUP(I209,tdcargo[],2,FALSE),"DESCONOCIDO")</f>
        <v>OPERARIO</v>
      </c>
    </row>
    <row r="210" spans="1:37" x14ac:dyDescent="0.35">
      <c r="A210" s="2" t="s">
        <v>1179</v>
      </c>
      <c r="B210" s="2" t="s">
        <v>1180</v>
      </c>
      <c r="C210" s="2" t="s">
        <v>1181</v>
      </c>
      <c r="D210" s="2" t="s">
        <v>1182</v>
      </c>
      <c r="E210" s="2">
        <v>31</v>
      </c>
      <c r="F210" s="2" t="s">
        <v>28</v>
      </c>
      <c r="G210" s="2" t="s">
        <v>29</v>
      </c>
      <c r="H210" s="2">
        <v>20508974</v>
      </c>
      <c r="I210" s="2" t="s">
        <v>30</v>
      </c>
      <c r="J210" s="3">
        <v>45761</v>
      </c>
      <c r="K210" s="2" t="s">
        <v>31</v>
      </c>
      <c r="L210" s="2" t="s">
        <v>132</v>
      </c>
      <c r="M210" s="2" t="s">
        <v>133</v>
      </c>
      <c r="N210" s="2" t="s">
        <v>36</v>
      </c>
      <c r="O210" s="2" t="s">
        <v>1183</v>
      </c>
      <c r="P210" s="2" t="s">
        <v>1054</v>
      </c>
      <c r="Q210" s="2" t="s">
        <v>1184</v>
      </c>
      <c r="R210" s="2">
        <v>15004</v>
      </c>
      <c r="S210" s="2" t="s">
        <v>37</v>
      </c>
      <c r="T210" s="2" t="s">
        <v>37</v>
      </c>
      <c r="U210" s="2" t="s">
        <v>57</v>
      </c>
      <c r="V210" s="3">
        <v>45761</v>
      </c>
      <c r="W210" s="2" t="s">
        <v>39</v>
      </c>
      <c r="X210" s="2" t="str">
        <f t="shared" si="12"/>
        <v>Ucv 183 Huaycan, Z.I. Zona Industrial O, Ate, Lima, Lima, Perú</v>
      </c>
      <c r="Y210" s="22">
        <v>-12.0100821</v>
      </c>
      <c r="Z210" s="22">
        <v>-76.827851499999994</v>
      </c>
      <c r="AA210" s="33">
        <f t="shared" si="13"/>
        <v>7.98</v>
      </c>
      <c r="AB210" s="2" t="str">
        <f t="shared" si="14"/>
        <v>🟡 Cerca (5-10 km)</v>
      </c>
      <c r="AC210" s="2" t="str" cm="1">
        <f t="array" ref="AC210">INDEX(PARADEROS_VALIDOS!$C$2:$C$68,MATCH(MIN(6371*ACOS(COS(RADIANS(Y210))*COS(RADIANS(PARADEROS_VALIDOS!$E$2:$E$68))*COS(RADIANS(PARADEROS_VALIDOS!$F$2:$F$68)-RADIANS(Z210))+SIN(RADIANS(Y210))*SIN(RADIANS(PARADEROS_VALIDOS!$E$2:$E$68)))),6371*ACOS(COS(RADIANS(Y210))*COS(RADIANS(PARADEROS_VALIDOS!$E$2:$E$68))*COS(RADIANS(PARADEROS_VALIDOS!$F$2:$F$68)-RADIANS(Z210))+SIN(RADIANS(Y210))*SIN(RADIANS(PARADEROS_VALIDOS!$E$2:$E$68))),0))</f>
        <v>Entrada Horacio</v>
      </c>
      <c r="AD210" s="2" t="str">
        <f>IFERROR(INDEX(PARADEROS_VALIDOS!$A$2:$A$68,MATCH(AC210,PARADEROS_VALIDOS!$C$2:$C$68,0)),"")</f>
        <v>RUTA 5B</v>
      </c>
      <c r="AE210" s="33" cm="1">
        <f t="array" ref="AE210">ROUND(MIN(6371*ACOS(COS(RADIANS(Y210))*COS(RADIANS(PARADEROS_VALIDOS!$E$2:$E$68))*COS(RADIANS(PARADEROS_VALIDOS!$F$2:$F$68)-RADIANS(Z210))+SIN(RADIANS(Y210))*SIN(RADIANS(PARADEROS_VALIDOS!$E$2:$E$68)))),2)</f>
        <v>1.55</v>
      </c>
      <c r="AF210" s="2" t="str">
        <f t="shared" si="15"/>
        <v>🟡 Cerca (1-3 km)</v>
      </c>
      <c r="AG210" s="2"/>
      <c r="AH210" s="2"/>
      <c r="AI210" s="51">
        <v>-11.997563</v>
      </c>
      <c r="AJ210" s="51">
        <v>-76.900062000000005</v>
      </c>
      <c r="AK210" s="2" t="str">
        <f>IFERROR(VLOOKUP(I210,tdcargo[],2,FALSE),"DESCONOCIDO")</f>
        <v>OPERARIO</v>
      </c>
    </row>
    <row r="211" spans="1:37" x14ac:dyDescent="0.35">
      <c r="A211" s="2" t="s">
        <v>1185</v>
      </c>
      <c r="B211" s="2" t="s">
        <v>1186</v>
      </c>
      <c r="C211" s="2" t="s">
        <v>1162</v>
      </c>
      <c r="D211" s="2" t="s">
        <v>1187</v>
      </c>
      <c r="E211" s="2">
        <v>23</v>
      </c>
      <c r="F211" s="2" t="s">
        <v>28</v>
      </c>
      <c r="G211" s="2" t="s">
        <v>29</v>
      </c>
      <c r="H211" s="2">
        <v>20510615</v>
      </c>
      <c r="I211" s="2" t="s">
        <v>30</v>
      </c>
      <c r="J211" s="3">
        <v>45607</v>
      </c>
      <c r="K211" s="2" t="s">
        <v>31</v>
      </c>
      <c r="L211" s="2" t="s">
        <v>132</v>
      </c>
      <c r="M211" s="2" t="s">
        <v>133</v>
      </c>
      <c r="N211" s="2" t="s">
        <v>82</v>
      </c>
      <c r="O211" s="2" t="s">
        <v>1188</v>
      </c>
      <c r="P211" s="2" t="s">
        <v>36</v>
      </c>
      <c r="Q211" s="2" t="s">
        <v>1189</v>
      </c>
      <c r="R211" s="2">
        <v>15457</v>
      </c>
      <c r="S211" s="2" t="s">
        <v>37</v>
      </c>
      <c r="T211" s="2" t="s">
        <v>37</v>
      </c>
      <c r="U211" s="2" t="s">
        <v>76</v>
      </c>
      <c r="V211" s="3">
        <v>45607</v>
      </c>
      <c r="W211" s="2" t="s">
        <v>48</v>
      </c>
      <c r="X211" s="2" t="str">
        <f t="shared" si="12"/>
        <v>Calle Los Triunfadores Asoc De Viv Virgen De Cocharcas D Lo Triunfadores, Lurigancho, Lima, Lima, Perú</v>
      </c>
      <c r="Y211" s="22">
        <v>-12.009696699999999</v>
      </c>
      <c r="Z211" s="22">
        <v>-76.905361299999996</v>
      </c>
      <c r="AA211" s="33">
        <f t="shared" si="13"/>
        <v>1.47</v>
      </c>
      <c r="AB211" s="2" t="str">
        <f t="shared" si="14"/>
        <v>🟢 Muy Cerca (0-5 km)</v>
      </c>
      <c r="AC211" s="2" t="str" cm="1">
        <f t="array" ref="AC211">INDEX(PARADEROS_VALIDOS!$C$2:$C$68,MATCH(MIN(6371*ACOS(COS(RADIANS(Y211))*COS(RADIANS(PARADEROS_VALIDOS!$E$2:$E$68))*COS(RADIANS(PARADEROS_VALIDOS!$F$2:$F$68)-RADIANS(Z211))+SIN(RADIANS(Y211))*SIN(RADIANS(PARADEROS_VALIDOS!$E$2:$E$68)))),6371*ACOS(COS(RADIANS(Y211))*COS(RADIANS(PARADEROS_VALIDOS!$E$2:$E$68))*COS(RADIANS(PARADEROS_VALIDOS!$F$2:$F$68)-RADIANS(Z211))+SIN(RADIANS(Y211))*SIN(RADIANS(PARADEROS_VALIDOS!$E$2:$E$68))),0))</f>
        <v>Tottus Huachipa</v>
      </c>
      <c r="AD211" s="2" t="str">
        <f>IFERROR(INDEX(PARADEROS_VALIDOS!$A$2:$A$68,MATCH(AC211,PARADEROS_VALIDOS!$C$2:$C$68,0)),"")</f>
        <v>RUTA 1</v>
      </c>
      <c r="AE211" s="33" cm="1">
        <f t="array" ref="AE211">ROUND(MIN(6371*ACOS(COS(RADIANS(Y211))*COS(RADIANS(PARADEROS_VALIDOS!$E$2:$E$68))*COS(RADIANS(PARADEROS_VALIDOS!$F$2:$F$68)-RADIANS(Z211))+SIN(RADIANS(Y211))*SIN(RADIANS(PARADEROS_VALIDOS!$E$2:$E$68)))),2)</f>
        <v>1.18</v>
      </c>
      <c r="AF211" s="2" t="str">
        <f t="shared" si="15"/>
        <v>🟡 Cerca (1-3 km)</v>
      </c>
      <c r="AG211" s="2"/>
      <c r="AH211" s="2"/>
      <c r="AI211" s="51">
        <v>-11.997563</v>
      </c>
      <c r="AJ211" s="51">
        <v>-76.900062000000005</v>
      </c>
      <c r="AK211" s="2" t="str">
        <f>IFERROR(VLOOKUP(I211,tdcargo[],2,FALSE),"DESCONOCIDO")</f>
        <v>OPERARIO</v>
      </c>
    </row>
    <row r="212" spans="1:37" x14ac:dyDescent="0.35">
      <c r="A212" s="2" t="s">
        <v>1190</v>
      </c>
      <c r="B212" s="2" t="s">
        <v>1191</v>
      </c>
      <c r="C212" s="2" t="s">
        <v>1000</v>
      </c>
      <c r="D212" s="2" t="s">
        <v>1192</v>
      </c>
      <c r="E212" s="2">
        <v>29</v>
      </c>
      <c r="F212" s="2" t="s">
        <v>28</v>
      </c>
      <c r="G212" s="2" t="s">
        <v>29</v>
      </c>
      <c r="H212" s="2">
        <v>20508744</v>
      </c>
      <c r="I212" s="2" t="s">
        <v>30</v>
      </c>
      <c r="J212" s="3">
        <v>44536</v>
      </c>
      <c r="K212" s="2" t="s">
        <v>31</v>
      </c>
      <c r="L212" s="2" t="s">
        <v>72</v>
      </c>
      <c r="M212" s="2" t="s">
        <v>73</v>
      </c>
      <c r="N212" s="2" t="s">
        <v>36</v>
      </c>
      <c r="O212" s="2" t="s">
        <v>1193</v>
      </c>
      <c r="P212" s="2" t="s">
        <v>36</v>
      </c>
      <c r="Q212" s="2" t="s">
        <v>1194</v>
      </c>
      <c r="R212" s="2">
        <v>15472</v>
      </c>
      <c r="S212" s="2" t="s">
        <v>37</v>
      </c>
      <c r="T212" s="2" t="s">
        <v>37</v>
      </c>
      <c r="U212" s="2" t="s">
        <v>118</v>
      </c>
      <c r="V212" s="3">
        <v>44536</v>
      </c>
      <c r="W212" s="2" t="s">
        <v>48</v>
      </c>
      <c r="X212" s="2" t="str">
        <f t="shared" si="12"/>
        <v>Mzb Lt12 Miguel Grau Miguel Grau, Chaclacayo, Lima, Lima, Perú</v>
      </c>
      <c r="Y212" s="22">
        <v>-11.984977600000001</v>
      </c>
      <c r="Z212" s="22">
        <v>-76.813815199999993</v>
      </c>
      <c r="AA212" s="33">
        <f t="shared" si="13"/>
        <v>9.48</v>
      </c>
      <c r="AB212" s="2" t="str">
        <f t="shared" si="14"/>
        <v>🟡 Cerca (5-10 km)</v>
      </c>
      <c r="AC212" s="2" t="str" cm="1">
        <f t="array" ref="AC212">INDEX(PARADEROS_VALIDOS!$C$2:$C$68,MATCH(MIN(6371*ACOS(COS(RADIANS(Y212))*COS(RADIANS(PARADEROS_VALIDOS!$E$2:$E$68))*COS(RADIANS(PARADEROS_VALIDOS!$F$2:$F$68)-RADIANS(Z212))+SIN(RADIANS(Y212))*SIN(RADIANS(PARADEROS_VALIDOS!$E$2:$E$68)))),6371*ACOS(COS(RADIANS(Y212))*COS(RADIANS(PARADEROS_VALIDOS!$E$2:$E$68))*COS(RADIANS(PARADEROS_VALIDOS!$F$2:$F$68)-RADIANS(Z212))+SIN(RADIANS(Y212))*SIN(RADIANS(PARADEROS_VALIDOS!$E$2:$E$68))),0))</f>
        <v>Entrada Ñaña</v>
      </c>
      <c r="AD212" s="2" t="str">
        <f>IFERROR(INDEX(PARADEROS_VALIDOS!$A$2:$A$68,MATCH(AC212,PARADEROS_VALIDOS!$C$2:$C$68,0)),"")</f>
        <v>RUTA 5A</v>
      </c>
      <c r="AE212" s="33" cm="1">
        <f t="array" ref="AE212">ROUND(MIN(6371*ACOS(COS(RADIANS(Y212))*COS(RADIANS(PARADEROS_VALIDOS!$E$2:$E$68))*COS(RADIANS(PARADEROS_VALIDOS!$F$2:$F$68)-RADIANS(Z212))+SIN(RADIANS(Y212))*SIN(RADIANS(PARADEROS_VALIDOS!$E$2:$E$68)))),2)</f>
        <v>0.68</v>
      </c>
      <c r="AF212" s="2" t="str">
        <f t="shared" si="15"/>
        <v>🟢 Muy Cerca (0-1 km)</v>
      </c>
      <c r="AG212" s="2"/>
      <c r="AH212" s="2"/>
      <c r="AI212" s="51">
        <v>-11.997563</v>
      </c>
      <c r="AJ212" s="51">
        <v>-76.900062000000005</v>
      </c>
      <c r="AK212" s="2" t="str">
        <f>IFERROR(VLOOKUP(I212,tdcargo[],2,FALSE),"DESCONOCIDO")</f>
        <v>OPERARIO</v>
      </c>
    </row>
    <row r="213" spans="1:37" x14ac:dyDescent="0.35">
      <c r="A213" s="2" t="s">
        <v>1195</v>
      </c>
      <c r="B213" s="2" t="s">
        <v>1196</v>
      </c>
      <c r="C213" s="2" t="s">
        <v>273</v>
      </c>
      <c r="D213" s="2" t="s">
        <v>26</v>
      </c>
      <c r="E213" s="2">
        <v>41</v>
      </c>
      <c r="F213" s="2" t="s">
        <v>28</v>
      </c>
      <c r="G213" s="2" t="s">
        <v>29</v>
      </c>
      <c r="H213" s="2">
        <v>20510606</v>
      </c>
      <c r="I213" s="2" t="s">
        <v>44</v>
      </c>
      <c r="J213" s="3">
        <v>43227</v>
      </c>
      <c r="K213" s="2" t="s">
        <v>31</v>
      </c>
      <c r="L213" s="2" t="s">
        <v>32</v>
      </c>
      <c r="M213" s="2" t="s">
        <v>33</v>
      </c>
      <c r="N213" s="2" t="s">
        <v>82</v>
      </c>
      <c r="O213" s="2" t="s">
        <v>1197</v>
      </c>
      <c r="P213" s="2" t="s">
        <v>66</v>
      </c>
      <c r="Q213" s="2" t="s">
        <v>1198</v>
      </c>
      <c r="R213" s="2">
        <v>15004</v>
      </c>
      <c r="S213" s="2" t="s">
        <v>37</v>
      </c>
      <c r="T213" s="2" t="s">
        <v>37</v>
      </c>
      <c r="U213" s="2" t="s">
        <v>57</v>
      </c>
      <c r="V213" s="3">
        <v>43227</v>
      </c>
      <c r="W213" s="2" t="s">
        <v>48</v>
      </c>
      <c r="X213" s="2" t="str">
        <f t="shared" si="12"/>
        <v>Calle Amapolas, U.V. Unidad Vecinal Amigos De La Paz, Ate, Lima, Lima, Perú</v>
      </c>
      <c r="Y213" s="22">
        <v>-12.073868300000001</v>
      </c>
      <c r="Z213" s="22">
        <v>-76.975895800000004</v>
      </c>
      <c r="AA213" s="33">
        <f t="shared" si="13"/>
        <v>11.83</v>
      </c>
      <c r="AB213" s="2" t="str">
        <f t="shared" si="14"/>
        <v>🟠 Moderada (10-20 km)</v>
      </c>
      <c r="AC213" s="2" t="str" cm="1">
        <f t="array" ref="AC213">INDEX(PARADEROS_VALIDOS!$C$2:$C$68,MATCH(MIN(6371*ACOS(COS(RADIANS(Y213))*COS(RADIANS(PARADEROS_VALIDOS!$E$2:$E$68))*COS(RADIANS(PARADEROS_VALIDOS!$F$2:$F$68)-RADIANS(Z213))+SIN(RADIANS(Y213))*SIN(RADIANS(PARADEROS_VALIDOS!$E$2:$E$68)))),6371*ACOS(COS(RADIANS(Y213))*COS(RADIANS(PARADEROS_VALIDOS!$E$2:$E$68))*COS(RADIANS(PARADEROS_VALIDOS!$F$2:$F$68)-RADIANS(Z213))+SIN(RADIANS(Y213))*SIN(RADIANS(PARADEROS_VALIDOS!$E$2:$E$68))),0))</f>
        <v>Paradero Javier Prado</v>
      </c>
      <c r="AD213" s="2" t="str">
        <f>IFERROR(INDEX(PARADEROS_VALIDOS!$A$2:$A$68,MATCH(AC213,PARADEROS_VALIDOS!$C$2:$C$68,0)),"")</f>
        <v>RUTA 7</v>
      </c>
      <c r="AE213" s="33" cm="1">
        <f t="array" ref="AE213">ROUND(MIN(6371*ACOS(COS(RADIANS(Y213))*COS(RADIANS(PARADEROS_VALIDOS!$E$2:$E$68))*COS(RADIANS(PARADEROS_VALIDOS!$F$2:$F$68)-RADIANS(Z213))+SIN(RADIANS(Y213))*SIN(RADIANS(PARADEROS_VALIDOS!$E$2:$E$68)))),2)</f>
        <v>1</v>
      </c>
      <c r="AF213" s="2" t="str">
        <f t="shared" si="15"/>
        <v>🟢 Muy Cerca (0-1 km)</v>
      </c>
      <c r="AG213" s="2"/>
      <c r="AH213" s="2"/>
      <c r="AI213" s="51">
        <v>-11.997563</v>
      </c>
      <c r="AJ213" s="51">
        <v>-76.900062000000005</v>
      </c>
      <c r="AK213" s="2" t="str">
        <f>IFERROR(VLOOKUP(I213,tdcargo[],2,FALSE),"DESCONOCIDO")</f>
        <v>OPERARIO</v>
      </c>
    </row>
    <row r="214" spans="1:37" x14ac:dyDescent="0.35">
      <c r="A214" s="2" t="s">
        <v>1199</v>
      </c>
      <c r="B214" s="2" t="s">
        <v>779</v>
      </c>
      <c r="C214" s="2" t="s">
        <v>1200</v>
      </c>
      <c r="D214" s="2" t="s">
        <v>1201</v>
      </c>
      <c r="E214" s="2">
        <v>51</v>
      </c>
      <c r="F214" s="2" t="s">
        <v>28</v>
      </c>
      <c r="G214" s="2" t="s">
        <v>29</v>
      </c>
      <c r="H214" s="2">
        <v>20508800</v>
      </c>
      <c r="I214" s="2" t="s">
        <v>44</v>
      </c>
      <c r="J214" s="3">
        <v>43061</v>
      </c>
      <c r="K214" s="2" t="s">
        <v>31</v>
      </c>
      <c r="L214" s="2" t="s">
        <v>164</v>
      </c>
      <c r="M214" s="2" t="s">
        <v>165</v>
      </c>
      <c r="N214" s="2" t="s">
        <v>34</v>
      </c>
      <c r="O214" s="2" t="s">
        <v>1202</v>
      </c>
      <c r="P214" s="2" t="s">
        <v>186</v>
      </c>
      <c r="Q214" s="2" t="s">
        <v>1203</v>
      </c>
      <c r="R214" s="2">
        <v>15101</v>
      </c>
      <c r="S214" s="2" t="s">
        <v>37</v>
      </c>
      <c r="T214" s="2" t="s">
        <v>37</v>
      </c>
      <c r="U214" s="2" t="s">
        <v>210</v>
      </c>
      <c r="V214" s="3">
        <v>43061</v>
      </c>
      <c r="W214" s="2" t="s">
        <v>48</v>
      </c>
      <c r="X214" s="2" t="str">
        <f t="shared" si="12"/>
        <v>Avenida Paramonga Paraiso Dorado 2Da Etapa, Urb. Urbanización Paraiso Dorado, San Martin De Porres, Lima, Lima, Perú</v>
      </c>
      <c r="Y214" s="22">
        <v>-12.0019112</v>
      </c>
      <c r="Z214" s="22">
        <v>-77.083843799999997</v>
      </c>
      <c r="AA214" s="33">
        <f t="shared" si="13"/>
        <v>19.989999999999998</v>
      </c>
      <c r="AB214" s="2" t="str">
        <f t="shared" si="14"/>
        <v>🟠 Moderada (10-20 km)</v>
      </c>
      <c r="AC214" s="2" t="str" cm="1">
        <f t="array" ref="AC214">INDEX(PARADEROS_VALIDOS!$C$2:$C$68,MATCH(MIN(6371*ACOS(COS(RADIANS(Y214))*COS(RADIANS(PARADEROS_VALIDOS!$E$2:$E$68))*COS(RADIANS(PARADEROS_VALIDOS!$F$2:$F$68)-RADIANS(Z214))+SIN(RADIANS(Y214))*SIN(RADIANS(PARADEROS_VALIDOS!$E$2:$E$68)))),6371*ACOS(COS(RADIANS(Y214))*COS(RADIANS(PARADEROS_VALIDOS!$E$2:$E$68))*COS(RADIANS(PARADEROS_VALIDOS!$F$2:$F$68)-RADIANS(Z214))+SIN(RADIANS(Y214))*SIN(RADIANS(PARADEROS_VALIDOS!$E$2:$E$68))),0))</f>
        <v>Paradero Universitaria con San German</v>
      </c>
      <c r="AD214" s="2" t="str">
        <f>IFERROR(INDEX(PARADEROS_VALIDOS!$A$2:$A$68,MATCH(AC214,PARADEROS_VALIDOS!$C$2:$C$68,0)),"")</f>
        <v>RUTA 8</v>
      </c>
      <c r="AE214" s="33" cm="1">
        <f t="array" ref="AE214">ROUND(MIN(6371*ACOS(COS(RADIANS(Y214))*COS(RADIANS(PARADEROS_VALIDOS!$E$2:$E$68))*COS(RADIANS(PARADEROS_VALIDOS!$F$2:$F$68)-RADIANS(Z214))+SIN(RADIANS(Y214))*SIN(RADIANS(PARADEROS_VALIDOS!$E$2:$E$68)))),2)</f>
        <v>0.79</v>
      </c>
      <c r="AF214" s="2" t="str">
        <f t="shared" si="15"/>
        <v>🟢 Muy Cerca (0-1 km)</v>
      </c>
      <c r="AG214" s="2"/>
      <c r="AH214" s="2"/>
      <c r="AI214" s="51">
        <v>-11.997563</v>
      </c>
      <c r="AJ214" s="51">
        <v>-76.900062000000005</v>
      </c>
      <c r="AK214" s="2" t="str">
        <f>IFERROR(VLOOKUP(I214,tdcargo[],2,FALSE),"DESCONOCIDO")</f>
        <v>OPERARIO</v>
      </c>
    </row>
    <row r="215" spans="1:37" x14ac:dyDescent="0.35">
      <c r="A215" s="2" t="s">
        <v>1204</v>
      </c>
      <c r="B215" s="2" t="s">
        <v>1205</v>
      </c>
      <c r="C215" s="2" t="s">
        <v>415</v>
      </c>
      <c r="D215" s="2" t="s">
        <v>87</v>
      </c>
      <c r="E215" s="2">
        <v>21</v>
      </c>
      <c r="F215" s="2" t="s">
        <v>28</v>
      </c>
      <c r="G215" s="2" t="s">
        <v>29</v>
      </c>
      <c r="H215" s="2">
        <v>20514926</v>
      </c>
      <c r="I215" s="2" t="s">
        <v>62</v>
      </c>
      <c r="J215" s="3">
        <v>45313</v>
      </c>
      <c r="K215" s="2" t="s">
        <v>31</v>
      </c>
      <c r="L215" s="2" t="s">
        <v>1206</v>
      </c>
      <c r="M215" s="2" t="s">
        <v>178</v>
      </c>
      <c r="N215" s="2" t="s">
        <v>36</v>
      </c>
      <c r="O215" s="2" t="s">
        <v>46</v>
      </c>
      <c r="P215" s="2" t="s">
        <v>36</v>
      </c>
      <c r="Q215" s="2" t="s">
        <v>1207</v>
      </c>
      <c r="R215" s="2">
        <v>15457</v>
      </c>
      <c r="S215" s="2" t="s">
        <v>37</v>
      </c>
      <c r="T215" s="2" t="s">
        <v>37</v>
      </c>
      <c r="U215" s="2" t="s">
        <v>76</v>
      </c>
      <c r="V215" s="3">
        <v>45313</v>
      </c>
      <c r="W215" s="2" t="s">
        <v>48</v>
      </c>
      <c r="X215" s="2" t="str">
        <f t="shared" si="12"/>
        <v>Nd El Bosque Lurigancho Chosica, Lurigancho, Lima, Lima, Perú</v>
      </c>
      <c r="Y215" s="22">
        <v>-11.9499797</v>
      </c>
      <c r="Z215" s="22">
        <v>-76.730407099999994</v>
      </c>
      <c r="AA215" s="33">
        <f t="shared" si="13"/>
        <v>19.2</v>
      </c>
      <c r="AB215" s="2" t="str">
        <f t="shared" si="14"/>
        <v>🟠 Moderada (10-20 km)</v>
      </c>
      <c r="AC215" s="2" t="str" cm="1">
        <f t="array" ref="AC215">INDEX(PARADEROS_VALIDOS!$C$2:$C$68,MATCH(MIN(6371*ACOS(COS(RADIANS(Y215))*COS(RADIANS(PARADEROS_VALIDOS!$E$2:$E$68))*COS(RADIANS(PARADEROS_VALIDOS!$F$2:$F$68)-RADIANS(Z215))+SIN(RADIANS(Y215))*SIN(RADIANS(PARADEROS_VALIDOS!$E$2:$E$68)))),6371*ACOS(COS(RADIANS(Y215))*COS(RADIANS(PARADEROS_VALIDOS!$E$2:$E$68))*COS(RADIANS(PARADEROS_VALIDOS!$F$2:$F$68)-RADIANS(Z215))+SIN(RADIANS(Y215))*SIN(RADIANS(PARADEROS_VALIDOS!$E$2:$E$68))),0))</f>
        <v>Paradero Girasoles - Chaclacayo</v>
      </c>
      <c r="AD215" s="2" t="str">
        <f>IFERROR(INDEX(PARADEROS_VALIDOS!$A$2:$A$68,MATCH(AC215,PARADEROS_VALIDOS!$C$2:$C$68,0)),"")</f>
        <v>RUTA 5A</v>
      </c>
      <c r="AE215" s="33" cm="1">
        <f t="array" ref="AE215">ROUND(MIN(6371*ACOS(COS(RADIANS(Y215))*COS(RADIANS(PARADEROS_VALIDOS!$E$2:$E$68))*COS(RADIANS(PARADEROS_VALIDOS!$F$2:$F$68)-RADIANS(Z215))+SIN(RADIANS(Y215))*SIN(RADIANS(PARADEROS_VALIDOS!$E$2:$E$68)))),2)</f>
        <v>5.44</v>
      </c>
      <c r="AF215" s="2" t="str">
        <f t="shared" si="15"/>
        <v>🔴 Lejos (&gt;5 km)</v>
      </c>
      <c r="AG215" s="2"/>
      <c r="AH215" s="2"/>
      <c r="AI215" s="51">
        <v>-11.997563</v>
      </c>
      <c r="AJ215" s="51">
        <v>-76.900062000000005</v>
      </c>
      <c r="AK215" s="2" t="str">
        <f>IFERROR(VLOOKUP(I215,tdcargo[],2,FALSE),"DESCONOCIDO")</f>
        <v>OPERARIO</v>
      </c>
    </row>
    <row r="216" spans="1:37" x14ac:dyDescent="0.35">
      <c r="A216" s="2" t="s">
        <v>1208</v>
      </c>
      <c r="B216" s="2" t="s">
        <v>1209</v>
      </c>
      <c r="C216" s="2" t="s">
        <v>1210</v>
      </c>
      <c r="D216" s="2" t="s">
        <v>1211</v>
      </c>
      <c r="E216" s="2">
        <v>36</v>
      </c>
      <c r="F216" s="2" t="s">
        <v>28</v>
      </c>
      <c r="G216" s="2" t="s">
        <v>29</v>
      </c>
      <c r="H216" s="2">
        <v>20509032</v>
      </c>
      <c r="I216" s="2" t="s">
        <v>372</v>
      </c>
      <c r="J216" s="3">
        <v>43061</v>
      </c>
      <c r="K216" s="2" t="s">
        <v>31</v>
      </c>
      <c r="L216" s="2" t="s">
        <v>373</v>
      </c>
      <c r="M216" s="2" t="s">
        <v>374</v>
      </c>
      <c r="N216" s="2" t="s">
        <v>82</v>
      </c>
      <c r="O216" s="2" t="s">
        <v>46</v>
      </c>
      <c r="P216" s="2" t="s">
        <v>186</v>
      </c>
      <c r="Q216" s="2" t="s">
        <v>1212</v>
      </c>
      <c r="R216" s="2">
        <v>15401</v>
      </c>
      <c r="S216" s="2" t="s">
        <v>37</v>
      </c>
      <c r="T216" s="2" t="s">
        <v>37</v>
      </c>
      <c r="U216" s="2" t="s">
        <v>38</v>
      </c>
      <c r="V216" s="3">
        <v>43061</v>
      </c>
      <c r="W216" s="2" t="s">
        <v>48</v>
      </c>
      <c r="X216" s="2" t="str">
        <f t="shared" si="12"/>
        <v>Calle Nd, Urb. Urbanización 10 De Octubre, San Juan De Lurigancho, Lima, Lima, Perú</v>
      </c>
      <c r="Y216" s="22">
        <v>-11.9449752</v>
      </c>
      <c r="Z216" s="22">
        <v>-76.989026300000006</v>
      </c>
      <c r="AA216" s="33">
        <f t="shared" si="13"/>
        <v>11.31</v>
      </c>
      <c r="AB216" s="2" t="str">
        <f t="shared" si="14"/>
        <v>🟠 Moderada (10-20 km)</v>
      </c>
      <c r="AC216" s="2" t="str" cm="1">
        <f t="array" ref="AC216">INDEX(PARADEROS_VALIDOS!$C$2:$C$68,MATCH(MIN(6371*ACOS(COS(RADIANS(Y216))*COS(RADIANS(PARADEROS_VALIDOS!$E$2:$E$68))*COS(RADIANS(PARADEROS_VALIDOS!$F$2:$F$68)-RADIANS(Z216))+SIN(RADIANS(Y216))*SIN(RADIANS(PARADEROS_VALIDOS!$E$2:$E$68)))),6371*ACOS(COS(RADIANS(Y216))*COS(RADIANS(PARADEROS_VALIDOS!$E$2:$E$68))*COS(RADIANS(PARADEROS_VALIDOS!$F$2:$F$68)-RADIANS(Z216))+SIN(RADIANS(Y216))*SIN(RADIANS(PARADEROS_VALIDOS!$E$2:$E$68))),0))</f>
        <v>Paradero Acho</v>
      </c>
      <c r="AD216" s="2" t="str">
        <f>IFERROR(INDEX(PARADEROS_VALIDOS!$A$2:$A$68,MATCH(AC216,PARADEROS_VALIDOS!$C$2:$C$68,0)),"")</f>
        <v>RUTA 8</v>
      </c>
      <c r="AE216" s="33" cm="1">
        <f t="array" ref="AE216">ROUND(MIN(6371*ACOS(COS(RADIANS(Y216))*COS(RADIANS(PARADEROS_VALIDOS!$E$2:$E$68))*COS(RADIANS(PARADEROS_VALIDOS!$F$2:$F$68)-RADIANS(Z216))+SIN(RADIANS(Y216))*SIN(RADIANS(PARADEROS_VALIDOS!$E$2:$E$68)))),2)</f>
        <v>3.45</v>
      </c>
      <c r="AF216" s="2" t="str">
        <f t="shared" si="15"/>
        <v>🟠 Moderada (3-5 km)</v>
      </c>
      <c r="AG216" s="2"/>
      <c r="AH216" s="2"/>
      <c r="AI216" s="51">
        <v>-11.997563</v>
      </c>
      <c r="AJ216" s="51">
        <v>-76.900062000000005</v>
      </c>
      <c r="AK216" s="2" t="str">
        <f>IFERROR(VLOOKUP(I216,tdcargo[],2,FALSE),"DESCONOCIDO")</f>
        <v>OPERARIO</v>
      </c>
    </row>
    <row r="217" spans="1:37" x14ac:dyDescent="0.35">
      <c r="A217" s="2" t="s">
        <v>1213</v>
      </c>
      <c r="B217" s="2" t="s">
        <v>1214</v>
      </c>
      <c r="C217" s="2" t="s">
        <v>1215</v>
      </c>
      <c r="D217" s="2" t="s">
        <v>26</v>
      </c>
      <c r="E217" s="2">
        <v>37</v>
      </c>
      <c r="F217" s="2" t="s">
        <v>28</v>
      </c>
      <c r="G217" s="2" t="s">
        <v>29</v>
      </c>
      <c r="H217" s="2">
        <v>20508882</v>
      </c>
      <c r="I217" s="2" t="s">
        <v>44</v>
      </c>
      <c r="J217" s="3">
        <v>43122</v>
      </c>
      <c r="K217" s="2" t="s">
        <v>31</v>
      </c>
      <c r="L217" s="2" t="s">
        <v>32</v>
      </c>
      <c r="M217" s="2" t="s">
        <v>33</v>
      </c>
      <c r="N217" s="2" t="s">
        <v>36</v>
      </c>
      <c r="O217" s="2" t="s">
        <v>1216</v>
      </c>
      <c r="P217" s="2" t="s">
        <v>186</v>
      </c>
      <c r="Q217" s="2" t="s">
        <v>1216</v>
      </c>
      <c r="R217" s="2">
        <v>15457</v>
      </c>
      <c r="S217" s="2" t="s">
        <v>37</v>
      </c>
      <c r="T217" s="2" t="s">
        <v>37</v>
      </c>
      <c r="U217" s="2" t="s">
        <v>76</v>
      </c>
      <c r="V217" s="3">
        <v>43122</v>
      </c>
      <c r="W217" s="2" t="s">
        <v>48</v>
      </c>
      <c r="X217" s="2" t="str">
        <f t="shared" si="12"/>
        <v>Alameda De Ñaña, Urb. Urbanización Alameda De Ñaña, Lurigancho, Lima, Lima, Perú</v>
      </c>
      <c r="Y217" s="22">
        <v>-11.9837031</v>
      </c>
      <c r="Z217" s="22">
        <v>-76.8217049</v>
      </c>
      <c r="AA217" s="33">
        <f t="shared" si="13"/>
        <v>8.66</v>
      </c>
      <c r="AB217" s="2" t="str">
        <f t="shared" si="14"/>
        <v>🟡 Cerca (5-10 km)</v>
      </c>
      <c r="AC217" s="2" t="str" cm="1">
        <f t="array" ref="AC217">INDEX(PARADEROS_VALIDOS!$C$2:$C$68,MATCH(MIN(6371*ACOS(COS(RADIANS(Y217))*COS(RADIANS(PARADEROS_VALIDOS!$E$2:$E$68))*COS(RADIANS(PARADEROS_VALIDOS!$F$2:$F$68)-RADIANS(Z217))+SIN(RADIANS(Y217))*SIN(RADIANS(PARADEROS_VALIDOS!$E$2:$E$68)))),6371*ACOS(COS(RADIANS(Y217))*COS(RADIANS(PARADEROS_VALIDOS!$E$2:$E$68))*COS(RADIANS(PARADEROS_VALIDOS!$F$2:$F$68)-RADIANS(Z217))+SIN(RADIANS(Y217))*SIN(RADIANS(PARADEROS_VALIDOS!$E$2:$E$68))),0))</f>
        <v>Entrada Ñaña</v>
      </c>
      <c r="AD217" s="2" t="str">
        <f>IFERROR(INDEX(PARADEROS_VALIDOS!$A$2:$A$68,MATCH(AC217,PARADEROS_VALIDOS!$C$2:$C$68,0)),"")</f>
        <v>RUTA 5A</v>
      </c>
      <c r="AE217" s="33" cm="1">
        <f t="array" ref="AE217">ROUND(MIN(6371*ACOS(COS(RADIANS(Y217))*COS(RADIANS(PARADEROS_VALIDOS!$E$2:$E$68))*COS(RADIANS(PARADEROS_VALIDOS!$F$2:$F$68)-RADIANS(Z217))+SIN(RADIANS(Y217))*SIN(RADIANS(PARADEROS_VALIDOS!$E$2:$E$68)))),2)</f>
        <v>0.71</v>
      </c>
      <c r="AF217" s="2" t="str">
        <f t="shared" si="15"/>
        <v>🟢 Muy Cerca (0-1 km)</v>
      </c>
      <c r="AG217" s="2"/>
      <c r="AH217" s="2"/>
      <c r="AI217" s="51">
        <v>-11.997563</v>
      </c>
      <c r="AJ217" s="51">
        <v>-76.900062000000005</v>
      </c>
      <c r="AK217" s="2" t="str">
        <f>IFERROR(VLOOKUP(I217,tdcargo[],2,FALSE),"DESCONOCIDO")</f>
        <v>OPERARIO</v>
      </c>
    </row>
    <row r="218" spans="1:37" x14ac:dyDescent="0.35">
      <c r="A218" s="2" t="s">
        <v>1217</v>
      </c>
      <c r="B218" s="2" t="s">
        <v>1218</v>
      </c>
      <c r="C218" s="2" t="s">
        <v>1219</v>
      </c>
      <c r="D218" s="2" t="s">
        <v>1220</v>
      </c>
      <c r="E218" s="2">
        <v>32</v>
      </c>
      <c r="F218" s="2" t="s">
        <v>28</v>
      </c>
      <c r="G218" s="2" t="s">
        <v>29</v>
      </c>
      <c r="H218" s="2">
        <v>20510616</v>
      </c>
      <c r="I218" s="2" t="s">
        <v>62</v>
      </c>
      <c r="J218" s="3">
        <v>44140</v>
      </c>
      <c r="K218" s="2" t="s">
        <v>31</v>
      </c>
      <c r="L218" s="2" t="s">
        <v>63</v>
      </c>
      <c r="M218" s="2" t="s">
        <v>64</v>
      </c>
      <c r="N218" s="2" t="s">
        <v>82</v>
      </c>
      <c r="O218" s="2" t="s">
        <v>787</v>
      </c>
      <c r="P218" s="2" t="s">
        <v>88</v>
      </c>
      <c r="Q218" s="2" t="s">
        <v>1221</v>
      </c>
      <c r="R218" s="2">
        <v>15457</v>
      </c>
      <c r="S218" s="2" t="s">
        <v>37</v>
      </c>
      <c r="T218" s="2" t="s">
        <v>37</v>
      </c>
      <c r="U218" s="2" t="s">
        <v>76</v>
      </c>
      <c r="V218" s="3">
        <v>44140</v>
      </c>
      <c r="W218" s="2" t="s">
        <v>48</v>
      </c>
      <c r="X218" s="2" t="str">
        <f t="shared" si="12"/>
        <v>Calle San Martin, A.H. Asentamiento Humano Lomas De Los Angeles, Lurigancho, Lima, Lima, Perú</v>
      </c>
      <c r="Y218" s="22">
        <v>-12.009696699999999</v>
      </c>
      <c r="Z218" s="22">
        <v>-76.905361299999996</v>
      </c>
      <c r="AA218" s="33">
        <f t="shared" si="13"/>
        <v>1.47</v>
      </c>
      <c r="AB218" s="2" t="str">
        <f t="shared" si="14"/>
        <v>🟢 Muy Cerca (0-5 km)</v>
      </c>
      <c r="AC218" s="2" t="str" cm="1">
        <f t="array" ref="AC218">INDEX(PARADEROS_VALIDOS!$C$2:$C$68,MATCH(MIN(6371*ACOS(COS(RADIANS(Y218))*COS(RADIANS(PARADEROS_VALIDOS!$E$2:$E$68))*COS(RADIANS(PARADEROS_VALIDOS!$F$2:$F$68)-RADIANS(Z218))+SIN(RADIANS(Y218))*SIN(RADIANS(PARADEROS_VALIDOS!$E$2:$E$68)))),6371*ACOS(COS(RADIANS(Y218))*COS(RADIANS(PARADEROS_VALIDOS!$E$2:$E$68))*COS(RADIANS(PARADEROS_VALIDOS!$F$2:$F$68)-RADIANS(Z218))+SIN(RADIANS(Y218))*SIN(RADIANS(PARADEROS_VALIDOS!$E$2:$E$68))),0))</f>
        <v>Tottus Huachipa</v>
      </c>
      <c r="AD218" s="2" t="str">
        <f>IFERROR(INDEX(PARADEROS_VALIDOS!$A$2:$A$68,MATCH(AC218,PARADEROS_VALIDOS!$C$2:$C$68,0)),"")</f>
        <v>RUTA 1</v>
      </c>
      <c r="AE218" s="33" cm="1">
        <f t="array" ref="AE218">ROUND(MIN(6371*ACOS(COS(RADIANS(Y218))*COS(RADIANS(PARADEROS_VALIDOS!$E$2:$E$68))*COS(RADIANS(PARADEROS_VALIDOS!$F$2:$F$68)-RADIANS(Z218))+SIN(RADIANS(Y218))*SIN(RADIANS(PARADEROS_VALIDOS!$E$2:$E$68)))),2)</f>
        <v>1.18</v>
      </c>
      <c r="AF218" s="2" t="str">
        <f t="shared" si="15"/>
        <v>🟡 Cerca (1-3 km)</v>
      </c>
      <c r="AG218" s="2"/>
      <c r="AH218" s="2"/>
      <c r="AI218" s="51">
        <v>-11.997563</v>
      </c>
      <c r="AJ218" s="51">
        <v>-76.900062000000005</v>
      </c>
      <c r="AK218" s="2" t="str">
        <f>IFERROR(VLOOKUP(I218,tdcargo[],2,FALSE),"DESCONOCIDO")</f>
        <v>OPERARIO</v>
      </c>
    </row>
    <row r="219" spans="1:37" x14ac:dyDescent="0.35">
      <c r="A219" s="2" t="s">
        <v>1222</v>
      </c>
      <c r="B219" s="2" t="s">
        <v>1223</v>
      </c>
      <c r="C219" s="2" t="s">
        <v>273</v>
      </c>
      <c r="D219" s="2" t="s">
        <v>1224</v>
      </c>
      <c r="E219" s="2">
        <v>32</v>
      </c>
      <c r="F219" s="2" t="s">
        <v>28</v>
      </c>
      <c r="G219" s="2" t="s">
        <v>29</v>
      </c>
      <c r="H219" s="2">
        <v>20508759</v>
      </c>
      <c r="I219" s="2" t="s">
        <v>30</v>
      </c>
      <c r="J219" s="3">
        <v>45579</v>
      </c>
      <c r="K219" s="2" t="s">
        <v>31</v>
      </c>
      <c r="L219" s="2" t="s">
        <v>100</v>
      </c>
      <c r="M219" s="2" t="s">
        <v>101</v>
      </c>
      <c r="N219" s="2" t="s">
        <v>36</v>
      </c>
      <c r="O219" s="2" t="s">
        <v>1225</v>
      </c>
      <c r="P219" s="2" t="s">
        <v>36</v>
      </c>
      <c r="Q219" s="2" t="s">
        <v>1226</v>
      </c>
      <c r="R219" s="2">
        <v>15457</v>
      </c>
      <c r="S219" s="2" t="s">
        <v>37</v>
      </c>
      <c r="T219" s="2" t="s">
        <v>37</v>
      </c>
      <c r="U219" s="2" t="s">
        <v>76</v>
      </c>
      <c r="V219" s="3">
        <v>45579</v>
      </c>
      <c r="W219" s="2" t="s">
        <v>48</v>
      </c>
      <c r="X219" s="2" t="str">
        <f t="shared" si="12"/>
        <v>La Campiã‘A Sector A Mercado Campiã‘A, Lurigancho, Lima, Lima, Perú</v>
      </c>
      <c r="Y219" s="22">
        <v>-11.857298399999999</v>
      </c>
      <c r="Z219" s="22">
        <v>-77.128851699999998</v>
      </c>
      <c r="AA219" s="33">
        <f t="shared" si="13"/>
        <v>29.37</v>
      </c>
      <c r="AB219" s="2" t="str">
        <f t="shared" si="14"/>
        <v>🔴 Lejos (&gt;20 km)</v>
      </c>
      <c r="AC219" s="2" t="str" cm="1">
        <f t="array" ref="AC219">INDEX(PARADEROS_VALIDOS!$C$2:$C$68,MATCH(MIN(6371*ACOS(COS(RADIANS(Y219))*COS(RADIANS(PARADEROS_VALIDOS!$E$2:$E$68))*COS(RADIANS(PARADEROS_VALIDOS!$F$2:$F$68)-RADIANS(Z219))+SIN(RADIANS(Y219))*SIN(RADIANS(PARADEROS_VALIDOS!$E$2:$E$68)))),6371*ACOS(COS(RADIANS(Y219))*COS(RADIANS(PARADEROS_VALIDOS!$E$2:$E$68))*COS(RADIANS(PARADEROS_VALIDOS!$F$2:$F$68)-RADIANS(Z219))+SIN(RADIANS(Y219))*SIN(RADIANS(PARADEROS_VALIDOS!$E$2:$E$68))),0))</f>
        <v>Av. Metropolitana con Cultura</v>
      </c>
      <c r="AD219" s="2" t="str">
        <f>IFERROR(INDEX(PARADEROS_VALIDOS!$A$2:$A$68,MATCH(AC219,PARADEROS_VALIDOS!$C$2:$C$68,0)),"")</f>
        <v>RUTA 4A</v>
      </c>
      <c r="AE219" s="33" cm="1">
        <f t="array" ref="AE219">ROUND(MIN(6371*ACOS(COS(RADIANS(Y219))*COS(RADIANS(PARADEROS_VALIDOS!$E$2:$E$68))*COS(RADIANS(PARADEROS_VALIDOS!$F$2:$F$68)-RADIANS(Z219))+SIN(RADIANS(Y219))*SIN(RADIANS(PARADEROS_VALIDOS!$E$2:$E$68)))),2)</f>
        <v>12.72</v>
      </c>
      <c r="AF219" s="2" t="str">
        <f t="shared" si="15"/>
        <v>🔴 Lejos (&gt;5 km)</v>
      </c>
      <c r="AG219" s="2"/>
      <c r="AH219" s="2"/>
      <c r="AI219" s="51">
        <v>-11.997563</v>
      </c>
      <c r="AJ219" s="51">
        <v>-76.900062000000005</v>
      </c>
      <c r="AK219" s="2" t="str">
        <f>IFERROR(VLOOKUP(I219,tdcargo[],2,FALSE),"DESCONOCIDO")</f>
        <v>OPERARIO</v>
      </c>
    </row>
    <row r="220" spans="1:37" x14ac:dyDescent="0.35">
      <c r="A220" s="2" t="s">
        <v>1227</v>
      </c>
      <c r="B220" s="2" t="s">
        <v>1228</v>
      </c>
      <c r="C220" s="2" t="s">
        <v>43</v>
      </c>
      <c r="D220" s="2" t="s">
        <v>1229</v>
      </c>
      <c r="E220" s="2">
        <v>21</v>
      </c>
      <c r="F220" s="2" t="s">
        <v>28</v>
      </c>
      <c r="G220" s="2" t="s">
        <v>29</v>
      </c>
      <c r="H220" s="2">
        <v>20508794</v>
      </c>
      <c r="I220" s="2" t="s">
        <v>30</v>
      </c>
      <c r="J220" s="3">
        <v>45442</v>
      </c>
      <c r="K220" s="2" t="s">
        <v>31</v>
      </c>
      <c r="L220" s="2" t="s">
        <v>72</v>
      </c>
      <c r="M220" s="2" t="s">
        <v>73</v>
      </c>
      <c r="N220" s="2" t="s">
        <v>82</v>
      </c>
      <c r="O220" s="2" t="s">
        <v>1230</v>
      </c>
      <c r="P220" s="2" t="s">
        <v>36</v>
      </c>
      <c r="Q220" s="2" t="s">
        <v>1230</v>
      </c>
      <c r="R220" s="2">
        <v>15056</v>
      </c>
      <c r="S220" s="2" t="s">
        <v>37</v>
      </c>
      <c r="T220" s="2" t="s">
        <v>37</v>
      </c>
      <c r="U220" s="2" t="s">
        <v>858</v>
      </c>
      <c r="V220" s="3">
        <v>45442</v>
      </c>
      <c r="W220" s="2" t="s">
        <v>48</v>
      </c>
      <c r="X220" s="2" t="str">
        <f t="shared" si="12"/>
        <v>Calle Tumbes Tumbes, San Juan De Miraflores, Lima, Lima, Perú</v>
      </c>
      <c r="Y220" s="22">
        <v>-12.1289622</v>
      </c>
      <c r="Z220" s="22">
        <v>-76.962325399999997</v>
      </c>
      <c r="AA220" s="33">
        <f t="shared" si="13"/>
        <v>16.100000000000001</v>
      </c>
      <c r="AB220" s="2" t="str">
        <f t="shared" si="14"/>
        <v>🟠 Moderada (10-20 km)</v>
      </c>
      <c r="AC220" s="2" t="str" cm="1">
        <f t="array" ref="AC220">INDEX(PARADEROS_VALIDOS!$C$2:$C$68,MATCH(MIN(6371*ACOS(COS(RADIANS(Y220))*COS(RADIANS(PARADEROS_VALIDOS!$E$2:$E$68))*COS(RADIANS(PARADEROS_VALIDOS!$F$2:$F$68)-RADIANS(Z220))+SIN(RADIANS(Y220))*SIN(RADIANS(PARADEROS_VALIDOS!$E$2:$E$68)))),6371*ACOS(COS(RADIANS(Y220))*COS(RADIANS(PARADEROS_VALIDOS!$E$2:$E$68))*COS(RADIANS(PARADEROS_VALIDOS!$F$2:$F$68)-RADIANS(Z220))+SIN(RADIANS(Y220))*SIN(RADIANS(PARADEROS_VALIDOS!$E$2:$E$68))),0))</f>
        <v>Paradero San Juan</v>
      </c>
      <c r="AD220" s="2" t="str">
        <f>IFERROR(INDEX(PARADEROS_VALIDOS!$A$2:$A$68,MATCH(AC220,PARADEROS_VALIDOS!$C$2:$C$68,0)),"")</f>
        <v>RUTA 5B</v>
      </c>
      <c r="AE220" s="33" cm="1">
        <f t="array" ref="AE220">ROUND(MIN(6371*ACOS(COS(RADIANS(Y220))*COS(RADIANS(PARADEROS_VALIDOS!$E$2:$E$68))*COS(RADIANS(PARADEROS_VALIDOS!$F$2:$F$68)-RADIANS(Z220))+SIN(RADIANS(Y220))*SIN(RADIANS(PARADEROS_VALIDOS!$E$2:$E$68)))),2)</f>
        <v>0.72</v>
      </c>
      <c r="AF220" s="2" t="str">
        <f t="shared" si="15"/>
        <v>🟢 Muy Cerca (0-1 km)</v>
      </c>
      <c r="AG220" s="2"/>
      <c r="AH220" s="2"/>
      <c r="AI220" s="51">
        <v>-11.997563</v>
      </c>
      <c r="AJ220" s="51">
        <v>-76.900062000000005</v>
      </c>
      <c r="AK220" s="2" t="str">
        <f>IFERROR(VLOOKUP(I220,tdcargo[],2,FALSE),"DESCONOCIDO")</f>
        <v>OPERARIO</v>
      </c>
    </row>
    <row r="221" spans="1:37" x14ac:dyDescent="0.35">
      <c r="A221" s="2" t="s">
        <v>1231</v>
      </c>
      <c r="B221" s="2" t="s">
        <v>1232</v>
      </c>
      <c r="C221" s="2" t="s">
        <v>1233</v>
      </c>
      <c r="D221" s="2" t="s">
        <v>1234</v>
      </c>
      <c r="E221" s="2">
        <v>35</v>
      </c>
      <c r="F221" s="2" t="s">
        <v>28</v>
      </c>
      <c r="G221" s="2" t="s">
        <v>29</v>
      </c>
      <c r="H221" s="2">
        <v>20509035</v>
      </c>
      <c r="I221" s="2" t="s">
        <v>1235</v>
      </c>
      <c r="J221" s="3">
        <v>45614</v>
      </c>
      <c r="K221" s="2" t="s">
        <v>31</v>
      </c>
      <c r="L221" s="2" t="s">
        <v>1236</v>
      </c>
      <c r="M221" s="2"/>
      <c r="N221" s="2" t="s">
        <v>82</v>
      </c>
      <c r="O221" s="2" t="s">
        <v>1237</v>
      </c>
      <c r="P221" s="2" t="s">
        <v>36</v>
      </c>
      <c r="Q221" s="2">
        <v>0</v>
      </c>
      <c r="R221" s="2">
        <v>15311</v>
      </c>
      <c r="S221" s="2" t="s">
        <v>37</v>
      </c>
      <c r="T221" s="2" t="s">
        <v>37</v>
      </c>
      <c r="U221" s="2" t="s">
        <v>1094</v>
      </c>
      <c r="V221" s="3">
        <v>45614</v>
      </c>
      <c r="W221" s="2" t="s">
        <v>48</v>
      </c>
      <c r="X221" s="2" t="str">
        <f t="shared" si="12"/>
        <v>Calle Los Jacintos, Independencia, Lima, Lima, Perú</v>
      </c>
      <c r="Y221" s="22">
        <v>-12.0086163</v>
      </c>
      <c r="Z221" s="22">
        <v>-77.051025600000003</v>
      </c>
      <c r="AA221" s="33">
        <f t="shared" si="13"/>
        <v>16.47</v>
      </c>
      <c r="AB221" s="2" t="str">
        <f t="shared" si="14"/>
        <v>🟠 Moderada (10-20 km)</v>
      </c>
      <c r="AC221" s="2" t="str" cm="1">
        <f t="array" ref="AC221">INDEX(PARADEROS_VALIDOS!$C$2:$C$68,MATCH(MIN(6371*ACOS(COS(RADIANS(Y221))*COS(RADIANS(PARADEROS_VALIDOS!$E$2:$E$68))*COS(RADIANS(PARADEROS_VALIDOS!$F$2:$F$68)-RADIANS(Z221))+SIN(RADIANS(Y221))*SIN(RADIANS(PARADEROS_VALIDOS!$E$2:$E$68)))),6371*ACOS(COS(RADIANS(Y221))*COS(RADIANS(PARADEROS_VALIDOS!$E$2:$E$68))*COS(RADIANS(PARADEROS_VALIDOS!$F$2:$F$68)-RADIANS(Z221))+SIN(RADIANS(Y221))*SIN(RADIANS(PARADEROS_VALIDOS!$E$2:$E$68))),0))</f>
        <v>Paradero Habich</v>
      </c>
      <c r="AD221" s="2" t="str">
        <f>IFERROR(INDEX(PARADEROS_VALIDOS!$A$2:$A$68,MATCH(AC221,PARADEROS_VALIDOS!$C$2:$C$68,0)),"")</f>
        <v>RUTA 8</v>
      </c>
      <c r="AE221" s="33" cm="1">
        <f t="array" ref="AE221">ROUND(MIN(6371*ACOS(COS(RADIANS(Y221))*COS(RADIANS(PARADEROS_VALIDOS!$E$2:$E$68))*COS(RADIANS(PARADEROS_VALIDOS!$F$2:$F$68)-RADIANS(Z221))+SIN(RADIANS(Y221))*SIN(RADIANS(PARADEROS_VALIDOS!$E$2:$E$68)))),2)</f>
        <v>2.12</v>
      </c>
      <c r="AF221" s="2" t="str">
        <f t="shared" si="15"/>
        <v>🟡 Cerca (1-3 km)</v>
      </c>
      <c r="AG221" s="2"/>
      <c r="AH221" s="2"/>
      <c r="AI221" s="51">
        <v>-11.997563</v>
      </c>
      <c r="AJ221" s="51">
        <v>-76.900062000000005</v>
      </c>
      <c r="AK221" s="2" t="str">
        <f>IFERROR(VLOOKUP(I221,tdcargo[],2,FALSE),"DESCONOCIDO")</f>
        <v>STAFF</v>
      </c>
    </row>
    <row r="222" spans="1:37" x14ac:dyDescent="0.35">
      <c r="A222" s="2" t="s">
        <v>1238</v>
      </c>
      <c r="B222" s="2" t="s">
        <v>915</v>
      </c>
      <c r="C222" s="2" t="s">
        <v>1239</v>
      </c>
      <c r="D222" s="2" t="s">
        <v>1240</v>
      </c>
      <c r="E222" s="2">
        <v>32</v>
      </c>
      <c r="F222" s="2" t="s">
        <v>28</v>
      </c>
      <c r="G222" s="2" t="s">
        <v>29</v>
      </c>
      <c r="H222" s="2">
        <v>20510574</v>
      </c>
      <c r="I222" s="2" t="s">
        <v>30</v>
      </c>
      <c r="J222" s="3">
        <v>45537</v>
      </c>
      <c r="K222" s="2" t="s">
        <v>31</v>
      </c>
      <c r="L222" s="2" t="s">
        <v>72</v>
      </c>
      <c r="M222" s="2" t="s">
        <v>73</v>
      </c>
      <c r="N222" s="2" t="s">
        <v>34</v>
      </c>
      <c r="O222" s="2" t="s">
        <v>195</v>
      </c>
      <c r="P222" s="2" t="s">
        <v>36</v>
      </c>
      <c r="Q222" s="2">
        <v>0</v>
      </c>
      <c r="R222" s="2">
        <v>15510</v>
      </c>
      <c r="S222" s="2" t="s">
        <v>37</v>
      </c>
      <c r="T222" s="2" t="s">
        <v>195</v>
      </c>
      <c r="U222" s="2" t="s">
        <v>196</v>
      </c>
      <c r="V222" s="3">
        <v>46082</v>
      </c>
      <c r="W222" s="2" t="s">
        <v>39</v>
      </c>
      <c r="X222" s="2" t="str">
        <f t="shared" si="12"/>
        <v>Avenida Huarochiri, San Antonio, Huarochiri, Lima, Perú</v>
      </c>
      <c r="Y222" s="22">
        <v>-11.7427834</v>
      </c>
      <c r="Z222" s="22">
        <v>-76.649859000000006</v>
      </c>
      <c r="AA222" s="33">
        <f t="shared" si="13"/>
        <v>39.29</v>
      </c>
      <c r="AB222" s="2" t="str">
        <f t="shared" si="14"/>
        <v>🔴 Lejos (&gt;20 km)</v>
      </c>
      <c r="AC222" s="2" t="str" cm="1">
        <f t="array" ref="AC222">INDEX(PARADEROS_VALIDOS!$C$2:$C$68,MATCH(MIN(6371*ACOS(COS(RADIANS(Y222))*COS(RADIANS(PARADEROS_VALIDOS!$E$2:$E$68))*COS(RADIANS(PARADEROS_VALIDOS!$F$2:$F$68)-RADIANS(Z222))+SIN(RADIANS(Y222))*SIN(RADIANS(PARADEROS_VALIDOS!$E$2:$E$68)))),6371*ACOS(COS(RADIANS(Y222))*COS(RADIANS(PARADEROS_VALIDOS!$E$2:$E$68))*COS(RADIANS(PARADEROS_VALIDOS!$F$2:$F$68)-RADIANS(Z222))+SIN(RADIANS(Y222))*SIN(RADIANS(PARADEROS_VALIDOS!$E$2:$E$68))),0))</f>
        <v>Paradero Girasoles - Chaclacayo</v>
      </c>
      <c r="AD222" s="2" t="str">
        <f>IFERROR(INDEX(PARADEROS_VALIDOS!$A$2:$A$68,MATCH(AC222,PARADEROS_VALIDOS!$C$2:$C$68,0)),"")</f>
        <v>RUTA 5A</v>
      </c>
      <c r="AE222" s="33" cm="1">
        <f t="array" ref="AE222">ROUND(MIN(6371*ACOS(COS(RADIANS(Y222))*COS(RADIANS(PARADEROS_VALIDOS!$E$2:$E$68))*COS(RADIANS(PARADEROS_VALIDOS!$F$2:$F$68)-RADIANS(Z222))+SIN(RADIANS(Y222))*SIN(RADIANS(PARADEROS_VALIDOS!$E$2:$E$68)))),2)</f>
        <v>29.21</v>
      </c>
      <c r="AF222" s="2" t="str">
        <f t="shared" si="15"/>
        <v>🔴 Lejos (&gt;5 km)</v>
      </c>
      <c r="AG222" s="2"/>
      <c r="AH222" s="2"/>
      <c r="AI222" s="51">
        <v>-11.997563</v>
      </c>
      <c r="AJ222" s="51">
        <v>-76.900062000000005</v>
      </c>
      <c r="AK222" s="2" t="str">
        <f>IFERROR(VLOOKUP(I222,tdcargo[],2,FALSE),"DESCONOCIDO")</f>
        <v>OPERARIO</v>
      </c>
    </row>
    <row r="223" spans="1:37" x14ac:dyDescent="0.35">
      <c r="A223" s="2" t="s">
        <v>1241</v>
      </c>
      <c r="B223" s="2" t="s">
        <v>1242</v>
      </c>
      <c r="C223" s="2" t="s">
        <v>1243</v>
      </c>
      <c r="D223" s="2" t="s">
        <v>452</v>
      </c>
      <c r="E223" s="2">
        <v>42</v>
      </c>
      <c r="F223" s="2" t="s">
        <v>28</v>
      </c>
      <c r="G223" s="2" t="s">
        <v>29</v>
      </c>
      <c r="H223" s="2">
        <v>20510588</v>
      </c>
      <c r="I223" s="2" t="s">
        <v>30</v>
      </c>
      <c r="J223" s="3">
        <v>45082</v>
      </c>
      <c r="K223" s="2" t="s">
        <v>31</v>
      </c>
      <c r="L223" s="2" t="s">
        <v>72</v>
      </c>
      <c r="M223" s="2" t="s">
        <v>73</v>
      </c>
      <c r="N223" s="2" t="s">
        <v>36</v>
      </c>
      <c r="O223" s="2" t="s">
        <v>1244</v>
      </c>
      <c r="P223" s="2" t="s">
        <v>643</v>
      </c>
      <c r="Q223" s="2" t="s">
        <v>227</v>
      </c>
      <c r="R223" s="2">
        <v>15457</v>
      </c>
      <c r="S223" s="2" t="s">
        <v>37</v>
      </c>
      <c r="T223" s="2" t="s">
        <v>37</v>
      </c>
      <c r="U223" s="2" t="s">
        <v>76</v>
      </c>
      <c r="V223" s="3">
        <v>45082</v>
      </c>
      <c r="W223" s="2" t="s">
        <v>48</v>
      </c>
      <c r="X223" s="2" t="str">
        <f t="shared" si="12"/>
        <v>Asc.Residencial Las Palmeras, Res. Residencial Huachipa, Lurigancho, Lima, Lima, Perú</v>
      </c>
      <c r="Y223" s="22">
        <v>-12.0050314</v>
      </c>
      <c r="Z223" s="22">
        <v>-76.916831599999995</v>
      </c>
      <c r="AA223" s="33">
        <f t="shared" si="13"/>
        <v>2</v>
      </c>
      <c r="AB223" s="2" t="str">
        <f t="shared" si="14"/>
        <v>🟢 Muy Cerca (0-5 km)</v>
      </c>
      <c r="AC223" s="2" t="str" cm="1">
        <f t="array" ref="AC223">INDEX(PARADEROS_VALIDOS!$C$2:$C$68,MATCH(MIN(6371*ACOS(COS(RADIANS(Y223))*COS(RADIANS(PARADEROS_VALIDOS!$E$2:$E$68))*COS(RADIANS(PARADEROS_VALIDOS!$F$2:$F$68)-RADIANS(Z223))+SIN(RADIANS(Y223))*SIN(RADIANS(PARADEROS_VALIDOS!$E$2:$E$68)))),6371*ACOS(COS(RADIANS(Y223))*COS(RADIANS(PARADEROS_VALIDOS!$E$2:$E$68))*COS(RADIANS(PARADEROS_VALIDOS!$F$2:$F$68)-RADIANS(Z223))+SIN(RADIANS(Y223))*SIN(RADIANS(PARADEROS_VALIDOS!$E$2:$E$68))),0))</f>
        <v>Estadio Huachipa</v>
      </c>
      <c r="AD223" s="2" t="str">
        <f>IFERROR(INDEX(PARADEROS_VALIDOS!$A$2:$A$68,MATCH(AC223,PARADEROS_VALIDOS!$C$2:$C$68,0)),"")</f>
        <v>RUTA 5C</v>
      </c>
      <c r="AE223" s="33" cm="1">
        <f t="array" ref="AE223">ROUND(MIN(6371*ACOS(COS(RADIANS(Y223))*COS(RADIANS(PARADEROS_VALIDOS!$E$2:$E$68))*COS(RADIANS(PARADEROS_VALIDOS!$F$2:$F$68)-RADIANS(Z223))+SIN(RADIANS(Y223))*SIN(RADIANS(PARADEROS_VALIDOS!$E$2:$E$68)))),2)</f>
        <v>1.01</v>
      </c>
      <c r="AF223" s="2" t="str">
        <f t="shared" si="15"/>
        <v>🟡 Cerca (1-3 km)</v>
      </c>
      <c r="AG223" s="2"/>
      <c r="AH223" s="2"/>
      <c r="AI223" s="51">
        <v>-11.997563</v>
      </c>
      <c r="AJ223" s="51">
        <v>-76.900062000000005</v>
      </c>
      <c r="AK223" s="2" t="str">
        <f>IFERROR(VLOOKUP(I223,tdcargo[],2,FALSE),"DESCONOCIDO")</f>
        <v>OPERARIO</v>
      </c>
    </row>
    <row r="224" spans="1:37" x14ac:dyDescent="0.35">
      <c r="A224" s="2" t="s">
        <v>329</v>
      </c>
      <c r="B224" s="2" t="s">
        <v>1245</v>
      </c>
      <c r="C224" s="2" t="s">
        <v>43</v>
      </c>
      <c r="D224" s="2" t="s">
        <v>1246</v>
      </c>
      <c r="E224" s="2">
        <v>40</v>
      </c>
      <c r="F224" s="2" t="s">
        <v>28</v>
      </c>
      <c r="G224" s="2" t="s">
        <v>29</v>
      </c>
      <c r="H224" s="2">
        <v>20508722</v>
      </c>
      <c r="I224" s="2" t="s">
        <v>1247</v>
      </c>
      <c r="J224" s="3">
        <v>43556</v>
      </c>
      <c r="K224" s="2" t="s">
        <v>31</v>
      </c>
      <c r="L224" s="2" t="s">
        <v>1248</v>
      </c>
      <c r="M224" s="2"/>
      <c r="N224" s="2" t="s">
        <v>53</v>
      </c>
      <c r="O224" s="2" t="s">
        <v>1249</v>
      </c>
      <c r="P224" s="2" t="s">
        <v>186</v>
      </c>
      <c r="Q224" s="2" t="s">
        <v>1250</v>
      </c>
      <c r="R224" s="2">
        <v>15113</v>
      </c>
      <c r="S224" s="2" t="s">
        <v>37</v>
      </c>
      <c r="T224" s="2" t="s">
        <v>37</v>
      </c>
      <c r="U224" s="2" t="s">
        <v>116</v>
      </c>
      <c r="V224" s="3">
        <v>43556</v>
      </c>
      <c r="W224" s="2" t="s">
        <v>48</v>
      </c>
      <c r="X224" s="2" t="str">
        <f t="shared" si="12"/>
        <v>Jirón Godofredo Garcia, Urb. Urbanización Panamericana Norte, Los Olivos, Lima, Lima, Perú</v>
      </c>
      <c r="Y224" s="22">
        <v>-11.9861632</v>
      </c>
      <c r="Z224" s="22">
        <v>-77.069270099999997</v>
      </c>
      <c r="AA224" s="33">
        <f t="shared" si="13"/>
        <v>18.45</v>
      </c>
      <c r="AB224" s="2" t="str">
        <f t="shared" si="14"/>
        <v>🟠 Moderada (10-20 km)</v>
      </c>
      <c r="AC224" s="2" t="str" cm="1">
        <f t="array" ref="AC224">INDEX(PARADEROS_VALIDOS!$C$2:$C$68,MATCH(MIN(6371*ACOS(COS(RADIANS(Y224))*COS(RADIANS(PARADEROS_VALIDOS!$E$2:$E$68))*COS(RADIANS(PARADEROS_VALIDOS!$F$2:$F$68)-RADIANS(Z224))+SIN(RADIANS(Y224))*SIN(RADIANS(PARADEROS_VALIDOS!$E$2:$E$68)))),6371*ACOS(COS(RADIANS(Y224))*COS(RADIANS(PARADEROS_VALIDOS!$E$2:$E$68))*COS(RADIANS(PARADEROS_VALIDOS!$F$2:$F$68)-RADIANS(Z224))+SIN(RADIANS(Y224))*SIN(RADIANS(PARADEROS_VALIDOS!$E$2:$E$68))),0))</f>
        <v>Paradero Metro Eyzaguirre</v>
      </c>
      <c r="AD224" s="2" t="str">
        <f>IFERROR(INDEX(PARADEROS_VALIDOS!$A$2:$A$68,MATCH(AC224,PARADEROS_VALIDOS!$C$2:$C$68,0)),"")</f>
        <v>RUTA 8</v>
      </c>
      <c r="AE224" s="33" cm="1">
        <f t="array" ref="AE224">ROUND(MIN(6371*ACOS(COS(RADIANS(Y224))*COS(RADIANS(PARADEROS_VALIDOS!$E$2:$E$68))*COS(RADIANS(PARADEROS_VALIDOS!$F$2:$F$68)-RADIANS(Z224))+SIN(RADIANS(Y224))*SIN(RADIANS(PARADEROS_VALIDOS!$E$2:$E$68)))),2)</f>
        <v>0.67</v>
      </c>
      <c r="AF224" s="2" t="str">
        <f t="shared" si="15"/>
        <v>🟢 Muy Cerca (0-1 km)</v>
      </c>
      <c r="AG224" s="2"/>
      <c r="AH224" s="2"/>
      <c r="AI224" s="51">
        <v>-11.997563</v>
      </c>
      <c r="AJ224" s="51">
        <v>-76.900062000000005</v>
      </c>
      <c r="AK224" s="2" t="str">
        <f>IFERROR(VLOOKUP(I224,tdcargo[],2,FALSE),"DESCONOCIDO")</f>
        <v>STAFF</v>
      </c>
    </row>
    <row r="225" spans="1:37" x14ac:dyDescent="0.35">
      <c r="A225" s="2" t="s">
        <v>1251</v>
      </c>
      <c r="B225" s="2" t="s">
        <v>1252</v>
      </c>
      <c r="C225" s="2" t="s">
        <v>363</v>
      </c>
      <c r="D225" s="2" t="s">
        <v>364</v>
      </c>
      <c r="E225" s="2">
        <v>36</v>
      </c>
      <c r="F225" s="2" t="s">
        <v>28</v>
      </c>
      <c r="G225" s="2" t="s">
        <v>29</v>
      </c>
      <c r="H225" s="2">
        <v>20508845</v>
      </c>
      <c r="I225" s="2" t="s">
        <v>62</v>
      </c>
      <c r="J225" s="3">
        <v>43157</v>
      </c>
      <c r="K225" s="2" t="s">
        <v>31</v>
      </c>
      <c r="L225" s="2" t="s">
        <v>164</v>
      </c>
      <c r="M225" s="2" t="s">
        <v>165</v>
      </c>
      <c r="N225" s="2" t="s">
        <v>82</v>
      </c>
      <c r="O225" s="2" t="s">
        <v>46</v>
      </c>
      <c r="P225" s="2" t="s">
        <v>36</v>
      </c>
      <c r="Q225" s="2" t="s">
        <v>1253</v>
      </c>
      <c r="R225" s="2">
        <v>15004</v>
      </c>
      <c r="S225" s="2" t="s">
        <v>37</v>
      </c>
      <c r="T225" s="2" t="s">
        <v>37</v>
      </c>
      <c r="U225" s="2" t="s">
        <v>57</v>
      </c>
      <c r="V225" s="3">
        <v>43157</v>
      </c>
      <c r="W225" s="2" t="s">
        <v>48</v>
      </c>
      <c r="X225" s="2" t="str">
        <f t="shared" si="12"/>
        <v>Calle Nd Niño Jesus 2Da Etp Santa Clara, Ate, Lima, Lima, Perú</v>
      </c>
      <c r="Y225" s="22">
        <v>-12.019954200000001</v>
      </c>
      <c r="Z225" s="22">
        <v>-76.886508500000005</v>
      </c>
      <c r="AA225" s="33">
        <f t="shared" si="13"/>
        <v>2.89</v>
      </c>
      <c r="AB225" s="2" t="str">
        <f t="shared" si="14"/>
        <v>🟢 Muy Cerca (0-5 km)</v>
      </c>
      <c r="AC225" s="2" t="str" cm="1">
        <f t="array" ref="AC225">INDEX(PARADEROS_VALIDOS!$C$2:$C$68,MATCH(MIN(6371*ACOS(COS(RADIANS(Y225))*COS(RADIANS(PARADEROS_VALIDOS!$E$2:$E$68))*COS(RADIANS(PARADEROS_VALIDOS!$F$2:$F$68)-RADIANS(Z225))+SIN(RADIANS(Y225))*SIN(RADIANS(PARADEROS_VALIDOS!$E$2:$E$68)))),6371*ACOS(COS(RADIANS(Y225))*COS(RADIANS(PARADEROS_VALIDOS!$E$2:$E$68))*COS(RADIANS(PARADEROS_VALIDOS!$F$2:$F$68)-RADIANS(Z225))+SIN(RADIANS(Y225))*SIN(RADIANS(PARADEROS_VALIDOS!$E$2:$E$68))),0))</f>
        <v>Paradero Sta. Clara</v>
      </c>
      <c r="AD225" s="2" t="str">
        <f>IFERROR(INDEX(PARADEROS_VALIDOS!$A$2:$A$68,MATCH(AC225,PARADEROS_VALIDOS!$C$2:$C$68,0)),"")</f>
        <v>RUTA 5C</v>
      </c>
      <c r="AE225" s="33" cm="1">
        <f t="array" ref="AE225">ROUND(MIN(6371*ACOS(COS(RADIANS(Y225))*COS(RADIANS(PARADEROS_VALIDOS!$E$2:$E$68))*COS(RADIANS(PARADEROS_VALIDOS!$F$2:$F$68)-RADIANS(Z225))+SIN(RADIANS(Y225))*SIN(RADIANS(PARADEROS_VALIDOS!$E$2:$E$68)))),2)</f>
        <v>0.59</v>
      </c>
      <c r="AF225" s="2" t="str">
        <f t="shared" si="15"/>
        <v>🟢 Muy Cerca (0-1 km)</v>
      </c>
      <c r="AG225" s="2"/>
      <c r="AH225" s="2"/>
      <c r="AI225" s="51">
        <v>-11.997563</v>
      </c>
      <c r="AJ225" s="51">
        <v>-76.900062000000005</v>
      </c>
      <c r="AK225" s="2" t="str">
        <f>IFERROR(VLOOKUP(I225,tdcargo[],2,FALSE),"DESCONOCIDO")</f>
        <v>OPERARIO</v>
      </c>
    </row>
    <row r="226" spans="1:37" x14ac:dyDescent="0.35">
      <c r="A226" s="2" t="s">
        <v>1254</v>
      </c>
      <c r="B226" s="2" t="s">
        <v>1255</v>
      </c>
      <c r="C226" s="2" t="s">
        <v>191</v>
      </c>
      <c r="D226" s="2" t="s">
        <v>1256</v>
      </c>
      <c r="E226" s="2">
        <v>33</v>
      </c>
      <c r="F226" s="2" t="s">
        <v>28</v>
      </c>
      <c r="G226" s="2" t="s">
        <v>29</v>
      </c>
      <c r="H226" s="2">
        <v>20508879</v>
      </c>
      <c r="I226" s="2" t="s">
        <v>30</v>
      </c>
      <c r="J226" s="3">
        <v>45492</v>
      </c>
      <c r="K226" s="2" t="s">
        <v>31</v>
      </c>
      <c r="L226" s="2" t="s">
        <v>164</v>
      </c>
      <c r="M226" s="2" t="s">
        <v>165</v>
      </c>
      <c r="N226" s="2" t="s">
        <v>34</v>
      </c>
      <c r="O226" s="2" t="s">
        <v>505</v>
      </c>
      <c r="P226" s="2" t="s">
        <v>36</v>
      </c>
      <c r="Q226" s="2" t="s">
        <v>1257</v>
      </c>
      <c r="R226" s="2">
        <v>15004</v>
      </c>
      <c r="S226" s="2" t="s">
        <v>37</v>
      </c>
      <c r="T226" s="2" t="s">
        <v>37</v>
      </c>
      <c r="U226" s="2" t="s">
        <v>57</v>
      </c>
      <c r="V226" s="3">
        <v>45492</v>
      </c>
      <c r="W226" s="2" t="s">
        <v>48</v>
      </c>
      <c r="X226" s="2" t="str">
        <f t="shared" si="12"/>
        <v>Avenida Paraiso De Cajamarquilla Cajamarquilla, Paraiso, Ate, Lima, Lima, Perú</v>
      </c>
      <c r="Y226" s="22">
        <v>-12.020363</v>
      </c>
      <c r="Z226" s="22">
        <v>-76.811107899999996</v>
      </c>
      <c r="AA226" s="33">
        <f t="shared" si="13"/>
        <v>10</v>
      </c>
      <c r="AB226" s="2" t="str">
        <f t="shared" si="14"/>
        <v>🟡 Cerca (5-10 km)</v>
      </c>
      <c r="AC226" s="2" t="str" cm="1">
        <f t="array" ref="AC226">INDEX(PARADEROS_VALIDOS!$C$2:$C$68,MATCH(MIN(6371*ACOS(COS(RADIANS(Y226))*COS(RADIANS(PARADEROS_VALIDOS!$E$2:$E$68))*COS(RADIANS(PARADEROS_VALIDOS!$F$2:$F$68)-RADIANS(Z226))+SIN(RADIANS(Y226))*SIN(RADIANS(PARADEROS_VALIDOS!$E$2:$E$68)))),6371*ACOS(COS(RADIANS(Y226))*COS(RADIANS(PARADEROS_VALIDOS!$E$2:$E$68))*COS(RADIANS(PARADEROS_VALIDOS!$F$2:$F$68)-RADIANS(Z226))+SIN(RADIANS(Y226))*SIN(RADIANS(PARADEROS_VALIDOS!$E$2:$E$68))),0))</f>
        <v>Paradero Aurora</v>
      </c>
      <c r="AD226" s="2" t="str">
        <f>IFERROR(INDEX(PARADEROS_VALIDOS!$A$2:$A$68,MATCH(AC226,PARADEROS_VALIDOS!$C$2:$C$68,0)),"")</f>
        <v>RUTA 3</v>
      </c>
      <c r="AE226" s="33" cm="1">
        <f t="array" ref="AE226">ROUND(MIN(6371*ACOS(COS(RADIANS(Y226))*COS(RADIANS(PARADEROS_VALIDOS!$E$2:$E$68))*COS(RADIANS(PARADEROS_VALIDOS!$F$2:$F$68)-RADIANS(Z226))+SIN(RADIANS(Y226))*SIN(RADIANS(PARADEROS_VALIDOS!$E$2:$E$68)))),2)</f>
        <v>1.39</v>
      </c>
      <c r="AF226" s="2" t="str">
        <f t="shared" si="15"/>
        <v>🟡 Cerca (1-3 km)</v>
      </c>
      <c r="AG226" s="2"/>
      <c r="AH226" s="2"/>
      <c r="AI226" s="51">
        <v>-11.997563</v>
      </c>
      <c r="AJ226" s="51">
        <v>-76.900062000000005</v>
      </c>
      <c r="AK226" s="2" t="str">
        <f>IFERROR(VLOOKUP(I226,tdcargo[],2,FALSE),"DESCONOCIDO")</f>
        <v>OPERARIO</v>
      </c>
    </row>
    <row r="227" spans="1:37" x14ac:dyDescent="0.35">
      <c r="A227" s="2" t="s">
        <v>1258</v>
      </c>
      <c r="B227" s="2" t="s">
        <v>1259</v>
      </c>
      <c r="C227" s="2" t="s">
        <v>1260</v>
      </c>
      <c r="D227" s="2" t="s">
        <v>1261</v>
      </c>
      <c r="E227" s="2">
        <v>23</v>
      </c>
      <c r="F227" s="2" t="s">
        <v>28</v>
      </c>
      <c r="G227" s="2" t="s">
        <v>29</v>
      </c>
      <c r="H227" s="2">
        <v>20514457</v>
      </c>
      <c r="I227" s="2" t="s">
        <v>30</v>
      </c>
      <c r="J227" s="3">
        <v>45918</v>
      </c>
      <c r="K227" s="2" t="s">
        <v>31</v>
      </c>
      <c r="L227" s="2" t="s">
        <v>100</v>
      </c>
      <c r="M227" s="2" t="s">
        <v>101</v>
      </c>
      <c r="N227" s="2" t="s">
        <v>34</v>
      </c>
      <c r="O227" s="2" t="s">
        <v>803</v>
      </c>
      <c r="P227" s="2" t="s">
        <v>36</v>
      </c>
      <c r="Q227" s="2" t="s">
        <v>803</v>
      </c>
      <c r="R227" s="2">
        <v>15004</v>
      </c>
      <c r="S227" s="2" t="s">
        <v>37</v>
      </c>
      <c r="T227" s="2" t="s">
        <v>37</v>
      </c>
      <c r="U227" s="2" t="s">
        <v>57</v>
      </c>
      <c r="V227" s="3">
        <v>45918</v>
      </c>
      <c r="W227" s="2" t="s">
        <v>39</v>
      </c>
      <c r="X227" s="2" t="str">
        <f t="shared" si="12"/>
        <v>Avenida Santa Rosa Santa Rosa, Ate, Lima, Lima, Perú</v>
      </c>
      <c r="Y227" s="22">
        <v>-12.0171165</v>
      </c>
      <c r="Z227" s="22">
        <v>-76.879102799999998</v>
      </c>
      <c r="AA227" s="33">
        <f t="shared" si="13"/>
        <v>3.15</v>
      </c>
      <c r="AB227" s="2" t="str">
        <f t="shared" si="14"/>
        <v>🟢 Muy Cerca (0-5 km)</v>
      </c>
      <c r="AC227" s="2" t="str" cm="1">
        <f t="array" ref="AC227">INDEX(PARADEROS_VALIDOS!$C$2:$C$68,MATCH(MIN(6371*ACOS(COS(RADIANS(Y227))*COS(RADIANS(PARADEROS_VALIDOS!$E$2:$E$68))*COS(RADIANS(PARADEROS_VALIDOS!$F$2:$F$68)-RADIANS(Z227))+SIN(RADIANS(Y227))*SIN(RADIANS(PARADEROS_VALIDOS!$E$2:$E$68)))),6371*ACOS(COS(RADIANS(Y227))*COS(RADIANS(PARADEROS_VALIDOS!$E$2:$E$68))*COS(RADIANS(PARADEROS_VALIDOS!$F$2:$F$68)-RADIANS(Z227))+SIN(RADIANS(Y227))*SIN(RADIANS(PARADEROS_VALIDOS!$E$2:$E$68))),0))</f>
        <v>Paradero la Cruz</v>
      </c>
      <c r="AD227" s="2" t="str">
        <f>IFERROR(INDEX(PARADEROS_VALIDOS!$A$2:$A$68,MATCH(AC227,PARADEROS_VALIDOS!$C$2:$C$68,0)),"")</f>
        <v>RUTA 4B</v>
      </c>
      <c r="AE227" s="33" cm="1">
        <f t="array" ref="AE227">ROUND(MIN(6371*ACOS(COS(RADIANS(Y227))*COS(RADIANS(PARADEROS_VALIDOS!$E$2:$E$68))*COS(RADIANS(PARADEROS_VALIDOS!$F$2:$F$68)-RADIANS(Z227))+SIN(RADIANS(Y227))*SIN(RADIANS(PARADEROS_VALIDOS!$E$2:$E$68)))),2)</f>
        <v>0.7</v>
      </c>
      <c r="AF227" s="2" t="str">
        <f t="shared" si="15"/>
        <v>🟢 Muy Cerca (0-1 km)</v>
      </c>
      <c r="AG227" s="2"/>
      <c r="AH227" s="2"/>
      <c r="AI227" s="51">
        <v>-11.997563</v>
      </c>
      <c r="AJ227" s="51">
        <v>-76.900062000000005</v>
      </c>
      <c r="AK227" s="2" t="str">
        <f>IFERROR(VLOOKUP(I227,tdcargo[],2,FALSE),"DESCONOCIDO")</f>
        <v>OPERARIO</v>
      </c>
    </row>
    <row r="228" spans="1:37" x14ac:dyDescent="0.35">
      <c r="A228" s="2" t="s">
        <v>1262</v>
      </c>
      <c r="B228" s="2" t="s">
        <v>1263</v>
      </c>
      <c r="C228" s="2" t="s">
        <v>1264</v>
      </c>
      <c r="D228" s="2" t="s">
        <v>409</v>
      </c>
      <c r="E228" s="2">
        <v>21</v>
      </c>
      <c r="F228" s="2" t="s">
        <v>28</v>
      </c>
      <c r="G228" s="2" t="s">
        <v>29</v>
      </c>
      <c r="H228" s="2">
        <v>20508830</v>
      </c>
      <c r="I228" s="2" t="s">
        <v>30</v>
      </c>
      <c r="J228" s="3">
        <v>45600</v>
      </c>
      <c r="K228" s="2" t="s">
        <v>31</v>
      </c>
      <c r="L228" s="2" t="s">
        <v>108</v>
      </c>
      <c r="M228" s="2" t="s">
        <v>109</v>
      </c>
      <c r="N228" s="2" t="s">
        <v>36</v>
      </c>
      <c r="O228" s="2" t="s">
        <v>705</v>
      </c>
      <c r="P228" s="2" t="s">
        <v>88</v>
      </c>
      <c r="Q228" s="2" t="s">
        <v>1265</v>
      </c>
      <c r="R228" s="2">
        <v>15004</v>
      </c>
      <c r="S228" s="2" t="s">
        <v>37</v>
      </c>
      <c r="T228" s="2" t="s">
        <v>37</v>
      </c>
      <c r="U228" s="2" t="s">
        <v>57</v>
      </c>
      <c r="V228" s="3">
        <v>46023</v>
      </c>
      <c r="W228" s="2" t="s">
        <v>39</v>
      </c>
      <c r="X228" s="2" t="str">
        <f t="shared" si="12"/>
        <v>Huaycan, A.H. Asentamiento Humano Zona N, Ate, Lima, Lima, Perú</v>
      </c>
      <c r="Y228" s="22">
        <v>-12.0089439</v>
      </c>
      <c r="Z228" s="22">
        <v>-76.816592799999995</v>
      </c>
      <c r="AA228" s="33">
        <f t="shared" si="13"/>
        <v>9.17</v>
      </c>
      <c r="AB228" s="2" t="str">
        <f t="shared" si="14"/>
        <v>🟡 Cerca (5-10 km)</v>
      </c>
      <c r="AC228" s="2" t="str" cm="1">
        <f t="array" ref="AC228">INDEX(PARADEROS_VALIDOS!$C$2:$C$68,MATCH(MIN(6371*ACOS(COS(RADIANS(Y228))*COS(RADIANS(PARADEROS_VALIDOS!$E$2:$E$68))*COS(RADIANS(PARADEROS_VALIDOS!$F$2:$F$68)-RADIANS(Z228))+SIN(RADIANS(Y228))*SIN(RADIANS(PARADEROS_VALIDOS!$E$2:$E$68)))),6371*ACOS(COS(RADIANS(Y228))*COS(RADIANS(PARADEROS_VALIDOS!$E$2:$E$68))*COS(RADIANS(PARADEROS_VALIDOS!$F$2:$F$68)-RADIANS(Z228))+SIN(RADIANS(Y228))*SIN(RADIANS(PARADEROS_VALIDOS!$E$2:$E$68))),0))</f>
        <v>Paradero Aurora</v>
      </c>
      <c r="AD228" s="2" t="str">
        <f>IFERROR(INDEX(PARADEROS_VALIDOS!$A$2:$A$68,MATCH(AC228,PARADEROS_VALIDOS!$C$2:$C$68,0)),"")</f>
        <v>RUTA 3</v>
      </c>
      <c r="AE228" s="33" cm="1">
        <f t="array" ref="AE228">ROUND(MIN(6371*ACOS(COS(RADIANS(Y228))*COS(RADIANS(PARADEROS_VALIDOS!$E$2:$E$68))*COS(RADIANS(PARADEROS_VALIDOS!$F$2:$F$68)-RADIANS(Z228))+SIN(RADIANS(Y228))*SIN(RADIANS(PARADEROS_VALIDOS!$E$2:$E$68)))),2)</f>
        <v>1.99</v>
      </c>
      <c r="AF228" s="2" t="str">
        <f t="shared" si="15"/>
        <v>🟡 Cerca (1-3 km)</v>
      </c>
      <c r="AG228" s="2"/>
      <c r="AH228" s="2"/>
      <c r="AI228" s="51">
        <v>-11.997563</v>
      </c>
      <c r="AJ228" s="51">
        <v>-76.900062000000005</v>
      </c>
      <c r="AK228" s="2" t="str">
        <f>IFERROR(VLOOKUP(I228,tdcargo[],2,FALSE),"DESCONOCIDO")</f>
        <v>OPERARIO</v>
      </c>
    </row>
    <row r="229" spans="1:37" x14ac:dyDescent="0.35">
      <c r="A229" s="2" t="s">
        <v>1266</v>
      </c>
      <c r="B229" s="2" t="s">
        <v>1267</v>
      </c>
      <c r="C229" s="2" t="s">
        <v>1268</v>
      </c>
      <c r="D229" s="2" t="s">
        <v>1269</v>
      </c>
      <c r="E229" s="2">
        <v>35</v>
      </c>
      <c r="F229" s="2" t="s">
        <v>28</v>
      </c>
      <c r="G229" s="2" t="s">
        <v>29</v>
      </c>
      <c r="H229" s="2">
        <v>20508865</v>
      </c>
      <c r="I229" s="2" t="s">
        <v>30</v>
      </c>
      <c r="J229" s="3">
        <v>45579</v>
      </c>
      <c r="K229" s="2" t="s">
        <v>31</v>
      </c>
      <c r="L229" s="2" t="s">
        <v>108</v>
      </c>
      <c r="M229" s="2" t="s">
        <v>109</v>
      </c>
      <c r="N229" s="2" t="s">
        <v>34</v>
      </c>
      <c r="O229" s="2" t="s">
        <v>1017</v>
      </c>
      <c r="P229" s="2" t="s">
        <v>36</v>
      </c>
      <c r="Q229" s="2" t="s">
        <v>1270</v>
      </c>
      <c r="R229" s="2">
        <v>15457</v>
      </c>
      <c r="S229" s="2" t="s">
        <v>37</v>
      </c>
      <c r="T229" s="2" t="s">
        <v>37</v>
      </c>
      <c r="U229" s="2" t="s">
        <v>76</v>
      </c>
      <c r="V229" s="3">
        <v>45579</v>
      </c>
      <c r="W229" s="2" t="s">
        <v>48</v>
      </c>
      <c r="X229" s="2" t="str">
        <f t="shared" si="12"/>
        <v>Avenida Cajamarquilla Tanque De Agua, Lurigancho, Lima, Lima, Perú</v>
      </c>
      <c r="Y229" s="22">
        <v>-12.022152999999999</v>
      </c>
      <c r="Z229" s="22">
        <v>-76.993319900000003</v>
      </c>
      <c r="AA229" s="33">
        <f t="shared" si="13"/>
        <v>10.5</v>
      </c>
      <c r="AB229" s="2" t="str">
        <f t="shared" si="14"/>
        <v>🟠 Moderada (10-20 km)</v>
      </c>
      <c r="AC229" s="2" t="str" cm="1">
        <f t="array" ref="AC229">INDEX(PARADEROS_VALIDOS!$C$2:$C$68,MATCH(MIN(6371*ACOS(COS(RADIANS(Y229))*COS(RADIANS(PARADEROS_VALIDOS!$E$2:$E$68))*COS(RADIANS(PARADEROS_VALIDOS!$F$2:$F$68)-RADIANS(Z229))+SIN(RADIANS(Y229))*SIN(RADIANS(PARADEROS_VALIDOS!$E$2:$E$68)))),6371*ACOS(COS(RADIANS(Y229))*COS(RADIANS(PARADEROS_VALIDOS!$E$2:$E$68))*COS(RADIANS(PARADEROS_VALIDOS!$F$2:$F$68)-RADIANS(Z229))+SIN(RADIANS(Y229))*SIN(RADIANS(PARADEROS_VALIDOS!$E$2:$E$68))),0))</f>
        <v>Puente Nuevo (Av. Chinchaysuyo &amp; Av. Malecón Checa)</v>
      </c>
      <c r="AD229" s="2" t="str">
        <f>IFERROR(INDEX(PARADEROS_VALIDOS!$A$2:$A$68,MATCH(AC229,PARADEROS_VALIDOS!$C$2:$C$68,0)),"")</f>
        <v>RUTA 6C</v>
      </c>
      <c r="AE229" s="33" cm="1">
        <f t="array" ref="AE229">ROUND(MIN(6371*ACOS(COS(RADIANS(Y229))*COS(RADIANS(PARADEROS_VALIDOS!$E$2:$E$68))*COS(RADIANS(PARADEROS_VALIDOS!$F$2:$F$68)-RADIANS(Z229))+SIN(RADIANS(Y229))*SIN(RADIANS(PARADEROS_VALIDOS!$E$2:$E$68)))),2)</f>
        <v>0.72</v>
      </c>
      <c r="AF229" s="2" t="str">
        <f t="shared" si="15"/>
        <v>🟢 Muy Cerca (0-1 km)</v>
      </c>
      <c r="AG229" s="2"/>
      <c r="AH229" s="2"/>
      <c r="AI229" s="51">
        <v>-11.997563</v>
      </c>
      <c r="AJ229" s="51">
        <v>-76.900062000000005</v>
      </c>
      <c r="AK229" s="2" t="str">
        <f>IFERROR(VLOOKUP(I229,tdcargo[],2,FALSE),"DESCONOCIDO")</f>
        <v>OPERARIO</v>
      </c>
    </row>
    <row r="230" spans="1:37" x14ac:dyDescent="0.35">
      <c r="A230" s="2" t="s">
        <v>1271</v>
      </c>
      <c r="B230" s="2" t="s">
        <v>1272</v>
      </c>
      <c r="C230" s="2" t="s">
        <v>653</v>
      </c>
      <c r="D230" s="2" t="s">
        <v>265</v>
      </c>
      <c r="E230" s="2">
        <v>30</v>
      </c>
      <c r="F230" s="2" t="s">
        <v>28</v>
      </c>
      <c r="G230" s="2" t="s">
        <v>29</v>
      </c>
      <c r="H230" s="2">
        <v>20514659</v>
      </c>
      <c r="I230" s="2" t="s">
        <v>30</v>
      </c>
      <c r="J230" s="3">
        <v>45981</v>
      </c>
      <c r="K230" s="2" t="s">
        <v>31</v>
      </c>
      <c r="L230" s="2" t="s">
        <v>100</v>
      </c>
      <c r="M230" s="2" t="s">
        <v>101</v>
      </c>
      <c r="N230" s="2" t="s">
        <v>82</v>
      </c>
      <c r="O230" s="2" t="s">
        <v>1273</v>
      </c>
      <c r="P230" s="2" t="s">
        <v>36</v>
      </c>
      <c r="Q230" s="2" t="s">
        <v>1017</v>
      </c>
      <c r="R230" s="2">
        <v>15457</v>
      </c>
      <c r="S230" s="2" t="s">
        <v>37</v>
      </c>
      <c r="T230" s="2" t="s">
        <v>37</v>
      </c>
      <c r="U230" s="2" t="s">
        <v>76</v>
      </c>
      <c r="V230" s="3">
        <v>45981</v>
      </c>
      <c r="W230" s="2" t="s">
        <v>135</v>
      </c>
      <c r="X230" s="2" t="str">
        <f t="shared" si="12"/>
        <v>Calle Vivienda Hubert Lanssier Cajamarquilla, Lurigancho, Lima, Lima, Perú</v>
      </c>
      <c r="Y230" s="22">
        <v>-11.993723599999999</v>
      </c>
      <c r="Z230" s="22">
        <v>-76.902010300000001</v>
      </c>
      <c r="AA230" s="33">
        <f t="shared" si="13"/>
        <v>0.48</v>
      </c>
      <c r="AB230" s="2" t="str">
        <f t="shared" si="14"/>
        <v>🟢 Muy Cerca (0-5 km)</v>
      </c>
      <c r="AC230" s="2" t="str" cm="1">
        <f t="array" ref="AC230">INDEX(PARADEROS_VALIDOS!$C$2:$C$68,MATCH(MIN(6371*ACOS(COS(RADIANS(Y230))*COS(RADIANS(PARADEROS_VALIDOS!$E$2:$E$68))*COS(RADIANS(PARADEROS_VALIDOS!$F$2:$F$68)-RADIANS(Z230))+SIN(RADIANS(Y230))*SIN(RADIANS(PARADEROS_VALIDOS!$E$2:$E$68)))),6371*ACOS(COS(RADIANS(Y230))*COS(RADIANS(PARADEROS_VALIDOS!$E$2:$E$68))*COS(RADIANS(PARADEROS_VALIDOS!$F$2:$F$68)-RADIANS(Z230))+SIN(RADIANS(Y230))*SIN(RADIANS(PARADEROS_VALIDOS!$E$2:$E$68))),0))</f>
        <v>Paradero Arco San Antonio</v>
      </c>
      <c r="AD230" s="2" t="str">
        <f>IFERROR(INDEX(PARADEROS_VALIDOS!$A$2:$A$68,MATCH(AC230,PARADEROS_VALIDOS!$C$2:$C$68,0)),"")</f>
        <v>RUTA 2</v>
      </c>
      <c r="AE230" s="33" cm="1">
        <f t="array" ref="AE230">ROUND(MIN(6371*ACOS(COS(RADIANS(Y230))*COS(RADIANS(PARADEROS_VALIDOS!$E$2:$E$68))*COS(RADIANS(PARADEROS_VALIDOS!$F$2:$F$68)-RADIANS(Z230))+SIN(RADIANS(Y230))*SIN(RADIANS(PARADEROS_VALIDOS!$E$2:$E$68)))),2)</f>
        <v>0.12</v>
      </c>
      <c r="AF230" s="2" t="str">
        <f t="shared" si="15"/>
        <v>🟢 Muy Cerca (0-1 km)</v>
      </c>
      <c r="AG230" s="2"/>
      <c r="AH230" s="2"/>
      <c r="AI230" s="51">
        <v>-11.997563</v>
      </c>
      <c r="AJ230" s="51">
        <v>-76.900062000000005</v>
      </c>
      <c r="AK230" s="2" t="str">
        <f>IFERROR(VLOOKUP(I230,tdcargo[],2,FALSE),"DESCONOCIDO")</f>
        <v>OPERARIO</v>
      </c>
    </row>
    <row r="231" spans="1:37" x14ac:dyDescent="0.35">
      <c r="A231" s="2" t="s">
        <v>1274</v>
      </c>
      <c r="B231" s="2" t="s">
        <v>1275</v>
      </c>
      <c r="C231" s="2" t="s">
        <v>467</v>
      </c>
      <c r="D231" s="2" t="s">
        <v>1276</v>
      </c>
      <c r="E231" s="2">
        <v>19</v>
      </c>
      <c r="F231" s="2" t="s">
        <v>28</v>
      </c>
      <c r="G231" s="2" t="s">
        <v>29</v>
      </c>
      <c r="H231" s="2">
        <v>20508822</v>
      </c>
      <c r="I231" s="2" t="s">
        <v>30</v>
      </c>
      <c r="J231" s="3">
        <v>45856</v>
      </c>
      <c r="K231" s="2" t="s">
        <v>31</v>
      </c>
      <c r="L231" s="2" t="s">
        <v>108</v>
      </c>
      <c r="M231" s="2" t="s">
        <v>109</v>
      </c>
      <c r="N231" s="2" t="s">
        <v>36</v>
      </c>
      <c r="O231" s="2" t="s">
        <v>1277</v>
      </c>
      <c r="P231" s="2" t="s">
        <v>36</v>
      </c>
      <c r="Q231" s="2" t="s">
        <v>1278</v>
      </c>
      <c r="R231" s="2">
        <v>15457</v>
      </c>
      <c r="S231" s="2" t="s">
        <v>37</v>
      </c>
      <c r="T231" s="2" t="s">
        <v>37</v>
      </c>
      <c r="U231" s="2" t="s">
        <v>76</v>
      </c>
      <c r="V231" s="3">
        <v>45856</v>
      </c>
      <c r="W231" s="2" t="s">
        <v>39</v>
      </c>
      <c r="X231" s="2" t="str">
        <f t="shared" si="12"/>
        <v>5 De Agosto A, Lurigancho, Lima, Lima, Perú</v>
      </c>
      <c r="Y231" s="22">
        <v>-11.9889349</v>
      </c>
      <c r="Z231" s="22">
        <v>-76.934695099999999</v>
      </c>
      <c r="AA231" s="33">
        <f t="shared" si="13"/>
        <v>3.89</v>
      </c>
      <c r="AB231" s="2" t="str">
        <f t="shared" si="14"/>
        <v>🟢 Muy Cerca (0-5 km)</v>
      </c>
      <c r="AC231" s="2" t="str" cm="1">
        <f t="array" ref="AC231">INDEX(PARADEROS_VALIDOS!$C$2:$C$68,MATCH(MIN(6371*ACOS(COS(RADIANS(Y231))*COS(RADIANS(PARADEROS_VALIDOS!$E$2:$E$68))*COS(RADIANS(PARADEROS_VALIDOS!$F$2:$F$68)-RADIANS(Z231))+SIN(RADIANS(Y231))*SIN(RADIANS(PARADEROS_VALIDOS!$E$2:$E$68)))),6371*ACOS(COS(RADIANS(Y231))*COS(RADIANS(PARADEROS_VALIDOS!$E$2:$E$68))*COS(RADIANS(PARADEROS_VALIDOS!$F$2:$F$68)-RADIANS(Z231))+SIN(RADIANS(Y231))*SIN(RADIANS(PARADEROS_VALIDOS!$E$2:$E$68))),0))</f>
        <v>Estadio Huachipa</v>
      </c>
      <c r="AD231" s="2" t="str">
        <f>IFERROR(INDEX(PARADEROS_VALIDOS!$A$2:$A$68,MATCH(AC231,PARADEROS_VALIDOS!$C$2:$C$68,0)),"")</f>
        <v>RUTA 5C</v>
      </c>
      <c r="AE231" s="33" cm="1">
        <f t="array" ref="AE231">ROUND(MIN(6371*ACOS(COS(RADIANS(Y231))*COS(RADIANS(PARADEROS_VALIDOS!$E$2:$E$68))*COS(RADIANS(PARADEROS_VALIDOS!$F$2:$F$68)-RADIANS(Z231))+SIN(RADIANS(Y231))*SIN(RADIANS(PARADEROS_VALIDOS!$E$2:$E$68)))),2)</f>
        <v>3.44</v>
      </c>
      <c r="AF231" s="2" t="str">
        <f t="shared" si="15"/>
        <v>🟠 Moderada (3-5 km)</v>
      </c>
      <c r="AG231" s="2"/>
      <c r="AH231" s="2"/>
      <c r="AI231" s="51">
        <v>-11.997563</v>
      </c>
      <c r="AJ231" s="51">
        <v>-76.900062000000005</v>
      </c>
      <c r="AK231" s="2" t="str">
        <f>IFERROR(VLOOKUP(I231,tdcargo[],2,FALSE),"DESCONOCIDO")</f>
        <v>OPERARIO</v>
      </c>
    </row>
    <row r="232" spans="1:37" x14ac:dyDescent="0.35">
      <c r="A232" s="2" t="s">
        <v>1279</v>
      </c>
      <c r="B232" s="2" t="s">
        <v>1280</v>
      </c>
      <c r="C232" s="2" t="s">
        <v>1281</v>
      </c>
      <c r="D232" s="2" t="s">
        <v>121</v>
      </c>
      <c r="E232" s="2">
        <v>32</v>
      </c>
      <c r="F232" s="2" t="s">
        <v>28</v>
      </c>
      <c r="G232" s="2" t="s">
        <v>29</v>
      </c>
      <c r="H232" s="2">
        <v>20515635</v>
      </c>
      <c r="I232" s="2" t="s">
        <v>44</v>
      </c>
      <c r="J232" s="3">
        <v>44420</v>
      </c>
      <c r="K232" s="2" t="s">
        <v>31</v>
      </c>
      <c r="L232" s="2" t="s">
        <v>32</v>
      </c>
      <c r="M232" s="2" t="s">
        <v>33</v>
      </c>
      <c r="N232" s="2" t="s">
        <v>82</v>
      </c>
      <c r="O232" s="2" t="s">
        <v>1282</v>
      </c>
      <c r="P232" s="2" t="s">
        <v>66</v>
      </c>
      <c r="Q232" s="2" t="s">
        <v>1282</v>
      </c>
      <c r="R232" s="2">
        <v>15004</v>
      </c>
      <c r="S232" s="2" t="s">
        <v>37</v>
      </c>
      <c r="T232" s="2" t="s">
        <v>37</v>
      </c>
      <c r="U232" s="2" t="s">
        <v>57</v>
      </c>
      <c r="V232" s="3">
        <v>44420</v>
      </c>
      <c r="W232" s="2" t="s">
        <v>48</v>
      </c>
      <c r="X232" s="2" t="str">
        <f t="shared" si="12"/>
        <v>Calle Nuevo Horizonte, U.V. Unidad Vecinal Nuevo Horizonte, Ate, Lima, Lima, Perú</v>
      </c>
      <c r="Y232" s="22">
        <v>-12.1490262</v>
      </c>
      <c r="Z232" s="22">
        <v>-76.967727199999999</v>
      </c>
      <c r="AA232" s="33">
        <f t="shared" si="13"/>
        <v>18.38</v>
      </c>
      <c r="AB232" s="2" t="str">
        <f t="shared" si="14"/>
        <v>🟠 Moderada (10-20 km)</v>
      </c>
      <c r="AC232" s="2" t="str" cm="1">
        <f t="array" ref="AC232">INDEX(PARADEROS_VALIDOS!$C$2:$C$68,MATCH(MIN(6371*ACOS(COS(RADIANS(Y232))*COS(RADIANS(PARADEROS_VALIDOS!$E$2:$E$68))*COS(RADIANS(PARADEROS_VALIDOS!$F$2:$F$68)-RADIANS(Z232))+SIN(RADIANS(Y232))*SIN(RADIANS(PARADEROS_VALIDOS!$E$2:$E$68)))),6371*ACOS(COS(RADIANS(Y232))*COS(RADIANS(PARADEROS_VALIDOS!$E$2:$E$68))*COS(RADIANS(PARADEROS_VALIDOS!$F$2:$F$68)-RADIANS(Z232))+SIN(RADIANS(Y232))*SIN(RADIANS(PARADEROS_VALIDOS!$E$2:$E$68))),0))</f>
        <v>Tottus Atocongo (Auxiliar)</v>
      </c>
      <c r="AD232" s="2" t="str">
        <f>IFERROR(INDEX(PARADEROS_VALIDOS!$A$2:$A$68,MATCH(AC232,PARADEROS_VALIDOS!$C$2:$C$68,0)),"")</f>
        <v>RUTA 7</v>
      </c>
      <c r="AE232" s="33" cm="1">
        <f t="array" ref="AE232">ROUND(MIN(6371*ACOS(COS(RADIANS(Y232))*COS(RADIANS(PARADEROS_VALIDOS!$E$2:$E$68))*COS(RADIANS(PARADEROS_VALIDOS!$F$2:$F$68)-RADIANS(Z232))+SIN(RADIANS(Y232))*SIN(RADIANS(PARADEROS_VALIDOS!$E$2:$E$68)))),2)</f>
        <v>1.53</v>
      </c>
      <c r="AF232" s="2" t="str">
        <f t="shared" si="15"/>
        <v>🟡 Cerca (1-3 km)</v>
      </c>
      <c r="AG232" s="2"/>
      <c r="AH232" s="2"/>
      <c r="AI232" s="51">
        <v>-11.997563</v>
      </c>
      <c r="AJ232" s="51">
        <v>-76.900062000000005</v>
      </c>
      <c r="AK232" s="2" t="str">
        <f>IFERROR(VLOOKUP(I232,tdcargo[],2,FALSE),"DESCONOCIDO")</f>
        <v>OPERARIO</v>
      </c>
    </row>
    <row r="233" spans="1:37" x14ac:dyDescent="0.35">
      <c r="A233" s="2" t="s">
        <v>1283</v>
      </c>
      <c r="B233" s="2" t="s">
        <v>1284</v>
      </c>
      <c r="C233" s="2" t="s">
        <v>277</v>
      </c>
      <c r="D233" s="2" t="s">
        <v>1138</v>
      </c>
      <c r="E233" s="2">
        <v>23</v>
      </c>
      <c r="F233" s="2" t="s">
        <v>28</v>
      </c>
      <c r="G233" s="2" t="s">
        <v>29</v>
      </c>
      <c r="H233" s="2">
        <v>20508962</v>
      </c>
      <c r="I233" s="2" t="s">
        <v>30</v>
      </c>
      <c r="J233" s="3">
        <v>46055</v>
      </c>
      <c r="K233" s="2" t="s">
        <v>31</v>
      </c>
      <c r="L233" s="2" t="s">
        <v>32</v>
      </c>
      <c r="M233" s="2" t="s">
        <v>33</v>
      </c>
      <c r="N233" s="2" t="s">
        <v>82</v>
      </c>
      <c r="O233" s="2" t="s">
        <v>1285</v>
      </c>
      <c r="P233" s="2" t="s">
        <v>55</v>
      </c>
      <c r="Q233" s="2" t="s">
        <v>1286</v>
      </c>
      <c r="R233" s="2">
        <v>15457</v>
      </c>
      <c r="S233" s="2" t="s">
        <v>37</v>
      </c>
      <c r="T233" s="2" t="s">
        <v>37</v>
      </c>
      <c r="U233" s="2" t="s">
        <v>76</v>
      </c>
      <c r="V233" s="3">
        <v>46055</v>
      </c>
      <c r="W233" s="2" t="s">
        <v>135</v>
      </c>
      <c r="X233" s="2" t="str">
        <f t="shared" si="12"/>
        <v>Calle Virgen Carmen 4ta, Coo. Cooperativa LA ERA, Lurigancho, Lima, Lima, Perú</v>
      </c>
      <c r="Y233" s="22">
        <v>-12.009696699999999</v>
      </c>
      <c r="Z233" s="22">
        <v>-76.905361299999996</v>
      </c>
      <c r="AA233" s="33">
        <f t="shared" si="13"/>
        <v>1.47</v>
      </c>
      <c r="AB233" s="2" t="str">
        <f t="shared" si="14"/>
        <v>🟢 Muy Cerca (0-5 km)</v>
      </c>
      <c r="AC233" s="2" t="str" cm="1">
        <f t="array" ref="AC233">INDEX(PARADEROS_VALIDOS!$C$2:$C$68,MATCH(MIN(6371*ACOS(COS(RADIANS(Y233))*COS(RADIANS(PARADEROS_VALIDOS!$E$2:$E$68))*COS(RADIANS(PARADEROS_VALIDOS!$F$2:$F$68)-RADIANS(Z233))+SIN(RADIANS(Y233))*SIN(RADIANS(PARADEROS_VALIDOS!$E$2:$E$68)))),6371*ACOS(COS(RADIANS(Y233))*COS(RADIANS(PARADEROS_VALIDOS!$E$2:$E$68))*COS(RADIANS(PARADEROS_VALIDOS!$F$2:$F$68)-RADIANS(Z233))+SIN(RADIANS(Y233))*SIN(RADIANS(PARADEROS_VALIDOS!$E$2:$E$68))),0))</f>
        <v>Tottus Huachipa</v>
      </c>
      <c r="AD233" s="2" t="str">
        <f>IFERROR(INDEX(PARADEROS_VALIDOS!$A$2:$A$68,MATCH(AC233,PARADEROS_VALIDOS!$C$2:$C$68,0)),"")</f>
        <v>RUTA 1</v>
      </c>
      <c r="AE233" s="33" cm="1">
        <f t="array" ref="AE233">ROUND(MIN(6371*ACOS(COS(RADIANS(Y233))*COS(RADIANS(PARADEROS_VALIDOS!$E$2:$E$68))*COS(RADIANS(PARADEROS_VALIDOS!$F$2:$F$68)-RADIANS(Z233))+SIN(RADIANS(Y233))*SIN(RADIANS(PARADEROS_VALIDOS!$E$2:$E$68)))),2)</f>
        <v>1.18</v>
      </c>
      <c r="AF233" s="2" t="str">
        <f t="shared" si="15"/>
        <v>🟡 Cerca (1-3 km)</v>
      </c>
      <c r="AG233" s="2"/>
      <c r="AH233" s="2"/>
      <c r="AI233" s="51">
        <v>-11.997563</v>
      </c>
      <c r="AJ233" s="51">
        <v>-76.900062000000005</v>
      </c>
      <c r="AK233" s="2" t="str">
        <f>IFERROR(VLOOKUP(I233,tdcargo[],2,FALSE),"DESCONOCIDO")</f>
        <v>OPERARIO</v>
      </c>
    </row>
    <row r="234" spans="1:37" x14ac:dyDescent="0.35">
      <c r="A234" s="2" t="s">
        <v>1287</v>
      </c>
      <c r="B234" s="2" t="s">
        <v>1288</v>
      </c>
      <c r="C234" s="2" t="s">
        <v>1289</v>
      </c>
      <c r="D234" s="2" t="s">
        <v>1290</v>
      </c>
      <c r="E234" s="2">
        <v>34</v>
      </c>
      <c r="F234" s="2" t="s">
        <v>28</v>
      </c>
      <c r="G234" s="2" t="s">
        <v>29</v>
      </c>
      <c r="H234" s="2">
        <v>20508960</v>
      </c>
      <c r="I234" s="2" t="s">
        <v>30</v>
      </c>
      <c r="J234" s="3">
        <v>45761</v>
      </c>
      <c r="K234" s="2" t="s">
        <v>31</v>
      </c>
      <c r="L234" s="2" t="s">
        <v>132</v>
      </c>
      <c r="M234" s="2" t="s">
        <v>133</v>
      </c>
      <c r="N234" s="2" t="s">
        <v>36</v>
      </c>
      <c r="O234" s="2" t="s">
        <v>1291</v>
      </c>
      <c r="P234" s="2" t="s">
        <v>36</v>
      </c>
      <c r="Q234" s="2" t="s">
        <v>1292</v>
      </c>
      <c r="R234" s="2"/>
      <c r="S234" s="2" t="s">
        <v>1293</v>
      </c>
      <c r="T234" s="2" t="s">
        <v>1294</v>
      </c>
      <c r="U234" s="2" t="s">
        <v>1295</v>
      </c>
      <c r="V234" s="3">
        <v>45761</v>
      </c>
      <c r="W234" s="2" t="s">
        <v>39</v>
      </c>
      <c r="X234" s="2" t="s">
        <v>4610</v>
      </c>
      <c r="Y234" s="22">
        <v>-11.997563</v>
      </c>
      <c r="Z234" s="22">
        <v>-76.900062000000005</v>
      </c>
      <c r="AA234" s="33">
        <f t="shared" si="13"/>
        <v>0</v>
      </c>
      <c r="AB234" s="2" t="str">
        <f t="shared" si="14"/>
        <v>🟢 Muy Cerca (0-5 km)</v>
      </c>
      <c r="AC234" s="2" t="str" cm="1">
        <f t="array" ref="AC234">INDEX(PARADEROS_VALIDOS!$C$2:$C$68,MATCH(MIN(6371*ACOS(COS(RADIANS(Y234))*COS(RADIANS(PARADEROS_VALIDOS!$E$2:$E$68))*COS(RADIANS(PARADEROS_VALIDOS!$F$2:$F$68)-RADIANS(Z234))+SIN(RADIANS(Y234))*SIN(RADIANS(PARADEROS_VALIDOS!$E$2:$E$68)))),6371*ACOS(COS(RADIANS(Y234))*COS(RADIANS(PARADEROS_VALIDOS!$E$2:$E$68))*COS(RADIANS(PARADEROS_VALIDOS!$F$2:$F$68)-RADIANS(Z234))+SIN(RADIANS(Y234))*SIN(RADIANS(PARADEROS_VALIDOS!$E$2:$E$68))),0))</f>
        <v>Tottus Huachipa</v>
      </c>
      <c r="AD234" s="2" t="str">
        <f>IFERROR(INDEX(PARADEROS_VALIDOS!$A$2:$A$68,MATCH(AC234,PARADEROS_VALIDOS!$C$2:$C$68,0)),"")</f>
        <v>RUTA 1</v>
      </c>
      <c r="AE234" s="33" cm="1">
        <f t="array" ref="AE234">ROUND(MIN(6371*ACOS(COS(RADIANS(Y234))*COS(RADIANS(PARADEROS_VALIDOS!$E$2:$E$68))*COS(RADIANS(PARADEROS_VALIDOS!$F$2:$F$68)-RADIANS(Z234))+SIN(RADIANS(Y234))*SIN(RADIANS(PARADEROS_VALIDOS!$E$2:$E$68)))),2)</f>
        <v>0.3</v>
      </c>
      <c r="AF234" s="2" t="str">
        <f t="shared" si="15"/>
        <v>🟢 Muy Cerca (0-1 km)</v>
      </c>
      <c r="AG234" s="2"/>
      <c r="AH234" s="2"/>
      <c r="AI234" s="51">
        <v>-11.997563</v>
      </c>
      <c r="AJ234" s="51">
        <v>-76.900062000000005</v>
      </c>
      <c r="AK234" s="2" t="str">
        <f>IFERROR(VLOOKUP(I234,tdcargo[],2,FALSE),"DESCONOCIDO")</f>
        <v>OPERARIO</v>
      </c>
    </row>
    <row r="235" spans="1:37" x14ac:dyDescent="0.35">
      <c r="A235" s="2" t="s">
        <v>1296</v>
      </c>
      <c r="B235" s="2" t="s">
        <v>1297</v>
      </c>
      <c r="C235" s="2" t="s">
        <v>1298</v>
      </c>
      <c r="D235" s="2" t="s">
        <v>1299</v>
      </c>
      <c r="E235" s="2">
        <v>24</v>
      </c>
      <c r="F235" s="2" t="s">
        <v>28</v>
      </c>
      <c r="G235" s="2" t="s">
        <v>29</v>
      </c>
      <c r="H235" s="2">
        <v>20508796</v>
      </c>
      <c r="I235" s="2" t="s">
        <v>30</v>
      </c>
      <c r="J235" s="3">
        <v>45915</v>
      </c>
      <c r="K235" s="2" t="s">
        <v>31</v>
      </c>
      <c r="L235" s="2" t="s">
        <v>100</v>
      </c>
      <c r="M235" s="2" t="s">
        <v>101</v>
      </c>
      <c r="N235" s="2" t="s">
        <v>82</v>
      </c>
      <c r="O235" s="2" t="s">
        <v>1300</v>
      </c>
      <c r="P235" s="2" t="s">
        <v>36</v>
      </c>
      <c r="Q235" s="2" t="s">
        <v>1301</v>
      </c>
      <c r="R235" s="2">
        <v>15510</v>
      </c>
      <c r="S235" s="2" t="s">
        <v>37</v>
      </c>
      <c r="T235" s="2" t="s">
        <v>195</v>
      </c>
      <c r="U235" s="2" t="s">
        <v>196</v>
      </c>
      <c r="V235" s="3">
        <v>45915</v>
      </c>
      <c r="W235" s="2" t="s">
        <v>39</v>
      </c>
      <c r="X235" s="2" t="str">
        <f t="shared" si="12"/>
        <v>Calle Calle Rosas De Saraon Campiña, San Antonio, Huarochiri, Lima, Perú</v>
      </c>
      <c r="Y235" s="22">
        <v>-11.976787699999999</v>
      </c>
      <c r="Z235" s="22">
        <v>-76.991715200000002</v>
      </c>
      <c r="AA235" s="33">
        <f t="shared" si="13"/>
        <v>10.23</v>
      </c>
      <c r="AB235" s="2" t="str">
        <f t="shared" si="14"/>
        <v>🟠 Moderada (10-20 km)</v>
      </c>
      <c r="AC235" s="2" t="str" cm="1">
        <f t="array" ref="AC235">INDEX(PARADEROS_VALIDOS!$C$2:$C$68,MATCH(MIN(6371*ACOS(COS(RADIANS(Y235))*COS(RADIANS(PARADEROS_VALIDOS!$E$2:$E$68))*COS(RADIANS(PARADEROS_VALIDOS!$F$2:$F$68)-RADIANS(Z235))+SIN(RADIANS(Y235))*SIN(RADIANS(PARADEROS_VALIDOS!$E$2:$E$68)))),6371*ACOS(COS(RADIANS(Y235))*COS(RADIANS(PARADEROS_VALIDOS!$E$2:$E$68))*COS(RADIANS(PARADEROS_VALIDOS!$F$2:$F$68)-RADIANS(Z235))+SIN(RADIANS(Y235))*SIN(RADIANS(PARADEROS_VALIDOS!$E$2:$E$68))),0))</f>
        <v>Paradero San Martin</v>
      </c>
      <c r="AD235" s="2" t="str">
        <f>IFERROR(INDEX(PARADEROS_VALIDOS!$A$2:$A$68,MATCH(AC235,PARADEROS_VALIDOS!$C$2:$C$68,0)),"")</f>
        <v>RUTA 6A</v>
      </c>
      <c r="AE235" s="33" cm="1">
        <f t="array" ref="AE235">ROUND(MIN(6371*ACOS(COS(RADIANS(Y235))*COS(RADIANS(PARADEROS_VALIDOS!$E$2:$E$68))*COS(RADIANS(PARADEROS_VALIDOS!$F$2:$F$68)-RADIANS(Z235))+SIN(RADIANS(Y235))*SIN(RADIANS(PARADEROS_VALIDOS!$E$2:$E$68)))),2)</f>
        <v>0.95</v>
      </c>
      <c r="AF235" s="2" t="str">
        <f t="shared" si="15"/>
        <v>🟢 Muy Cerca (0-1 km)</v>
      </c>
      <c r="AG235" s="2"/>
      <c r="AH235" s="2"/>
      <c r="AI235" s="51">
        <v>-11.997563</v>
      </c>
      <c r="AJ235" s="51">
        <v>-76.900062000000005</v>
      </c>
      <c r="AK235" s="2" t="str">
        <f>IFERROR(VLOOKUP(I235,tdcargo[],2,FALSE),"DESCONOCIDO")</f>
        <v>OPERARIO</v>
      </c>
    </row>
    <row r="236" spans="1:37" x14ac:dyDescent="0.35">
      <c r="A236" s="2" t="s">
        <v>1302</v>
      </c>
      <c r="B236" s="2" t="s">
        <v>1303</v>
      </c>
      <c r="C236" s="2" t="s">
        <v>1304</v>
      </c>
      <c r="D236" s="2" t="s">
        <v>1058</v>
      </c>
      <c r="E236" s="2">
        <v>32</v>
      </c>
      <c r="F236" s="2" t="s">
        <v>28</v>
      </c>
      <c r="G236" s="2" t="s">
        <v>29</v>
      </c>
      <c r="H236" s="2">
        <v>20508809</v>
      </c>
      <c r="I236" s="2" t="s">
        <v>62</v>
      </c>
      <c r="J236" s="3">
        <v>43843</v>
      </c>
      <c r="K236" s="2" t="s">
        <v>31</v>
      </c>
      <c r="L236" s="2" t="s">
        <v>164</v>
      </c>
      <c r="M236" s="2" t="s">
        <v>165</v>
      </c>
      <c r="N236" s="2" t="s">
        <v>36</v>
      </c>
      <c r="O236" s="2" t="s">
        <v>1305</v>
      </c>
      <c r="P236" s="2" t="s">
        <v>36</v>
      </c>
      <c r="Q236" s="2" t="s">
        <v>1306</v>
      </c>
      <c r="R236" s="2">
        <v>15004</v>
      </c>
      <c r="S236" s="2" t="s">
        <v>37</v>
      </c>
      <c r="T236" s="2" t="s">
        <v>37</v>
      </c>
      <c r="U236" s="2" t="s">
        <v>57</v>
      </c>
      <c r="V236" s="3">
        <v>43843</v>
      </c>
      <c r="W236" s="2" t="s">
        <v>48</v>
      </c>
      <c r="X236" s="2" t="str">
        <f t="shared" si="12"/>
        <v>Zona J Ucv 141 Huaycan, Ate, Lima, Lima, Perú</v>
      </c>
      <c r="Y236" s="22">
        <v>-12.010156800000001</v>
      </c>
      <c r="Z236" s="22">
        <v>-76.827906400000003</v>
      </c>
      <c r="AA236" s="33">
        <f t="shared" si="13"/>
        <v>7.97</v>
      </c>
      <c r="AB236" s="2" t="str">
        <f t="shared" si="14"/>
        <v>🟡 Cerca (5-10 km)</v>
      </c>
      <c r="AC236" s="2" t="str" cm="1">
        <f t="array" ref="AC236">INDEX(PARADEROS_VALIDOS!$C$2:$C$68,MATCH(MIN(6371*ACOS(COS(RADIANS(Y236))*COS(RADIANS(PARADEROS_VALIDOS!$E$2:$E$68))*COS(RADIANS(PARADEROS_VALIDOS!$F$2:$F$68)-RADIANS(Z236))+SIN(RADIANS(Y236))*SIN(RADIANS(PARADEROS_VALIDOS!$E$2:$E$68)))),6371*ACOS(COS(RADIANS(Y236))*COS(RADIANS(PARADEROS_VALIDOS!$E$2:$E$68))*COS(RADIANS(PARADEROS_VALIDOS!$F$2:$F$68)-RADIANS(Z236))+SIN(RADIANS(Y236))*SIN(RADIANS(PARADEROS_VALIDOS!$E$2:$E$68))),0))</f>
        <v>Entrada Horacio</v>
      </c>
      <c r="AD236" s="2" t="str">
        <f>IFERROR(INDEX(PARADEROS_VALIDOS!$A$2:$A$68,MATCH(AC236,PARADEROS_VALIDOS!$C$2:$C$68,0)),"")</f>
        <v>RUTA 5B</v>
      </c>
      <c r="AE236" s="33" cm="1">
        <f t="array" ref="AE236">ROUND(MIN(6371*ACOS(COS(RADIANS(Y236))*COS(RADIANS(PARADEROS_VALIDOS!$E$2:$E$68))*COS(RADIANS(PARADEROS_VALIDOS!$F$2:$F$68)-RADIANS(Z236))+SIN(RADIANS(Y236))*SIN(RADIANS(PARADEROS_VALIDOS!$E$2:$E$68)))),2)</f>
        <v>1.55</v>
      </c>
      <c r="AF236" s="2" t="str">
        <f t="shared" si="15"/>
        <v>🟡 Cerca (1-3 km)</v>
      </c>
      <c r="AG236" s="2"/>
      <c r="AH236" s="2"/>
      <c r="AI236" s="51">
        <v>-11.997563</v>
      </c>
      <c r="AJ236" s="51">
        <v>-76.900062000000005</v>
      </c>
      <c r="AK236" s="2" t="str">
        <f>IFERROR(VLOOKUP(I236,tdcargo[],2,FALSE),"DESCONOCIDO")</f>
        <v>OPERARIO</v>
      </c>
    </row>
    <row r="237" spans="1:37" x14ac:dyDescent="0.35">
      <c r="A237" s="2" t="s">
        <v>1307</v>
      </c>
      <c r="B237" s="2" t="s">
        <v>1308</v>
      </c>
      <c r="C237" s="2" t="s">
        <v>230</v>
      </c>
      <c r="D237" s="2" t="s">
        <v>1309</v>
      </c>
      <c r="E237" s="2">
        <v>39</v>
      </c>
      <c r="F237" s="2" t="s">
        <v>28</v>
      </c>
      <c r="G237" s="2" t="s">
        <v>29</v>
      </c>
      <c r="H237" s="2">
        <v>20508842</v>
      </c>
      <c r="I237" s="2" t="s">
        <v>62</v>
      </c>
      <c r="J237" s="3">
        <v>43146</v>
      </c>
      <c r="K237" s="2" t="s">
        <v>31</v>
      </c>
      <c r="L237" s="2" t="s">
        <v>164</v>
      </c>
      <c r="M237" s="2" t="s">
        <v>165</v>
      </c>
      <c r="N237" s="2" t="s">
        <v>793</v>
      </c>
      <c r="O237" s="2" t="s">
        <v>1310</v>
      </c>
      <c r="P237" s="2" t="s">
        <v>88</v>
      </c>
      <c r="Q237" s="2" t="s">
        <v>166</v>
      </c>
      <c r="R237" s="2">
        <v>15457</v>
      </c>
      <c r="S237" s="2" t="s">
        <v>37</v>
      </c>
      <c r="T237" s="2" t="s">
        <v>37</v>
      </c>
      <c r="U237" s="2" t="s">
        <v>76</v>
      </c>
      <c r="V237" s="3">
        <v>43146</v>
      </c>
      <c r="W237" s="2" t="s">
        <v>48</v>
      </c>
      <c r="X237" s="2" t="str">
        <f t="shared" si="12"/>
        <v>Carretera Central, A.H. Asentamiento Humano La Campiña, Lurigancho, Lima, Lima, Perú</v>
      </c>
      <c r="Y237" s="22">
        <v>-12.1762306</v>
      </c>
      <c r="Z237" s="22">
        <v>-76.995987200000002</v>
      </c>
      <c r="AA237" s="33">
        <f t="shared" si="13"/>
        <v>22.44</v>
      </c>
      <c r="AB237" s="2" t="str">
        <f t="shared" si="14"/>
        <v>🔴 Lejos (&gt;20 km)</v>
      </c>
      <c r="AC237" s="2" t="str" cm="1">
        <f t="array" ref="AC237">INDEX(PARADEROS_VALIDOS!$C$2:$C$68,MATCH(MIN(6371*ACOS(COS(RADIANS(Y237))*COS(RADIANS(PARADEROS_VALIDOS!$E$2:$E$68))*COS(RADIANS(PARADEROS_VALIDOS!$F$2:$F$68)-RADIANS(Z237))+SIN(RADIANS(Y237))*SIN(RADIANS(PARADEROS_VALIDOS!$E$2:$E$68)))),6371*ACOS(COS(RADIANS(Y237))*COS(RADIANS(PARADEROS_VALIDOS!$E$2:$E$68))*COS(RADIANS(PARADEROS_VALIDOS!$F$2:$F$68)-RADIANS(Z237))+SIN(RADIANS(Y237))*SIN(RADIANS(PARADEROS_VALIDOS!$E$2:$E$68))),0))</f>
        <v>Puente Alipio</v>
      </c>
      <c r="AD237" s="2" t="str">
        <f>IFERROR(INDEX(PARADEROS_VALIDOS!$A$2:$A$68,MATCH(AC237,PARADEROS_VALIDOS!$C$2:$C$68,0)),"")</f>
        <v>RUTA 7</v>
      </c>
      <c r="AE237" s="33" cm="1">
        <f t="array" ref="AE237">ROUND(MIN(6371*ACOS(COS(RADIANS(Y237))*COS(RADIANS(PARADEROS_VALIDOS!$E$2:$E$68))*COS(RADIANS(PARADEROS_VALIDOS!$F$2:$F$68)-RADIANS(Z237))+SIN(RADIANS(Y237))*SIN(RADIANS(PARADEROS_VALIDOS!$E$2:$E$68)))),2)</f>
        <v>2.0099999999999998</v>
      </c>
      <c r="AF237" s="2" t="str">
        <f t="shared" si="15"/>
        <v>🟡 Cerca (1-3 km)</v>
      </c>
      <c r="AG237" s="2"/>
      <c r="AH237" s="2"/>
      <c r="AI237" s="51">
        <v>-11.997563</v>
      </c>
      <c r="AJ237" s="51">
        <v>-76.900062000000005</v>
      </c>
      <c r="AK237" s="2" t="str">
        <f>IFERROR(VLOOKUP(I237,tdcargo[],2,FALSE),"DESCONOCIDO")</f>
        <v>OPERARIO</v>
      </c>
    </row>
    <row r="238" spans="1:37" x14ac:dyDescent="0.35">
      <c r="A238" s="2" t="s">
        <v>1311</v>
      </c>
      <c r="B238" s="2" t="s">
        <v>1312</v>
      </c>
      <c r="C238" s="2" t="s">
        <v>42</v>
      </c>
      <c r="D238" s="2" t="s">
        <v>1078</v>
      </c>
      <c r="E238" s="2">
        <v>36</v>
      </c>
      <c r="F238" s="2" t="s">
        <v>28</v>
      </c>
      <c r="G238" s="2" t="s">
        <v>29</v>
      </c>
      <c r="H238" s="2">
        <v>20508733</v>
      </c>
      <c r="I238" s="2" t="s">
        <v>44</v>
      </c>
      <c r="J238" s="3">
        <v>43061</v>
      </c>
      <c r="K238" s="2" t="s">
        <v>31</v>
      </c>
      <c r="L238" s="2" t="s">
        <v>100</v>
      </c>
      <c r="M238" s="2" t="s">
        <v>101</v>
      </c>
      <c r="N238" s="2" t="s">
        <v>34</v>
      </c>
      <c r="O238" s="2" t="s">
        <v>1313</v>
      </c>
      <c r="P238" s="2" t="s">
        <v>66</v>
      </c>
      <c r="Q238" s="2" t="s">
        <v>1313</v>
      </c>
      <c r="R238" s="2">
        <v>15113</v>
      </c>
      <c r="S238" s="2" t="s">
        <v>37</v>
      </c>
      <c r="T238" s="2" t="s">
        <v>37</v>
      </c>
      <c r="U238" s="2" t="s">
        <v>116</v>
      </c>
      <c r="V238" s="3">
        <v>43061</v>
      </c>
      <c r="W238" s="2" t="s">
        <v>48</v>
      </c>
      <c r="X238" s="2" t="str">
        <f t="shared" si="12"/>
        <v>Avenida Las Palmeras, U.V. Unidad Vecinal Las Palmeras, Los Olivos, Lima, Lima, Perú</v>
      </c>
      <c r="Y238" s="22">
        <v>-11.978661600000001</v>
      </c>
      <c r="Z238" s="22">
        <v>-77.072246500000006</v>
      </c>
      <c r="AA238" s="33">
        <f t="shared" si="13"/>
        <v>18.850000000000001</v>
      </c>
      <c r="AB238" s="2" t="str">
        <f t="shared" si="14"/>
        <v>🟠 Moderada (10-20 km)</v>
      </c>
      <c r="AC238" s="2" t="str" cm="1">
        <f t="array" ref="AC238">INDEX(PARADEROS_VALIDOS!$C$2:$C$68,MATCH(MIN(6371*ACOS(COS(RADIANS(Y238))*COS(RADIANS(PARADEROS_VALIDOS!$E$2:$E$68))*COS(RADIANS(PARADEROS_VALIDOS!$F$2:$F$68)-RADIANS(Z238))+SIN(RADIANS(Y238))*SIN(RADIANS(PARADEROS_VALIDOS!$E$2:$E$68)))),6371*ACOS(COS(RADIANS(Y238))*COS(RADIANS(PARADEROS_VALIDOS!$E$2:$E$68))*COS(RADIANS(PARADEROS_VALIDOS!$F$2:$F$68)-RADIANS(Z238))+SIN(RADIANS(Y238))*SIN(RADIANS(PARADEROS_VALIDOS!$E$2:$E$68))),0))</f>
        <v>Puente Benavides (Arriba del puente, antes del semáforo)</v>
      </c>
      <c r="AD238" s="2" t="str">
        <f>IFERROR(INDEX(PARADEROS_VALIDOS!$A$2:$A$68,MATCH(AC238,PARADEROS_VALIDOS!$C$2:$C$68,0)),"")</f>
        <v>RUTA 7</v>
      </c>
      <c r="AE238" s="33" cm="1">
        <f t="array" ref="AE238">ROUND(MIN(6371*ACOS(COS(RADIANS(Y238))*COS(RADIANS(PARADEROS_VALIDOS!$E$2:$E$68))*COS(RADIANS(PARADEROS_VALIDOS!$F$2:$F$68)-RADIANS(Z238))+SIN(RADIANS(Y238))*SIN(RADIANS(PARADEROS_VALIDOS!$E$2:$E$68)))),2)</f>
        <v>1.18</v>
      </c>
      <c r="AF238" s="2" t="str">
        <f t="shared" si="15"/>
        <v>🟡 Cerca (1-3 km)</v>
      </c>
      <c r="AG238" s="2"/>
      <c r="AH238" s="2"/>
      <c r="AI238" s="51">
        <v>-11.997563</v>
      </c>
      <c r="AJ238" s="51">
        <v>-76.900062000000005</v>
      </c>
      <c r="AK238" s="2" t="str">
        <f>IFERROR(VLOOKUP(I238,tdcargo[],2,FALSE),"DESCONOCIDO")</f>
        <v>OPERARIO</v>
      </c>
    </row>
    <row r="239" spans="1:37" x14ac:dyDescent="0.35">
      <c r="A239" s="2" t="s">
        <v>109</v>
      </c>
      <c r="B239" s="2" t="s">
        <v>1314</v>
      </c>
      <c r="C239" s="2" t="s">
        <v>1315</v>
      </c>
      <c r="D239" s="2" t="s">
        <v>1316</v>
      </c>
      <c r="E239" s="2">
        <v>38</v>
      </c>
      <c r="F239" s="2" t="s">
        <v>28</v>
      </c>
      <c r="G239" s="2" t="s">
        <v>29</v>
      </c>
      <c r="H239" s="2">
        <v>20508811</v>
      </c>
      <c r="I239" s="2" t="s">
        <v>416</v>
      </c>
      <c r="J239" s="3">
        <v>43892</v>
      </c>
      <c r="K239" s="2" t="s">
        <v>31</v>
      </c>
      <c r="L239" s="2" t="s">
        <v>417</v>
      </c>
      <c r="M239" s="2" t="s">
        <v>418</v>
      </c>
      <c r="N239" s="2" t="s">
        <v>82</v>
      </c>
      <c r="O239" s="2" t="s">
        <v>1317</v>
      </c>
      <c r="P239" s="2" t="s">
        <v>186</v>
      </c>
      <c r="Q239" s="2" t="s">
        <v>1318</v>
      </c>
      <c r="R239" s="2">
        <v>15088</v>
      </c>
      <c r="S239" s="2" t="s">
        <v>37</v>
      </c>
      <c r="T239" s="2" t="s">
        <v>37</v>
      </c>
      <c r="U239" s="2" t="s">
        <v>1319</v>
      </c>
      <c r="V239" s="3">
        <v>46057</v>
      </c>
      <c r="W239" s="2" t="s">
        <v>109</v>
      </c>
      <c r="X239" s="2" t="str">
        <f t="shared" si="12"/>
        <v>Calle Calle Luis García Ruiz 294, Urb. Urbanización Risso, San Miguel, Lima, Lima, Perú</v>
      </c>
      <c r="Y239" s="22">
        <v>-12.0723571</v>
      </c>
      <c r="Z239" s="22">
        <v>-77.089676100000005</v>
      </c>
      <c r="AA239" s="33">
        <f t="shared" si="13"/>
        <v>22.23</v>
      </c>
      <c r="AB239" s="2" t="str">
        <f t="shared" si="14"/>
        <v>🔴 Lejos (&gt;20 km)</v>
      </c>
      <c r="AC239" s="2" t="str" cm="1">
        <f t="array" ref="AC239">INDEX(PARADEROS_VALIDOS!$C$2:$C$68,MATCH(MIN(6371*ACOS(COS(RADIANS(Y239))*COS(RADIANS(PARADEROS_VALIDOS!$E$2:$E$68))*COS(RADIANS(PARADEROS_VALIDOS!$F$2:$F$68)-RADIANS(Z239))+SIN(RADIANS(Y239))*SIN(RADIANS(PARADEROS_VALIDOS!$E$2:$E$68)))),6371*ACOS(COS(RADIANS(Y239))*COS(RADIANS(PARADEROS_VALIDOS!$E$2:$E$68))*COS(RADIANS(PARADEROS_VALIDOS!$F$2:$F$68)-RADIANS(Z239))+SIN(RADIANS(Y239))*SIN(RADIANS(PARADEROS_VALIDOS!$E$2:$E$68))),0))</f>
        <v>Universitaria con La Marina</v>
      </c>
      <c r="AD239" s="2" t="str">
        <f>IFERROR(INDEX(PARADEROS_VALIDOS!$A$2:$A$68,MATCH(AC239,PARADEROS_VALIDOS!$C$2:$C$68,0)),"")</f>
        <v>RUTA 9</v>
      </c>
      <c r="AE239" s="33" cm="1">
        <f t="array" ref="AE239">ROUND(MIN(6371*ACOS(COS(RADIANS(Y239))*COS(RADIANS(PARADEROS_VALIDOS!$E$2:$E$68))*COS(RADIANS(PARADEROS_VALIDOS!$F$2:$F$68)-RADIANS(Z239))+SIN(RADIANS(Y239))*SIN(RADIANS(PARADEROS_VALIDOS!$E$2:$E$68)))),2)</f>
        <v>1.0900000000000001</v>
      </c>
      <c r="AF239" s="2" t="str">
        <f t="shared" si="15"/>
        <v>🟡 Cerca (1-3 km)</v>
      </c>
      <c r="AG239" s="2"/>
      <c r="AH239" s="2"/>
      <c r="AI239" s="51">
        <v>-11.997563</v>
      </c>
      <c r="AJ239" s="51">
        <v>-76.900062000000005</v>
      </c>
      <c r="AK239" s="2" t="str">
        <f>IFERROR(VLOOKUP(I239,tdcargo[],2,FALSE),"DESCONOCIDO")</f>
        <v>STAFF</v>
      </c>
    </row>
    <row r="240" spans="1:37" x14ac:dyDescent="0.35">
      <c r="A240" s="2" t="s">
        <v>1320</v>
      </c>
      <c r="B240" s="2" t="s">
        <v>1321</v>
      </c>
      <c r="C240" s="2" t="s">
        <v>771</v>
      </c>
      <c r="D240" s="2" t="s">
        <v>1322</v>
      </c>
      <c r="E240" s="2">
        <v>40</v>
      </c>
      <c r="F240" s="2" t="s">
        <v>28</v>
      </c>
      <c r="G240" s="2" t="s">
        <v>29</v>
      </c>
      <c r="H240" s="2">
        <v>20508837</v>
      </c>
      <c r="I240" s="2" t="s">
        <v>44</v>
      </c>
      <c r="J240" s="3">
        <v>43041</v>
      </c>
      <c r="K240" s="2" t="s">
        <v>31</v>
      </c>
      <c r="L240" s="2" t="s">
        <v>108</v>
      </c>
      <c r="M240" s="2" t="s">
        <v>109</v>
      </c>
      <c r="N240" s="2" t="s">
        <v>36</v>
      </c>
      <c r="O240" s="2" t="s">
        <v>46</v>
      </c>
      <c r="P240" s="2" t="s">
        <v>309</v>
      </c>
      <c r="Q240" s="2" t="s">
        <v>46</v>
      </c>
      <c r="R240" s="2">
        <v>15401</v>
      </c>
      <c r="S240" s="2" t="s">
        <v>37</v>
      </c>
      <c r="T240" s="2" t="s">
        <v>37</v>
      </c>
      <c r="U240" s="2" t="s">
        <v>38</v>
      </c>
      <c r="V240" s="3">
        <v>43041</v>
      </c>
      <c r="W240" s="2" t="s">
        <v>48</v>
      </c>
      <c r="X240" s="2" t="str">
        <f t="shared" si="12"/>
        <v>Nd, Gru. Grupo, San Juan De Lurigancho, Lima, Lima, Perú</v>
      </c>
      <c r="Y240" s="22">
        <v>-11.968179599999999</v>
      </c>
      <c r="Z240" s="22">
        <v>-77.004263699999996</v>
      </c>
      <c r="AA240" s="33">
        <f t="shared" si="13"/>
        <v>11.8</v>
      </c>
      <c r="AB240" s="2" t="str">
        <f t="shared" si="14"/>
        <v>🟠 Moderada (10-20 km)</v>
      </c>
      <c r="AC240" s="2" t="str" cm="1">
        <f t="array" ref="AC240">INDEX(PARADEROS_VALIDOS!$C$2:$C$68,MATCH(MIN(6371*ACOS(COS(RADIANS(Y240))*COS(RADIANS(PARADEROS_VALIDOS!$E$2:$E$68))*COS(RADIANS(PARADEROS_VALIDOS!$F$2:$F$68)-RADIANS(Z240))+SIN(RADIANS(Y240))*SIN(RADIANS(PARADEROS_VALIDOS!$E$2:$E$68)))),6371*ACOS(COS(RADIANS(Y240))*COS(RADIANS(PARADEROS_VALIDOS!$E$2:$E$68))*COS(RADIANS(PARADEROS_VALIDOS!$F$2:$F$68)-RADIANS(Z240))+SIN(RADIANS(Y240))*SIN(RADIANS(PARADEROS_VALIDOS!$E$2:$E$68))),0))</f>
        <v>Paradero Acho</v>
      </c>
      <c r="AD240" s="2" t="str">
        <f>IFERROR(INDEX(PARADEROS_VALIDOS!$A$2:$A$68,MATCH(AC240,PARADEROS_VALIDOS!$C$2:$C$68,0)),"")</f>
        <v>RUTA 8</v>
      </c>
      <c r="AE240" s="33" cm="1">
        <f t="array" ref="AE240">ROUND(MIN(6371*ACOS(COS(RADIANS(Y240))*COS(RADIANS(PARADEROS_VALIDOS!$E$2:$E$68))*COS(RADIANS(PARADEROS_VALIDOS!$F$2:$F$68)-RADIANS(Z240))+SIN(RADIANS(Y240))*SIN(RADIANS(PARADEROS_VALIDOS!$E$2:$E$68)))),2)</f>
        <v>0.46</v>
      </c>
      <c r="AF240" s="2" t="str">
        <f t="shared" si="15"/>
        <v>🟢 Muy Cerca (0-1 km)</v>
      </c>
      <c r="AG240" s="2"/>
      <c r="AH240" s="2"/>
      <c r="AI240" s="51">
        <v>-11.997563</v>
      </c>
      <c r="AJ240" s="51">
        <v>-76.900062000000005</v>
      </c>
      <c r="AK240" s="2" t="str">
        <f>IFERROR(VLOOKUP(I240,tdcargo[],2,FALSE),"DESCONOCIDO")</f>
        <v>OPERARIO</v>
      </c>
    </row>
    <row r="241" spans="1:37" x14ac:dyDescent="0.35">
      <c r="A241" s="2" t="s">
        <v>33</v>
      </c>
      <c r="B241" s="2" t="s">
        <v>832</v>
      </c>
      <c r="C241" s="2" t="s">
        <v>1323</v>
      </c>
      <c r="D241" s="2" t="s">
        <v>1324</v>
      </c>
      <c r="E241" s="2">
        <v>45</v>
      </c>
      <c r="F241" s="2" t="s">
        <v>28</v>
      </c>
      <c r="G241" s="2" t="s">
        <v>29</v>
      </c>
      <c r="H241" s="2">
        <v>20508928</v>
      </c>
      <c r="I241" s="2" t="s">
        <v>416</v>
      </c>
      <c r="J241" s="3">
        <v>39255</v>
      </c>
      <c r="K241" s="2" t="s">
        <v>31</v>
      </c>
      <c r="L241" s="2" t="s">
        <v>1325</v>
      </c>
      <c r="M241" s="2" t="s">
        <v>1326</v>
      </c>
      <c r="N241" s="2" t="s">
        <v>36</v>
      </c>
      <c r="O241" s="2" t="s">
        <v>1327</v>
      </c>
      <c r="P241" s="2" t="s">
        <v>186</v>
      </c>
      <c r="Q241" s="2" t="s">
        <v>1328</v>
      </c>
      <c r="R241" s="2">
        <v>7001</v>
      </c>
      <c r="S241" s="2" t="s">
        <v>872</v>
      </c>
      <c r="T241" s="2" t="s">
        <v>873</v>
      </c>
      <c r="U241" s="2" t="s">
        <v>873</v>
      </c>
      <c r="V241" s="3">
        <v>39255</v>
      </c>
      <c r="W241" s="2" t="s">
        <v>48</v>
      </c>
      <c r="X241" s="2" t="str">
        <f t="shared" si="12"/>
        <v>I-2 Lt.18, Urb. Urbanización Jose Boterin, Callao, Callao, Const. Del Callao, Perú</v>
      </c>
      <c r="Y241" s="22">
        <v>-12.0526407</v>
      </c>
      <c r="Z241" s="22">
        <v>-77.120471300000005</v>
      </c>
      <c r="AA241" s="33">
        <f t="shared" si="13"/>
        <v>24.74</v>
      </c>
      <c r="AB241" s="2" t="str">
        <f t="shared" si="14"/>
        <v>🔴 Lejos (&gt;20 km)</v>
      </c>
      <c r="AC241" s="2" t="str" cm="1">
        <f t="array" ref="AC241">INDEX(PARADEROS_VALIDOS!$C$2:$C$68,MATCH(MIN(6371*ACOS(COS(RADIANS(Y241))*COS(RADIANS(PARADEROS_VALIDOS!$E$2:$E$68))*COS(RADIANS(PARADEROS_VALIDOS!$F$2:$F$68)-RADIANS(Z241))+SIN(RADIANS(Y241))*SIN(RADIANS(PARADEROS_VALIDOS!$E$2:$E$68)))),6371*ACOS(COS(RADIANS(Y241))*COS(RADIANS(PARADEROS_VALIDOS!$E$2:$E$68))*COS(RADIANS(PARADEROS_VALIDOS!$F$2:$F$68)-RADIANS(Z241))+SIN(RADIANS(Y241))*SIN(RADIANS(PARADEROS_VALIDOS!$E$2:$E$68))),0))</f>
        <v>Paradero Sta. Rosa</v>
      </c>
      <c r="AD241" s="2" t="str">
        <f>IFERROR(INDEX(PARADEROS_VALIDOS!$A$2:$A$68,MATCH(AC241,PARADEROS_VALIDOS!$C$2:$C$68,0)),"")</f>
        <v>RUTA 3</v>
      </c>
      <c r="AE241" s="33" cm="1">
        <f t="array" ref="AE241">ROUND(MIN(6371*ACOS(COS(RADIANS(Y241))*COS(RADIANS(PARADEROS_VALIDOS!$E$2:$E$68))*COS(RADIANS(PARADEROS_VALIDOS!$F$2:$F$68)-RADIANS(Z241))+SIN(RADIANS(Y241))*SIN(RADIANS(PARADEROS_VALIDOS!$E$2:$E$68)))),2)</f>
        <v>0.56000000000000005</v>
      </c>
      <c r="AF241" s="2" t="str">
        <f t="shared" si="15"/>
        <v>🟢 Muy Cerca (0-1 km)</v>
      </c>
      <c r="AG241" s="2"/>
      <c r="AH241" s="2"/>
      <c r="AI241" s="51">
        <v>-11.997563</v>
      </c>
      <c r="AJ241" s="51">
        <v>-76.900062000000005</v>
      </c>
      <c r="AK241" s="2" t="str">
        <f>IFERROR(VLOOKUP(I241,tdcargo[],2,FALSE),"DESCONOCIDO")</f>
        <v>STAFF</v>
      </c>
    </row>
    <row r="242" spans="1:37" x14ac:dyDescent="0.35">
      <c r="A242" s="2" t="s">
        <v>1329</v>
      </c>
      <c r="B242" s="2" t="s">
        <v>1330</v>
      </c>
      <c r="C242" s="2" t="s">
        <v>219</v>
      </c>
      <c r="D242" s="2" t="s">
        <v>1331</v>
      </c>
      <c r="E242" s="2">
        <v>54</v>
      </c>
      <c r="F242" s="2" t="s">
        <v>28</v>
      </c>
      <c r="G242" s="2" t="s">
        <v>29</v>
      </c>
      <c r="H242" s="2">
        <v>20508980</v>
      </c>
      <c r="I242" s="2" t="s">
        <v>62</v>
      </c>
      <c r="J242" s="3">
        <v>42989</v>
      </c>
      <c r="K242" s="2" t="s">
        <v>31</v>
      </c>
      <c r="L242" s="2" t="s">
        <v>63</v>
      </c>
      <c r="M242" s="2" t="s">
        <v>64</v>
      </c>
      <c r="N242" s="2" t="s">
        <v>36</v>
      </c>
      <c r="O242" s="2" t="s">
        <v>1332</v>
      </c>
      <c r="P242" s="2" t="s">
        <v>36</v>
      </c>
      <c r="Q242" s="2" t="s">
        <v>46</v>
      </c>
      <c r="R242" s="2">
        <v>15457</v>
      </c>
      <c r="S242" s="2" t="s">
        <v>37</v>
      </c>
      <c r="T242" s="2" t="s">
        <v>37</v>
      </c>
      <c r="U242" s="2" t="s">
        <v>76</v>
      </c>
      <c r="V242" s="3">
        <v>42989</v>
      </c>
      <c r="W242" s="2" t="s">
        <v>48</v>
      </c>
      <c r="X242" s="2" t="str">
        <f t="shared" si="12"/>
        <v>Maria Parado De Bellido, Lurigancho, Lima, Lima, Perú</v>
      </c>
      <c r="Y242" s="22">
        <v>-11.9763825</v>
      </c>
      <c r="Z242" s="22">
        <v>-77.005463399999996</v>
      </c>
      <c r="AA242" s="33">
        <f t="shared" si="13"/>
        <v>11.7</v>
      </c>
      <c r="AB242" s="2" t="str">
        <f t="shared" si="14"/>
        <v>🟠 Moderada (10-20 km)</v>
      </c>
      <c r="AC242" s="2" t="str" cm="1">
        <f t="array" ref="AC242">INDEX(PARADEROS_VALIDOS!$C$2:$C$68,MATCH(MIN(6371*ACOS(COS(RADIANS(Y242))*COS(RADIANS(PARADEROS_VALIDOS!$E$2:$E$68))*COS(RADIANS(PARADEROS_VALIDOS!$F$2:$F$68)-RADIANS(Z242))+SIN(RADIANS(Y242))*SIN(RADIANS(PARADEROS_VALIDOS!$E$2:$E$68)))),6371*ACOS(COS(RADIANS(Y242))*COS(RADIANS(PARADEROS_VALIDOS!$E$2:$E$68))*COS(RADIANS(PARADEROS_VALIDOS!$F$2:$F$68)-RADIANS(Z242))+SIN(RADIANS(Y242))*SIN(RADIANS(PARADEROS_VALIDOS!$E$2:$E$68))),0))</f>
        <v>Paradero Metro Canto Rey</v>
      </c>
      <c r="AD242" s="2" t="str">
        <f>IFERROR(INDEX(PARADEROS_VALIDOS!$A$2:$A$68,MATCH(AC242,PARADEROS_VALIDOS!$C$2:$C$68,0)),"")</f>
        <v>RUTA 6B</v>
      </c>
      <c r="AE242" s="33" cm="1">
        <f t="array" ref="AE242">ROUND(MIN(6371*ACOS(COS(RADIANS(Y242))*COS(RADIANS(PARADEROS_VALIDOS!$E$2:$E$68))*COS(RADIANS(PARADEROS_VALIDOS!$F$2:$F$68)-RADIANS(Z242))+SIN(RADIANS(Y242))*SIN(RADIANS(PARADEROS_VALIDOS!$E$2:$E$68)))),2)</f>
        <v>0.37</v>
      </c>
      <c r="AF242" s="2" t="str">
        <f t="shared" si="15"/>
        <v>🟢 Muy Cerca (0-1 km)</v>
      </c>
      <c r="AG242" s="2"/>
      <c r="AH242" s="2"/>
      <c r="AI242" s="51">
        <v>-11.997563</v>
      </c>
      <c r="AJ242" s="51">
        <v>-76.900062000000005</v>
      </c>
      <c r="AK242" s="2" t="str">
        <f>IFERROR(VLOOKUP(I242,tdcargo[],2,FALSE),"DESCONOCIDO")</f>
        <v>OPERARIO</v>
      </c>
    </row>
    <row r="243" spans="1:37" x14ac:dyDescent="0.35">
      <c r="A243" s="2" t="s">
        <v>1333</v>
      </c>
      <c r="B243" s="2" t="s">
        <v>383</v>
      </c>
      <c r="C243" s="2" t="s">
        <v>508</v>
      </c>
      <c r="D243" s="2" t="s">
        <v>468</v>
      </c>
      <c r="E243" s="2">
        <v>31</v>
      </c>
      <c r="F243" s="2" t="s">
        <v>28</v>
      </c>
      <c r="G243" s="2" t="s">
        <v>29</v>
      </c>
      <c r="H243" s="2">
        <v>20508766</v>
      </c>
      <c r="I243" s="2" t="s">
        <v>30</v>
      </c>
      <c r="J243" s="3">
        <v>45600</v>
      </c>
      <c r="K243" s="2" t="s">
        <v>31</v>
      </c>
      <c r="L243" s="2" t="s">
        <v>100</v>
      </c>
      <c r="M243" s="2" t="s">
        <v>101</v>
      </c>
      <c r="N243" s="2" t="s">
        <v>82</v>
      </c>
      <c r="O243" s="2" t="s">
        <v>509</v>
      </c>
      <c r="P243" s="2" t="s">
        <v>36</v>
      </c>
      <c r="Q243" s="2" t="s">
        <v>227</v>
      </c>
      <c r="R243" s="2">
        <v>15457</v>
      </c>
      <c r="S243" s="2" t="s">
        <v>37</v>
      </c>
      <c r="T243" s="2" t="s">
        <v>37</v>
      </c>
      <c r="U243" s="2" t="s">
        <v>76</v>
      </c>
      <c r="V243" s="3">
        <v>45600</v>
      </c>
      <c r="W243" s="2" t="s">
        <v>48</v>
      </c>
      <c r="X243" s="2" t="str">
        <f t="shared" si="12"/>
        <v>Calle Las Brisas De Huachipa Huachipa, Lurigancho, Lima, Lima, Perú</v>
      </c>
      <c r="Y243" s="22">
        <v>-11.999314999999999</v>
      </c>
      <c r="Z243" s="22">
        <v>-76.919015999999999</v>
      </c>
      <c r="AA243" s="33">
        <f t="shared" si="13"/>
        <v>2.0699999999999998</v>
      </c>
      <c r="AB243" s="2" t="str">
        <f t="shared" si="14"/>
        <v>🟢 Muy Cerca (0-5 km)</v>
      </c>
      <c r="AC243" s="2" t="str" cm="1">
        <f t="array" ref="AC243">INDEX(PARADEROS_VALIDOS!$C$2:$C$68,MATCH(MIN(6371*ACOS(COS(RADIANS(Y243))*COS(RADIANS(PARADEROS_VALIDOS!$E$2:$E$68))*COS(RADIANS(PARADEROS_VALIDOS!$F$2:$F$68)-RADIANS(Z243))+SIN(RADIANS(Y243))*SIN(RADIANS(PARADEROS_VALIDOS!$E$2:$E$68)))),6371*ACOS(COS(RADIANS(Y243))*COS(RADIANS(PARADEROS_VALIDOS!$E$2:$E$68))*COS(RADIANS(PARADEROS_VALIDOS!$F$2:$F$68)-RADIANS(Z243))+SIN(RADIANS(Y243))*SIN(RADIANS(PARADEROS_VALIDOS!$E$2:$E$68))),0))</f>
        <v>Estadio Huachipa</v>
      </c>
      <c r="AD243" s="2" t="str">
        <f>IFERROR(INDEX(PARADEROS_VALIDOS!$A$2:$A$68,MATCH(AC243,PARADEROS_VALIDOS!$C$2:$C$68,0)),"")</f>
        <v>RUTA 5C</v>
      </c>
      <c r="AE243" s="33" cm="1">
        <f t="array" ref="AE243">ROUND(MIN(6371*ACOS(COS(RADIANS(Y243))*COS(RADIANS(PARADEROS_VALIDOS!$E$2:$E$68))*COS(RADIANS(PARADEROS_VALIDOS!$F$2:$F$68)-RADIANS(Z243))+SIN(RADIANS(Y243))*SIN(RADIANS(PARADEROS_VALIDOS!$E$2:$E$68)))),2)</f>
        <v>1.67</v>
      </c>
      <c r="AF243" s="2" t="str">
        <f t="shared" si="15"/>
        <v>🟡 Cerca (1-3 km)</v>
      </c>
      <c r="AG243" s="2"/>
      <c r="AH243" s="2"/>
      <c r="AI243" s="51">
        <v>-11.997563</v>
      </c>
      <c r="AJ243" s="51">
        <v>-76.900062000000005</v>
      </c>
      <c r="AK243" s="2" t="str">
        <f>IFERROR(VLOOKUP(I243,tdcargo[],2,FALSE),"DESCONOCIDO")</f>
        <v>OPERARIO</v>
      </c>
    </row>
    <row r="244" spans="1:37" x14ac:dyDescent="0.35">
      <c r="A244" s="2" t="s">
        <v>1334</v>
      </c>
      <c r="B244" s="2" t="s">
        <v>1335</v>
      </c>
      <c r="C244" s="2" t="s">
        <v>1336</v>
      </c>
      <c r="D244" s="2" t="s">
        <v>1337</v>
      </c>
      <c r="E244" s="2">
        <v>43</v>
      </c>
      <c r="F244" s="2" t="s">
        <v>28</v>
      </c>
      <c r="G244" s="2" t="s">
        <v>29</v>
      </c>
      <c r="H244" s="2">
        <v>20508972</v>
      </c>
      <c r="I244" s="2" t="s">
        <v>30</v>
      </c>
      <c r="J244" s="3">
        <v>45421</v>
      </c>
      <c r="K244" s="2" t="s">
        <v>31</v>
      </c>
      <c r="L244" s="2" t="s">
        <v>32</v>
      </c>
      <c r="M244" s="2" t="s">
        <v>33</v>
      </c>
      <c r="N244" s="2" t="s">
        <v>53</v>
      </c>
      <c r="O244" s="2" t="s">
        <v>1338</v>
      </c>
      <c r="P244" s="2" t="s">
        <v>36</v>
      </c>
      <c r="Q244" s="2" t="s">
        <v>1339</v>
      </c>
      <c r="R244" s="2">
        <v>15401</v>
      </c>
      <c r="S244" s="2" t="s">
        <v>37</v>
      </c>
      <c r="T244" s="2" t="s">
        <v>37</v>
      </c>
      <c r="U244" s="2" t="s">
        <v>38</v>
      </c>
      <c r="V244" s="3">
        <v>45421</v>
      </c>
      <c r="W244" s="2" t="s">
        <v>48</v>
      </c>
      <c r="X244" s="2" t="str">
        <f t="shared" si="12"/>
        <v>Jirón Agua Marina La Huayrona, San Juan De Lurigancho, Lima, Lima, Perú</v>
      </c>
      <c r="Y244" s="22">
        <v>-11.9926391</v>
      </c>
      <c r="Z244" s="22">
        <v>-77.004505399999999</v>
      </c>
      <c r="AA244" s="33">
        <f t="shared" si="13"/>
        <v>11.37</v>
      </c>
      <c r="AB244" s="2" t="str">
        <f t="shared" si="14"/>
        <v>🟠 Moderada (10-20 km)</v>
      </c>
      <c r="AC244" s="2" t="str" cm="1">
        <f t="array" ref="AC244">INDEX(PARADEROS_VALIDOS!$C$2:$C$68,MATCH(MIN(6371*ACOS(COS(RADIANS(Y244))*COS(RADIANS(PARADEROS_VALIDOS!$E$2:$E$68))*COS(RADIANS(PARADEROS_VALIDOS!$F$2:$F$68)-RADIANS(Z244))+SIN(RADIANS(Y244))*SIN(RADIANS(PARADEROS_VALIDOS!$E$2:$E$68)))),6371*ACOS(COS(RADIANS(Y244))*COS(RADIANS(PARADEROS_VALIDOS!$E$2:$E$68))*COS(RADIANS(PARADEROS_VALIDOS!$F$2:$F$68)-RADIANS(Z244))+SIN(RADIANS(Y244))*SIN(RADIANS(PARADEROS_VALIDOS!$E$2:$E$68))),0))</f>
        <v>Paradero San Carlos</v>
      </c>
      <c r="AD244" s="2" t="str">
        <f>IFERROR(INDEX(PARADEROS_VALIDOS!$A$2:$A$68,MATCH(AC244,PARADEROS_VALIDOS!$C$2:$C$68,0)),"")</f>
        <v>RUTA 6B</v>
      </c>
      <c r="AE244" s="33" cm="1">
        <f t="array" ref="AE244">ROUND(MIN(6371*ACOS(COS(RADIANS(Y244))*COS(RADIANS(PARADEROS_VALIDOS!$E$2:$E$68))*COS(RADIANS(PARADEROS_VALIDOS!$F$2:$F$68)-RADIANS(Z244))+SIN(RADIANS(Y244))*SIN(RADIANS(PARADEROS_VALIDOS!$E$2:$E$68)))),2)</f>
        <v>0.78</v>
      </c>
      <c r="AF244" s="2" t="str">
        <f t="shared" si="15"/>
        <v>🟢 Muy Cerca (0-1 km)</v>
      </c>
      <c r="AG244" s="2"/>
      <c r="AH244" s="2"/>
      <c r="AI244" s="51">
        <v>-11.997563</v>
      </c>
      <c r="AJ244" s="51">
        <v>-76.900062000000005</v>
      </c>
      <c r="AK244" s="2" t="str">
        <f>IFERROR(VLOOKUP(I244,tdcargo[],2,FALSE),"DESCONOCIDO")</f>
        <v>OPERARIO</v>
      </c>
    </row>
    <row r="245" spans="1:37" x14ac:dyDescent="0.35">
      <c r="A245" s="2" t="s">
        <v>1340</v>
      </c>
      <c r="B245" s="2" t="s">
        <v>1341</v>
      </c>
      <c r="C245" s="2" t="s">
        <v>1342</v>
      </c>
      <c r="D245" s="2" t="s">
        <v>1239</v>
      </c>
      <c r="E245" s="2">
        <v>26</v>
      </c>
      <c r="F245" s="2" t="s">
        <v>28</v>
      </c>
      <c r="G245" s="2" t="s">
        <v>29</v>
      </c>
      <c r="H245" s="2">
        <v>20512283</v>
      </c>
      <c r="I245" s="2" t="s">
        <v>30</v>
      </c>
      <c r="J245" s="3">
        <v>45761</v>
      </c>
      <c r="K245" s="2" t="s">
        <v>31</v>
      </c>
      <c r="L245" s="2" t="s">
        <v>108</v>
      </c>
      <c r="M245" s="2" t="s">
        <v>109</v>
      </c>
      <c r="N245" s="2" t="s">
        <v>148</v>
      </c>
      <c r="O245" s="2" t="s">
        <v>1343</v>
      </c>
      <c r="P245" s="2" t="s">
        <v>36</v>
      </c>
      <c r="Q245" s="2" t="s">
        <v>1344</v>
      </c>
      <c r="R245" s="2">
        <v>15457</v>
      </c>
      <c r="S245" s="2" t="s">
        <v>37</v>
      </c>
      <c r="T245" s="2" t="s">
        <v>37</v>
      </c>
      <c r="U245" s="2" t="s">
        <v>76</v>
      </c>
      <c r="V245" s="3">
        <v>45761</v>
      </c>
      <c r="W245" s="2" t="s">
        <v>39</v>
      </c>
      <c r="X245" s="2" t="str">
        <f t="shared" si="12"/>
        <v>Pasaje Aso.Hubert Lanssier Parque De Hubert Lanssier, Lurigancho, Lima, Lima, Perú</v>
      </c>
      <c r="Y245" s="22">
        <v>-11.993723599999999</v>
      </c>
      <c r="Z245" s="22">
        <v>-76.902010300000001</v>
      </c>
      <c r="AA245" s="33">
        <f t="shared" si="13"/>
        <v>0.48</v>
      </c>
      <c r="AB245" s="2" t="str">
        <f t="shared" si="14"/>
        <v>🟢 Muy Cerca (0-5 km)</v>
      </c>
      <c r="AC245" s="2" t="str" cm="1">
        <f t="array" ref="AC245">INDEX(PARADEROS_VALIDOS!$C$2:$C$68,MATCH(MIN(6371*ACOS(COS(RADIANS(Y245))*COS(RADIANS(PARADEROS_VALIDOS!$E$2:$E$68))*COS(RADIANS(PARADEROS_VALIDOS!$F$2:$F$68)-RADIANS(Z245))+SIN(RADIANS(Y245))*SIN(RADIANS(PARADEROS_VALIDOS!$E$2:$E$68)))),6371*ACOS(COS(RADIANS(Y245))*COS(RADIANS(PARADEROS_VALIDOS!$E$2:$E$68))*COS(RADIANS(PARADEROS_VALIDOS!$F$2:$F$68)-RADIANS(Z245))+SIN(RADIANS(Y245))*SIN(RADIANS(PARADEROS_VALIDOS!$E$2:$E$68))),0))</f>
        <v>Paradero Arco San Antonio</v>
      </c>
      <c r="AD245" s="2" t="str">
        <f>IFERROR(INDEX(PARADEROS_VALIDOS!$A$2:$A$68,MATCH(AC245,PARADEROS_VALIDOS!$C$2:$C$68,0)),"")</f>
        <v>RUTA 2</v>
      </c>
      <c r="AE245" s="33" cm="1">
        <f t="array" ref="AE245">ROUND(MIN(6371*ACOS(COS(RADIANS(Y245))*COS(RADIANS(PARADEROS_VALIDOS!$E$2:$E$68))*COS(RADIANS(PARADEROS_VALIDOS!$F$2:$F$68)-RADIANS(Z245))+SIN(RADIANS(Y245))*SIN(RADIANS(PARADEROS_VALIDOS!$E$2:$E$68)))),2)</f>
        <v>0.12</v>
      </c>
      <c r="AF245" s="2" t="str">
        <f t="shared" si="15"/>
        <v>🟢 Muy Cerca (0-1 km)</v>
      </c>
      <c r="AG245" s="2"/>
      <c r="AH245" s="2"/>
      <c r="AI245" s="51">
        <v>-11.997563</v>
      </c>
      <c r="AJ245" s="51">
        <v>-76.900062000000005</v>
      </c>
      <c r="AK245" s="2" t="str">
        <f>IFERROR(VLOOKUP(I245,tdcargo[],2,FALSE),"DESCONOCIDO")</f>
        <v>OPERARIO</v>
      </c>
    </row>
    <row r="246" spans="1:37" x14ac:dyDescent="0.35">
      <c r="A246" s="2" t="s">
        <v>1345</v>
      </c>
      <c r="B246" s="2" t="s">
        <v>1346</v>
      </c>
      <c r="C246" s="2" t="s">
        <v>364</v>
      </c>
      <c r="D246" s="2" t="s">
        <v>1000</v>
      </c>
      <c r="E246" s="2">
        <v>25</v>
      </c>
      <c r="F246" s="2" t="s">
        <v>28</v>
      </c>
      <c r="G246" s="2" t="s">
        <v>29</v>
      </c>
      <c r="H246" s="2">
        <v>20515689</v>
      </c>
      <c r="I246" s="2" t="s">
        <v>822</v>
      </c>
      <c r="J246" s="3">
        <v>46055</v>
      </c>
      <c r="K246" s="2" t="s">
        <v>31</v>
      </c>
      <c r="L246" s="2" t="s">
        <v>1060</v>
      </c>
      <c r="M246" s="2" t="s">
        <v>281</v>
      </c>
      <c r="N246" s="2" t="s">
        <v>82</v>
      </c>
      <c r="O246" s="2" t="s">
        <v>1347</v>
      </c>
      <c r="P246" s="2" t="s">
        <v>36</v>
      </c>
      <c r="Q246" s="2" t="s">
        <v>1348</v>
      </c>
      <c r="R246" s="2">
        <v>15311</v>
      </c>
      <c r="S246" s="2" t="s">
        <v>37</v>
      </c>
      <c r="T246" s="2" t="s">
        <v>37</v>
      </c>
      <c r="U246" s="2" t="s">
        <v>1094</v>
      </c>
      <c r="V246" s="3">
        <v>46055</v>
      </c>
      <c r="W246" s="2" t="s">
        <v>135</v>
      </c>
      <c r="X246" s="2" t="str">
        <f t="shared" si="12"/>
        <v>Calle Mochicas TAHUANTINSUYO, Independencia, Lima, Lima, Perú</v>
      </c>
      <c r="Y246" s="22">
        <v>-11.9819773</v>
      </c>
      <c r="Z246" s="22">
        <v>-77.055490699999993</v>
      </c>
      <c r="AA246" s="33">
        <f t="shared" si="13"/>
        <v>16.989999999999998</v>
      </c>
      <c r="AB246" s="2" t="str">
        <f t="shared" si="14"/>
        <v>🟠 Moderada (10-20 km)</v>
      </c>
      <c r="AC246" s="2" t="str" cm="1">
        <f t="array" ref="AC246">INDEX(PARADEROS_VALIDOS!$C$2:$C$68,MATCH(MIN(6371*ACOS(COS(RADIANS(Y246))*COS(RADIANS(PARADEROS_VALIDOS!$E$2:$E$68))*COS(RADIANS(PARADEROS_VALIDOS!$F$2:$F$68)-RADIANS(Z246))+SIN(RADIANS(Y246))*SIN(RADIANS(PARADEROS_VALIDOS!$E$2:$E$68)))),6371*ACOS(COS(RADIANS(Y246))*COS(RADIANS(PARADEROS_VALIDOS!$E$2:$E$68))*COS(RADIANS(PARADEROS_VALIDOS!$F$2:$F$68)-RADIANS(Z246))+SIN(RADIANS(Y246))*SIN(RADIANS(PARADEROS_VALIDOS!$E$2:$E$68))),0))</f>
        <v>Paradero 15 de Julio</v>
      </c>
      <c r="AD246" s="2" t="str">
        <f>IFERROR(INDEX(PARADEROS_VALIDOS!$A$2:$A$68,MATCH(AC246,PARADEROS_VALIDOS!$C$2:$C$68,0)),"")</f>
        <v>RUTA 3</v>
      </c>
      <c r="AE246" s="33" cm="1">
        <f t="array" ref="AE246">ROUND(MIN(6371*ACOS(COS(RADIANS(Y246))*COS(RADIANS(PARADEROS_VALIDOS!$E$2:$E$68))*COS(RADIANS(PARADEROS_VALIDOS!$F$2:$F$68)-RADIANS(Z246))+SIN(RADIANS(Y246))*SIN(RADIANS(PARADEROS_VALIDOS!$E$2:$E$68)))),2)</f>
        <v>0.64</v>
      </c>
      <c r="AF246" s="2" t="str">
        <f t="shared" si="15"/>
        <v>🟢 Muy Cerca (0-1 km)</v>
      </c>
      <c r="AG246" s="2"/>
      <c r="AH246" s="2"/>
      <c r="AI246" s="51">
        <v>-11.997563</v>
      </c>
      <c r="AJ246" s="51">
        <v>-76.900062000000005</v>
      </c>
      <c r="AK246" s="2" t="str">
        <f>IFERROR(VLOOKUP(I246,tdcargo[],2,FALSE),"DESCONOCIDO")</f>
        <v>STAFF</v>
      </c>
    </row>
    <row r="247" spans="1:37" x14ac:dyDescent="0.35">
      <c r="A247" s="2" t="s">
        <v>1349</v>
      </c>
      <c r="B247" s="2" t="s">
        <v>1350</v>
      </c>
      <c r="C247" s="2" t="s">
        <v>531</v>
      </c>
      <c r="D247" s="2" t="s">
        <v>715</v>
      </c>
      <c r="E247" s="2">
        <v>19</v>
      </c>
      <c r="F247" s="2" t="s">
        <v>28</v>
      </c>
      <c r="G247" s="2" t="s">
        <v>29</v>
      </c>
      <c r="H247" s="2">
        <v>20510589</v>
      </c>
      <c r="I247" s="2" t="s">
        <v>30</v>
      </c>
      <c r="J247" s="3">
        <v>46045</v>
      </c>
      <c r="K247" s="2" t="s">
        <v>31</v>
      </c>
      <c r="L247" s="2" t="s">
        <v>100</v>
      </c>
      <c r="M247" s="2" t="s">
        <v>101</v>
      </c>
      <c r="N247" s="2" t="s">
        <v>34</v>
      </c>
      <c r="O247" s="2" t="s">
        <v>1351</v>
      </c>
      <c r="P247" s="2" t="s">
        <v>36</v>
      </c>
      <c r="Q247" s="2" t="s">
        <v>1352</v>
      </c>
      <c r="R247" s="2">
        <v>15510</v>
      </c>
      <c r="S247" s="2" t="s">
        <v>37</v>
      </c>
      <c r="T247" s="2" t="s">
        <v>195</v>
      </c>
      <c r="U247" s="2" t="s">
        <v>196</v>
      </c>
      <c r="V247" s="3">
        <v>46045</v>
      </c>
      <c r="W247" s="2" t="s">
        <v>135</v>
      </c>
      <c r="X247" s="2" t="str">
        <f t="shared" si="12"/>
        <v>Avenida Los Cipreces JICAMARCA ANEXO 8, San Antonio, Huarochiri, Lima, Perú</v>
      </c>
      <c r="Y247" s="22">
        <v>-11.9673204</v>
      </c>
      <c r="Z247" s="22">
        <v>-76.943074800000005</v>
      </c>
      <c r="AA247" s="33">
        <f t="shared" si="13"/>
        <v>5.76</v>
      </c>
      <c r="AB247" s="2" t="str">
        <f t="shared" si="14"/>
        <v>🟡 Cerca (5-10 km)</v>
      </c>
      <c r="AC247" s="2" t="str" cm="1">
        <f t="array" ref="AC247">INDEX(PARADEROS_VALIDOS!$C$2:$C$68,MATCH(MIN(6371*ACOS(COS(RADIANS(Y247))*COS(RADIANS(PARADEROS_VALIDOS!$E$2:$E$68))*COS(RADIANS(PARADEROS_VALIDOS!$F$2:$F$68)-RADIANS(Z247))+SIN(RADIANS(Y247))*SIN(RADIANS(PARADEROS_VALIDOS!$E$2:$E$68)))),6371*ACOS(COS(RADIANS(Y247))*COS(RADIANS(PARADEROS_VALIDOS!$E$2:$E$68))*COS(RADIANS(PARADEROS_VALIDOS!$F$2:$F$68)-RADIANS(Z247))+SIN(RADIANS(Y247))*SIN(RADIANS(PARADEROS_VALIDOS!$E$2:$E$68))),0))</f>
        <v>Paradero Arco San Antonio</v>
      </c>
      <c r="AD247" s="2" t="str">
        <f>IFERROR(INDEX(PARADEROS_VALIDOS!$A$2:$A$68,MATCH(AC247,PARADEROS_VALIDOS!$C$2:$C$68,0)),"")</f>
        <v>RUTA 2</v>
      </c>
      <c r="AE247" s="33" cm="1">
        <f t="array" ref="AE247">ROUND(MIN(6371*ACOS(COS(RADIANS(Y247))*COS(RADIANS(PARADEROS_VALIDOS!$E$2:$E$68))*COS(RADIANS(PARADEROS_VALIDOS!$F$2:$F$68)-RADIANS(Z247))+SIN(RADIANS(Y247))*SIN(RADIANS(PARADEROS_VALIDOS!$E$2:$E$68)))),2)</f>
        <v>5.23</v>
      </c>
      <c r="AF247" s="2" t="str">
        <f t="shared" si="15"/>
        <v>🔴 Lejos (&gt;5 km)</v>
      </c>
      <c r="AG247" s="2"/>
      <c r="AH247" s="2"/>
      <c r="AI247" s="51">
        <v>-11.997563</v>
      </c>
      <c r="AJ247" s="51">
        <v>-76.900062000000005</v>
      </c>
      <c r="AK247" s="2" t="str">
        <f>IFERROR(VLOOKUP(I247,tdcargo[],2,FALSE),"DESCONOCIDO")</f>
        <v>OPERARIO</v>
      </c>
    </row>
    <row r="248" spans="1:37" x14ac:dyDescent="0.35">
      <c r="A248" s="2" t="s">
        <v>1353</v>
      </c>
      <c r="B248" s="2" t="s">
        <v>1354</v>
      </c>
      <c r="C248" s="2" t="s">
        <v>1088</v>
      </c>
      <c r="D248" s="2" t="s">
        <v>1355</v>
      </c>
      <c r="E248" s="2">
        <v>21</v>
      </c>
      <c r="F248" s="2" t="s">
        <v>28</v>
      </c>
      <c r="G248" s="2" t="s">
        <v>29</v>
      </c>
      <c r="H248" s="2">
        <v>20514454</v>
      </c>
      <c r="I248" s="2" t="s">
        <v>30</v>
      </c>
      <c r="J248" s="3">
        <v>46041</v>
      </c>
      <c r="K248" s="2" t="s">
        <v>31</v>
      </c>
      <c r="L248" s="2" t="s">
        <v>100</v>
      </c>
      <c r="M248" s="2" t="s">
        <v>101</v>
      </c>
      <c r="N248" s="2" t="s">
        <v>82</v>
      </c>
      <c r="O248" s="2" t="s">
        <v>1356</v>
      </c>
      <c r="P248" s="2" t="s">
        <v>186</v>
      </c>
      <c r="Q248" s="2" t="s">
        <v>1357</v>
      </c>
      <c r="R248" s="2">
        <v>15004</v>
      </c>
      <c r="S248" s="2" t="s">
        <v>37</v>
      </c>
      <c r="T248" s="2" t="s">
        <v>37</v>
      </c>
      <c r="U248" s="2" t="s">
        <v>57</v>
      </c>
      <c r="V248" s="3">
        <v>46041</v>
      </c>
      <c r="W248" s="2" t="s">
        <v>135</v>
      </c>
      <c r="X248" s="2" t="str">
        <f t="shared" si="12"/>
        <v>Calle Calle Rio Pampas, Urb. Urbanización RIO PAMPAS, Ate, Lima, Lima, Perú</v>
      </c>
      <c r="Y248" s="22">
        <v>-12.033790700000001</v>
      </c>
      <c r="Z248" s="22">
        <v>-76.935480499999997</v>
      </c>
      <c r="AA248" s="33">
        <f t="shared" si="13"/>
        <v>5.57</v>
      </c>
      <c r="AB248" s="2" t="str">
        <f t="shared" si="14"/>
        <v>🟡 Cerca (5-10 km)</v>
      </c>
      <c r="AC248" s="2" t="str" cm="1">
        <f t="array" ref="AC248">INDEX(PARADEROS_VALIDOS!$C$2:$C$68,MATCH(MIN(6371*ACOS(COS(RADIANS(Y248))*COS(RADIANS(PARADEROS_VALIDOS!$E$2:$E$68))*COS(RADIANS(PARADEROS_VALIDOS!$F$2:$F$68)-RADIANS(Z248))+SIN(RADIANS(Y248))*SIN(RADIANS(PARADEROS_VALIDOS!$E$2:$E$68)))),6371*ACOS(COS(RADIANS(Y248))*COS(RADIANS(PARADEROS_VALIDOS!$E$2:$E$68))*COS(RADIANS(PARADEROS_VALIDOS!$F$2:$F$68)-RADIANS(Z248))+SIN(RADIANS(Y248))*SIN(RADIANS(PARADEROS_VALIDOS!$E$2:$E$68))),0))</f>
        <v>Real Plaza Puruchuco (Grifo Primax)</v>
      </c>
      <c r="AD248" s="2" t="str">
        <f>IFERROR(INDEX(PARADEROS_VALIDOS!$A$2:$A$68,MATCH(AC248,PARADEROS_VALIDOS!$C$2:$C$68,0)),"")</f>
        <v>RUTA 4A</v>
      </c>
      <c r="AE248" s="33" cm="1">
        <f t="array" ref="AE248">ROUND(MIN(6371*ACOS(COS(RADIANS(Y248))*COS(RADIANS(PARADEROS_VALIDOS!$E$2:$E$68))*COS(RADIANS(PARADEROS_VALIDOS!$F$2:$F$68)-RADIANS(Z248))+SIN(RADIANS(Y248))*SIN(RADIANS(PARADEROS_VALIDOS!$E$2:$E$68)))),2)</f>
        <v>0.92</v>
      </c>
      <c r="AF248" s="2" t="str">
        <f t="shared" si="15"/>
        <v>🟢 Muy Cerca (0-1 km)</v>
      </c>
      <c r="AG248" s="2"/>
      <c r="AH248" s="2"/>
      <c r="AI248" s="51">
        <v>-11.997563</v>
      </c>
      <c r="AJ248" s="51">
        <v>-76.900062000000005</v>
      </c>
      <c r="AK248" s="2" t="str">
        <f>IFERROR(VLOOKUP(I248,tdcargo[],2,FALSE),"DESCONOCIDO")</f>
        <v>OPERARIO</v>
      </c>
    </row>
    <row r="249" spans="1:37" x14ac:dyDescent="0.35">
      <c r="A249" s="2" t="s">
        <v>1358</v>
      </c>
      <c r="B249" s="2" t="s">
        <v>1359</v>
      </c>
      <c r="C249" s="2" t="s">
        <v>1360</v>
      </c>
      <c r="D249" s="2" t="s">
        <v>364</v>
      </c>
      <c r="E249" s="2">
        <v>28</v>
      </c>
      <c r="F249" s="2" t="s">
        <v>28</v>
      </c>
      <c r="G249" s="2" t="s">
        <v>29</v>
      </c>
      <c r="H249" s="2">
        <v>20508957</v>
      </c>
      <c r="I249" s="2" t="s">
        <v>30</v>
      </c>
      <c r="J249" s="3">
        <v>46034</v>
      </c>
      <c r="K249" s="2" t="s">
        <v>31</v>
      </c>
      <c r="L249" s="2" t="s">
        <v>32</v>
      </c>
      <c r="M249" s="2" t="s">
        <v>33</v>
      </c>
      <c r="N249" s="2" t="s">
        <v>36</v>
      </c>
      <c r="O249" s="2" t="s">
        <v>705</v>
      </c>
      <c r="P249" s="2" t="s">
        <v>36</v>
      </c>
      <c r="Q249" s="2"/>
      <c r="R249" s="2">
        <v>15004</v>
      </c>
      <c r="S249" s="2" t="s">
        <v>37</v>
      </c>
      <c r="T249" s="2" t="s">
        <v>37</v>
      </c>
      <c r="U249" s="2" t="s">
        <v>57</v>
      </c>
      <c r="V249" s="3">
        <v>46034</v>
      </c>
      <c r="W249" s="2" t="s">
        <v>135</v>
      </c>
      <c r="X249" s="2" t="str">
        <f t="shared" si="12"/>
        <v>Huaycan, Ate, Lima, Lima, Perú</v>
      </c>
      <c r="Y249" s="22">
        <v>-12.0201464</v>
      </c>
      <c r="Z249" s="22">
        <v>-76.8175454</v>
      </c>
      <c r="AA249" s="33">
        <f t="shared" si="13"/>
        <v>9.32</v>
      </c>
      <c r="AB249" s="2" t="str">
        <f t="shared" si="14"/>
        <v>🟡 Cerca (5-10 km)</v>
      </c>
      <c r="AC249" s="2" t="str" cm="1">
        <f t="array" ref="AC249">INDEX(PARADEROS_VALIDOS!$C$2:$C$68,MATCH(MIN(6371*ACOS(COS(RADIANS(Y249))*COS(RADIANS(PARADEROS_VALIDOS!$E$2:$E$68))*COS(RADIANS(PARADEROS_VALIDOS!$F$2:$F$68)-RADIANS(Z249))+SIN(RADIANS(Y249))*SIN(RADIANS(PARADEROS_VALIDOS!$E$2:$E$68)))),6371*ACOS(COS(RADIANS(Y249))*COS(RADIANS(PARADEROS_VALIDOS!$E$2:$E$68))*COS(RADIANS(PARADEROS_VALIDOS!$F$2:$F$68)-RADIANS(Z249))+SIN(RADIANS(Y249))*SIN(RADIANS(PARADEROS_VALIDOS!$E$2:$E$68))),0))</f>
        <v>Paradero Aurora</v>
      </c>
      <c r="AD249" s="2" t="str">
        <f>IFERROR(INDEX(PARADEROS_VALIDOS!$A$2:$A$68,MATCH(AC249,PARADEROS_VALIDOS!$C$2:$C$68,0)),"")</f>
        <v>RUTA 3</v>
      </c>
      <c r="AE249" s="33" cm="1">
        <f t="array" ref="AE249">ROUND(MIN(6371*ACOS(COS(RADIANS(Y249))*COS(RADIANS(PARADEROS_VALIDOS!$E$2:$E$68))*COS(RADIANS(PARADEROS_VALIDOS!$F$2:$F$68)-RADIANS(Z249))+SIN(RADIANS(Y249))*SIN(RADIANS(PARADEROS_VALIDOS!$E$2:$E$68)))),2)</f>
        <v>0.84</v>
      </c>
      <c r="AF249" s="2" t="str">
        <f t="shared" si="15"/>
        <v>🟢 Muy Cerca (0-1 km)</v>
      </c>
      <c r="AG249" s="2"/>
      <c r="AH249" s="2"/>
      <c r="AI249" s="51">
        <v>-11.997563</v>
      </c>
      <c r="AJ249" s="51">
        <v>-76.900062000000005</v>
      </c>
      <c r="AK249" s="2" t="str">
        <f>IFERROR(VLOOKUP(I249,tdcargo[],2,FALSE),"DESCONOCIDO")</f>
        <v>OPERARIO</v>
      </c>
    </row>
    <row r="250" spans="1:37" x14ac:dyDescent="0.35">
      <c r="A250" s="2" t="s">
        <v>1361</v>
      </c>
      <c r="B250" s="2" t="s">
        <v>1362</v>
      </c>
      <c r="C250" s="2" t="s">
        <v>1211</v>
      </c>
      <c r="D250" s="2" t="s">
        <v>1363</v>
      </c>
      <c r="E250" s="2">
        <v>20</v>
      </c>
      <c r="F250" s="2" t="s">
        <v>28</v>
      </c>
      <c r="G250" s="2" t="s">
        <v>29</v>
      </c>
      <c r="H250" s="2">
        <v>20513910</v>
      </c>
      <c r="I250" s="2" t="s">
        <v>30</v>
      </c>
      <c r="J250" s="3">
        <v>45859</v>
      </c>
      <c r="K250" s="2" t="s">
        <v>31</v>
      </c>
      <c r="L250" s="2" t="s">
        <v>32</v>
      </c>
      <c r="M250" s="2" t="s">
        <v>33</v>
      </c>
      <c r="N250" s="2" t="s">
        <v>36</v>
      </c>
      <c r="O250" s="2" t="s">
        <v>1364</v>
      </c>
      <c r="P250" s="2" t="s">
        <v>36</v>
      </c>
      <c r="Q250" s="2" t="s">
        <v>322</v>
      </c>
      <c r="R250" s="2">
        <v>15457</v>
      </c>
      <c r="S250" s="2" t="s">
        <v>37</v>
      </c>
      <c r="T250" s="2" t="s">
        <v>37</v>
      </c>
      <c r="U250" s="2" t="s">
        <v>76</v>
      </c>
      <c r="V250" s="3">
        <v>45859</v>
      </c>
      <c r="W250" s="2" t="s">
        <v>39</v>
      </c>
      <c r="X250" s="2" t="str">
        <f t="shared" si="12"/>
        <v>Alfonso Ugarte Cerro Camote, Lurigancho, Lima, Lima, Perú</v>
      </c>
      <c r="Y250" s="22">
        <v>-11.966666699999999</v>
      </c>
      <c r="Z250" s="22">
        <v>-76.933333300000001</v>
      </c>
      <c r="AA250" s="33">
        <f t="shared" si="13"/>
        <v>4.99</v>
      </c>
      <c r="AB250" s="2" t="str">
        <f t="shared" si="14"/>
        <v>🟢 Muy Cerca (0-5 km)</v>
      </c>
      <c r="AC250" s="2" t="str" cm="1">
        <f t="array" ref="AC250">INDEX(PARADEROS_VALIDOS!$C$2:$C$68,MATCH(MIN(6371*ACOS(COS(RADIANS(Y250))*COS(RADIANS(PARADEROS_VALIDOS!$E$2:$E$68))*COS(RADIANS(PARADEROS_VALIDOS!$F$2:$F$68)-RADIANS(Z250))+SIN(RADIANS(Y250))*SIN(RADIANS(PARADEROS_VALIDOS!$E$2:$E$68)))),6371*ACOS(COS(RADIANS(Y250))*COS(RADIANS(PARADEROS_VALIDOS!$E$2:$E$68))*COS(RADIANS(PARADEROS_VALIDOS!$F$2:$F$68)-RADIANS(Z250))+SIN(RADIANS(Y250))*SIN(RADIANS(PARADEROS_VALIDOS!$E$2:$E$68))),0))</f>
        <v>Paradero Arco San Antonio</v>
      </c>
      <c r="AD250" s="2" t="str">
        <f>IFERROR(INDEX(PARADEROS_VALIDOS!$A$2:$A$68,MATCH(AC250,PARADEROS_VALIDOS!$C$2:$C$68,0)),"")</f>
        <v>RUTA 2</v>
      </c>
      <c r="AE250" s="33" cm="1">
        <f t="array" ref="AE250">ROUND(MIN(6371*ACOS(COS(RADIANS(Y250))*COS(RADIANS(PARADEROS_VALIDOS!$E$2:$E$68))*COS(RADIANS(PARADEROS_VALIDOS!$F$2:$F$68)-RADIANS(Z250))+SIN(RADIANS(Y250))*SIN(RADIANS(PARADEROS_VALIDOS!$E$2:$E$68)))),2)</f>
        <v>4.4400000000000004</v>
      </c>
      <c r="AF250" s="2" t="str">
        <f t="shared" si="15"/>
        <v>🟠 Moderada (3-5 km)</v>
      </c>
      <c r="AG250" s="2"/>
      <c r="AH250" s="2"/>
      <c r="AI250" s="51">
        <v>-11.997563</v>
      </c>
      <c r="AJ250" s="51">
        <v>-76.900062000000005</v>
      </c>
      <c r="AK250" s="2" t="str">
        <f>IFERROR(VLOOKUP(I250,tdcargo[],2,FALSE),"DESCONOCIDO")</f>
        <v>OPERARIO</v>
      </c>
    </row>
    <row r="251" spans="1:37" x14ac:dyDescent="0.35">
      <c r="A251" s="2" t="s">
        <v>184</v>
      </c>
      <c r="B251" s="2" t="s">
        <v>1365</v>
      </c>
      <c r="C251" s="2" t="s">
        <v>1366</v>
      </c>
      <c r="D251" s="2" t="s">
        <v>1367</v>
      </c>
      <c r="E251" s="2">
        <v>57</v>
      </c>
      <c r="F251" s="2" t="s">
        <v>28</v>
      </c>
      <c r="G251" s="2" t="s">
        <v>29</v>
      </c>
      <c r="H251" s="2">
        <v>20508719</v>
      </c>
      <c r="I251" s="2" t="s">
        <v>1368</v>
      </c>
      <c r="J251" s="3">
        <v>45748</v>
      </c>
      <c r="K251" s="2" t="s">
        <v>31</v>
      </c>
      <c r="L251" s="2" t="s">
        <v>1369</v>
      </c>
      <c r="M251" s="2"/>
      <c r="N251" s="2" t="s">
        <v>36</v>
      </c>
      <c r="O251" s="2" t="s">
        <v>1370</v>
      </c>
      <c r="P251" s="2" t="s">
        <v>36</v>
      </c>
      <c r="Q251" s="2" t="s">
        <v>1371</v>
      </c>
      <c r="R251" s="2">
        <v>15023</v>
      </c>
      <c r="S251" s="2" t="s">
        <v>37</v>
      </c>
      <c r="T251" s="2" t="s">
        <v>37</v>
      </c>
      <c r="U251" s="2" t="s">
        <v>1372</v>
      </c>
      <c r="V251" s="3">
        <v>45748</v>
      </c>
      <c r="W251" s="2" t="s">
        <v>77</v>
      </c>
      <c r="X251" s="2" t="str">
        <f t="shared" si="12"/>
        <v>General Luis La Puerta Liguria, Santiago De Surco, Lima, Lima, Perú</v>
      </c>
      <c r="Y251" s="22">
        <v>-12.1314929</v>
      </c>
      <c r="Z251" s="22">
        <v>-76.996375900000004</v>
      </c>
      <c r="AA251" s="33">
        <f t="shared" si="13"/>
        <v>18.21</v>
      </c>
      <c r="AB251" s="2" t="str">
        <f t="shared" si="14"/>
        <v>🟠 Moderada (10-20 km)</v>
      </c>
      <c r="AC251" s="2" t="str" cm="1">
        <f t="array" ref="AC251">INDEX(PARADEROS_VALIDOS!$C$2:$C$68,MATCH(MIN(6371*ACOS(COS(RADIANS(Y251))*COS(RADIANS(PARADEROS_VALIDOS!$E$2:$E$68))*COS(RADIANS(PARADEROS_VALIDOS!$F$2:$F$68)-RADIANS(Z251))+SIN(RADIANS(Y251))*SIN(RADIANS(PARADEROS_VALIDOS!$E$2:$E$68)))),6371*ACOS(COS(RADIANS(Y251))*COS(RADIANS(PARADEROS_VALIDOS!$E$2:$E$68))*COS(RADIANS(PARADEROS_VALIDOS!$F$2:$F$68)-RADIANS(Z251))+SIN(RADIANS(Y251))*SIN(RADIANS(PARADEROS_VALIDOS!$E$2:$E$68))),0))</f>
        <v>Tottus Atocongo (Auxiliar)</v>
      </c>
      <c r="AD251" s="2" t="str">
        <f>IFERROR(INDEX(PARADEROS_VALIDOS!$A$2:$A$68,MATCH(AC251,PARADEROS_VALIDOS!$C$2:$C$68,0)),"")</f>
        <v>RUTA 7</v>
      </c>
      <c r="AE251" s="33" cm="1">
        <f t="array" ref="AE251">ROUND(MIN(6371*ACOS(COS(RADIANS(Y251))*COS(RADIANS(PARADEROS_VALIDOS!$E$2:$E$68))*COS(RADIANS(PARADEROS_VALIDOS!$F$2:$F$68)-RADIANS(Z251))+SIN(RADIANS(Y251))*SIN(RADIANS(PARADEROS_VALIDOS!$E$2:$E$68)))),2)</f>
        <v>2.37</v>
      </c>
      <c r="AF251" s="2" t="str">
        <f t="shared" si="15"/>
        <v>🟡 Cerca (1-3 km)</v>
      </c>
      <c r="AG251" s="2"/>
      <c r="AH251" s="2"/>
      <c r="AI251" s="51">
        <v>-11.997563</v>
      </c>
      <c r="AJ251" s="51">
        <v>-76.900062000000005</v>
      </c>
      <c r="AK251" s="2" t="str">
        <f>IFERROR(VLOOKUP(I251,tdcargo[],2,FALSE),"DESCONOCIDO")</f>
        <v>STAFF</v>
      </c>
    </row>
    <row r="252" spans="1:37" x14ac:dyDescent="0.35">
      <c r="A252" s="2" t="s">
        <v>1373</v>
      </c>
      <c r="B252" s="2" t="s">
        <v>1374</v>
      </c>
      <c r="C252" s="2" t="s">
        <v>325</v>
      </c>
      <c r="D252" s="2" t="s">
        <v>1375</v>
      </c>
      <c r="E252" s="2">
        <v>29</v>
      </c>
      <c r="F252" s="2" t="s">
        <v>28</v>
      </c>
      <c r="G252" s="2" t="s">
        <v>29</v>
      </c>
      <c r="H252" s="2">
        <v>20509022</v>
      </c>
      <c r="I252" s="2" t="s">
        <v>372</v>
      </c>
      <c r="J252" s="3">
        <v>45428</v>
      </c>
      <c r="K252" s="2" t="s">
        <v>31</v>
      </c>
      <c r="L252" s="2" t="s">
        <v>373</v>
      </c>
      <c r="M252" s="2" t="s">
        <v>374</v>
      </c>
      <c r="N252" s="2" t="s">
        <v>34</v>
      </c>
      <c r="O252" s="2" t="s">
        <v>1376</v>
      </c>
      <c r="P252" s="2" t="s">
        <v>36</v>
      </c>
      <c r="Q252" s="2" t="s">
        <v>1377</v>
      </c>
      <c r="R252" s="2">
        <v>15457</v>
      </c>
      <c r="S252" s="2" t="s">
        <v>37</v>
      </c>
      <c r="T252" s="2" t="s">
        <v>37</v>
      </c>
      <c r="U252" s="2" t="s">
        <v>76</v>
      </c>
      <c r="V252" s="3">
        <v>45428</v>
      </c>
      <c r="W252" s="2" t="s">
        <v>48</v>
      </c>
      <c r="X252" s="2" t="str">
        <f t="shared" si="12"/>
        <v>Avenida Lima Sur Santa Isabel, Lurigancho, Lima, Lima, Perú</v>
      </c>
      <c r="Y252" s="22">
        <v>-11.94628</v>
      </c>
      <c r="Z252" s="22">
        <v>-76.71163</v>
      </c>
      <c r="AA252" s="33">
        <f t="shared" si="13"/>
        <v>21.28</v>
      </c>
      <c r="AB252" s="2" t="str">
        <f t="shared" si="14"/>
        <v>🔴 Lejos (&gt;20 km)</v>
      </c>
      <c r="AC252" s="2" t="str" cm="1">
        <f t="array" ref="AC252">INDEX(PARADEROS_VALIDOS!$C$2:$C$68,MATCH(MIN(6371*ACOS(COS(RADIANS(Y252))*COS(RADIANS(PARADEROS_VALIDOS!$E$2:$E$68))*COS(RADIANS(PARADEROS_VALIDOS!$F$2:$F$68)-RADIANS(Z252))+SIN(RADIANS(Y252))*SIN(RADIANS(PARADEROS_VALIDOS!$E$2:$E$68)))),6371*ACOS(COS(RADIANS(Y252))*COS(RADIANS(PARADEROS_VALIDOS!$E$2:$E$68))*COS(RADIANS(PARADEROS_VALIDOS!$F$2:$F$68)-RADIANS(Z252))+SIN(RADIANS(Y252))*SIN(RADIANS(PARADEROS_VALIDOS!$E$2:$E$68))),0))</f>
        <v>Paradero Girasoles - Chaclacayo</v>
      </c>
      <c r="AD252" s="2" t="str">
        <f>IFERROR(INDEX(PARADEROS_VALIDOS!$A$2:$A$68,MATCH(AC252,PARADEROS_VALIDOS!$C$2:$C$68,0)),"")</f>
        <v>RUTA 5A</v>
      </c>
      <c r="AE252" s="33" cm="1">
        <f t="array" ref="AE252">ROUND(MIN(6371*ACOS(COS(RADIANS(Y252))*COS(RADIANS(PARADEROS_VALIDOS!$E$2:$E$68))*COS(RADIANS(PARADEROS_VALIDOS!$F$2:$F$68)-RADIANS(Z252))+SIN(RADIANS(Y252))*SIN(RADIANS(PARADEROS_VALIDOS!$E$2:$E$68)))),2)</f>
        <v>7.42</v>
      </c>
      <c r="AF252" s="2" t="str">
        <f t="shared" si="15"/>
        <v>🔴 Lejos (&gt;5 km)</v>
      </c>
      <c r="AG252" s="2"/>
      <c r="AH252" s="2"/>
      <c r="AI252" s="51">
        <v>-11.997563</v>
      </c>
      <c r="AJ252" s="51">
        <v>-76.900062000000005</v>
      </c>
      <c r="AK252" s="2" t="str">
        <f>IFERROR(VLOOKUP(I252,tdcargo[],2,FALSE),"DESCONOCIDO")</f>
        <v>OPERARIO</v>
      </c>
    </row>
    <row r="253" spans="1:37" x14ac:dyDescent="0.35">
      <c r="A253" s="2" t="s">
        <v>1378</v>
      </c>
      <c r="B253" s="2" t="s">
        <v>1379</v>
      </c>
      <c r="C253" s="2" t="s">
        <v>1380</v>
      </c>
      <c r="D253" s="2" t="s">
        <v>1309</v>
      </c>
      <c r="E253" s="2">
        <v>21</v>
      </c>
      <c r="F253" s="2" t="s">
        <v>28</v>
      </c>
      <c r="G253" s="2" t="s">
        <v>29</v>
      </c>
      <c r="H253" s="2">
        <v>20508821</v>
      </c>
      <c r="I253" s="2" t="s">
        <v>30</v>
      </c>
      <c r="J253" s="3">
        <v>45754</v>
      </c>
      <c r="K253" s="2" t="s">
        <v>31</v>
      </c>
      <c r="L253" s="2" t="s">
        <v>108</v>
      </c>
      <c r="M253" s="2" t="s">
        <v>109</v>
      </c>
      <c r="N253" s="2" t="s">
        <v>82</v>
      </c>
      <c r="O253" s="2" t="s">
        <v>1381</v>
      </c>
      <c r="P253" s="2" t="s">
        <v>36</v>
      </c>
      <c r="Q253" s="2" t="s">
        <v>1382</v>
      </c>
      <c r="R253" s="2">
        <v>15457</v>
      </c>
      <c r="S253" s="2" t="s">
        <v>37</v>
      </c>
      <c r="T253" s="2" t="s">
        <v>37</v>
      </c>
      <c r="U253" s="2" t="s">
        <v>76</v>
      </c>
      <c r="V253" s="3">
        <v>45754</v>
      </c>
      <c r="W253" s="2" t="s">
        <v>77</v>
      </c>
      <c r="X253" s="2" t="str">
        <f t="shared" si="12"/>
        <v>Calle Niveria Casuarinas, Lurigancho, Lima, Lima, Perú</v>
      </c>
      <c r="Y253" s="22">
        <v>-12.119676699999999</v>
      </c>
      <c r="Z253" s="22">
        <v>-76.969346799999997</v>
      </c>
      <c r="AA253" s="33">
        <f t="shared" si="13"/>
        <v>15.53</v>
      </c>
      <c r="AB253" s="2" t="str">
        <f t="shared" si="14"/>
        <v>🟠 Moderada (10-20 km)</v>
      </c>
      <c r="AC253" s="2" t="str" cm="1">
        <f t="array" ref="AC253">INDEX(PARADEROS_VALIDOS!$C$2:$C$68,MATCH(MIN(6371*ACOS(COS(RADIANS(Y253))*COS(RADIANS(PARADEROS_VALIDOS!$E$2:$E$68))*COS(RADIANS(PARADEROS_VALIDOS!$F$2:$F$68)-RADIANS(Z253))+SIN(RADIANS(Y253))*SIN(RADIANS(PARADEROS_VALIDOS!$E$2:$E$68)))),6371*ACOS(COS(RADIANS(Y253))*COS(RADIANS(PARADEROS_VALIDOS!$E$2:$E$68))*COS(RADIANS(PARADEROS_VALIDOS!$F$2:$F$68)-RADIANS(Z253))+SIN(RADIANS(Y253))*SIN(RADIANS(PARADEROS_VALIDOS!$E$2:$E$68))),0))</f>
        <v>Puente Primavera</v>
      </c>
      <c r="AD253" s="2" t="str">
        <f>IFERROR(INDEX(PARADEROS_VALIDOS!$A$2:$A$68,MATCH(AC253,PARADEROS_VALIDOS!$C$2:$C$68,0)),"")</f>
        <v>RUTA 7</v>
      </c>
      <c r="AE253" s="33" cm="1">
        <f t="array" ref="AE253">ROUND(MIN(6371*ACOS(COS(RADIANS(Y253))*COS(RADIANS(PARADEROS_VALIDOS!$E$2:$E$68))*COS(RADIANS(PARADEROS_VALIDOS!$F$2:$F$68)-RADIANS(Z253))+SIN(RADIANS(Y253))*SIN(RADIANS(PARADEROS_VALIDOS!$E$2:$E$68)))),2)</f>
        <v>1.33</v>
      </c>
      <c r="AF253" s="2" t="str">
        <f t="shared" si="15"/>
        <v>🟡 Cerca (1-3 km)</v>
      </c>
      <c r="AG253" s="2"/>
      <c r="AH253" s="2"/>
      <c r="AI253" s="51">
        <v>-11.997563</v>
      </c>
      <c r="AJ253" s="51">
        <v>-76.900062000000005</v>
      </c>
      <c r="AK253" s="2" t="str">
        <f>IFERROR(VLOOKUP(I253,tdcargo[],2,FALSE),"DESCONOCIDO")</f>
        <v>OPERARIO</v>
      </c>
    </row>
    <row r="254" spans="1:37" x14ac:dyDescent="0.35">
      <c r="A254" s="2" t="s">
        <v>1383</v>
      </c>
      <c r="B254" s="2" t="s">
        <v>1384</v>
      </c>
      <c r="C254" s="2" t="s">
        <v>1385</v>
      </c>
      <c r="D254" s="2" t="s">
        <v>1386</v>
      </c>
      <c r="E254" s="2">
        <v>20</v>
      </c>
      <c r="F254" s="2" t="s">
        <v>28</v>
      </c>
      <c r="G254" s="2" t="s">
        <v>29</v>
      </c>
      <c r="H254" s="2">
        <v>20508856</v>
      </c>
      <c r="I254" s="2" t="s">
        <v>30</v>
      </c>
      <c r="J254" s="3">
        <v>45719</v>
      </c>
      <c r="K254" s="2" t="s">
        <v>31</v>
      </c>
      <c r="L254" s="2" t="s">
        <v>108</v>
      </c>
      <c r="M254" s="2" t="s">
        <v>109</v>
      </c>
      <c r="N254" s="2" t="s">
        <v>36</v>
      </c>
      <c r="O254" s="2" t="s">
        <v>803</v>
      </c>
      <c r="P254" s="2" t="s">
        <v>36</v>
      </c>
      <c r="Q254" s="2" t="s">
        <v>1104</v>
      </c>
      <c r="R254" s="2">
        <v>15004</v>
      </c>
      <c r="S254" s="2" t="s">
        <v>37</v>
      </c>
      <c r="T254" s="2" t="s">
        <v>37</v>
      </c>
      <c r="U254" s="2" t="s">
        <v>57</v>
      </c>
      <c r="V254" s="3">
        <v>45719</v>
      </c>
      <c r="W254" s="2" t="s">
        <v>77</v>
      </c>
      <c r="X254" s="2" t="str">
        <f t="shared" si="12"/>
        <v>Santa Rosa Grupo E, Ate, Lima, Lima, Perú</v>
      </c>
      <c r="Y254" s="22">
        <v>-12.023711</v>
      </c>
      <c r="Z254" s="22">
        <v>-76.894016899999997</v>
      </c>
      <c r="AA254" s="33">
        <f t="shared" si="13"/>
        <v>2.98</v>
      </c>
      <c r="AB254" s="2" t="str">
        <f t="shared" si="14"/>
        <v>🟢 Muy Cerca (0-5 km)</v>
      </c>
      <c r="AC254" s="2" t="str" cm="1">
        <f t="array" ref="AC254">INDEX(PARADEROS_VALIDOS!$C$2:$C$68,MATCH(MIN(6371*ACOS(COS(RADIANS(Y254))*COS(RADIANS(PARADEROS_VALIDOS!$E$2:$E$68))*COS(RADIANS(PARADEROS_VALIDOS!$F$2:$F$68)-RADIANS(Z254))+SIN(RADIANS(Y254))*SIN(RADIANS(PARADEROS_VALIDOS!$E$2:$E$68)))),6371*ACOS(COS(RADIANS(Y254))*COS(RADIANS(PARADEROS_VALIDOS!$E$2:$E$68))*COS(RADIANS(PARADEROS_VALIDOS!$F$2:$F$68)-RADIANS(Z254))+SIN(RADIANS(Y254))*SIN(RADIANS(PARADEROS_VALIDOS!$E$2:$E$68))),0))</f>
        <v>Paradero Sta. Clara</v>
      </c>
      <c r="AD254" s="2" t="str">
        <f>IFERROR(INDEX(PARADEROS_VALIDOS!$A$2:$A$68,MATCH(AC254,PARADEROS_VALIDOS!$C$2:$C$68,0)),"")</f>
        <v>RUTA 5C</v>
      </c>
      <c r="AE254" s="33" cm="1">
        <f t="array" ref="AE254">ROUND(MIN(6371*ACOS(COS(RADIANS(Y254))*COS(RADIANS(PARADEROS_VALIDOS!$E$2:$E$68))*COS(RADIANS(PARADEROS_VALIDOS!$F$2:$F$68)-RADIANS(Z254))+SIN(RADIANS(Y254))*SIN(RADIANS(PARADEROS_VALIDOS!$E$2:$E$68)))),2)</f>
        <v>1.37</v>
      </c>
      <c r="AF254" s="2" t="str">
        <f t="shared" si="15"/>
        <v>🟡 Cerca (1-3 km)</v>
      </c>
      <c r="AG254" s="2"/>
      <c r="AH254" s="2"/>
      <c r="AI254" s="51">
        <v>-11.997563</v>
      </c>
      <c r="AJ254" s="51">
        <v>-76.900062000000005</v>
      </c>
      <c r="AK254" s="2" t="str">
        <f>IFERROR(VLOOKUP(I254,tdcargo[],2,FALSE),"DESCONOCIDO")</f>
        <v>OPERARIO</v>
      </c>
    </row>
    <row r="255" spans="1:37" x14ac:dyDescent="0.35">
      <c r="A255" s="2" t="s">
        <v>1387</v>
      </c>
      <c r="B255" s="2" t="s">
        <v>1388</v>
      </c>
      <c r="C255" s="2" t="s">
        <v>1389</v>
      </c>
      <c r="D255" s="2" t="s">
        <v>1390</v>
      </c>
      <c r="E255" s="2">
        <v>26</v>
      </c>
      <c r="F255" s="2" t="s">
        <v>28</v>
      </c>
      <c r="G255" s="2" t="s">
        <v>29</v>
      </c>
      <c r="H255" s="2">
        <v>20515629</v>
      </c>
      <c r="I255" s="2" t="s">
        <v>62</v>
      </c>
      <c r="J255" s="3">
        <v>45414</v>
      </c>
      <c r="K255" s="2" t="s">
        <v>31</v>
      </c>
      <c r="L255" s="2" t="s">
        <v>164</v>
      </c>
      <c r="M255" s="2" t="s">
        <v>165</v>
      </c>
      <c r="N255" s="2" t="s">
        <v>36</v>
      </c>
      <c r="O255" s="2" t="s">
        <v>46</v>
      </c>
      <c r="P255" s="2" t="s">
        <v>36</v>
      </c>
      <c r="Q255" s="2" t="s">
        <v>1391</v>
      </c>
      <c r="R255" s="2">
        <v>15457</v>
      </c>
      <c r="S255" s="2" t="s">
        <v>37</v>
      </c>
      <c r="T255" s="2" t="s">
        <v>37</v>
      </c>
      <c r="U255" s="2" t="s">
        <v>76</v>
      </c>
      <c r="V255" s="3">
        <v>45414</v>
      </c>
      <c r="W255" s="2" t="s">
        <v>48</v>
      </c>
      <c r="X255" s="2" t="str">
        <f t="shared" si="12"/>
        <v>Nd Flor De Las Magnolias, Lurigancho, Lima, Lima, Perú</v>
      </c>
      <c r="Y255" s="22">
        <v>-12.013579399999999</v>
      </c>
      <c r="Z255" s="22">
        <v>-76.914265700000001</v>
      </c>
      <c r="AA255" s="33">
        <f t="shared" si="13"/>
        <v>2.36</v>
      </c>
      <c r="AB255" s="2" t="str">
        <f t="shared" si="14"/>
        <v>🟢 Muy Cerca (0-5 km)</v>
      </c>
      <c r="AC255" s="2" t="str" cm="1">
        <f t="array" ref="AC255">INDEX(PARADEROS_VALIDOS!$C$2:$C$68,MATCH(MIN(6371*ACOS(COS(RADIANS(Y255))*COS(RADIANS(PARADEROS_VALIDOS!$E$2:$E$68))*COS(RADIANS(PARADEROS_VALIDOS!$F$2:$F$68)-RADIANS(Z255))+SIN(RADIANS(Y255))*SIN(RADIANS(PARADEROS_VALIDOS!$E$2:$E$68)))),6371*ACOS(COS(RADIANS(Y255))*COS(RADIANS(PARADEROS_VALIDOS!$E$2:$E$68))*COS(RADIANS(PARADEROS_VALIDOS!$F$2:$F$68)-RADIANS(Z255))+SIN(RADIANS(Y255))*SIN(RADIANS(PARADEROS_VALIDOS!$E$2:$E$68))),0))</f>
        <v>Estadio Huachipa</v>
      </c>
      <c r="AD255" s="2" t="str">
        <f>IFERROR(INDEX(PARADEROS_VALIDOS!$A$2:$A$68,MATCH(AC255,PARADEROS_VALIDOS!$C$2:$C$68,0)),"")</f>
        <v>RUTA 5C</v>
      </c>
      <c r="AE255" s="33" cm="1">
        <f t="array" ref="AE255">ROUND(MIN(6371*ACOS(COS(RADIANS(Y255))*COS(RADIANS(PARADEROS_VALIDOS!$E$2:$E$68))*COS(RADIANS(PARADEROS_VALIDOS!$F$2:$F$68)-RADIANS(Z255))+SIN(RADIANS(Y255))*SIN(RADIANS(PARADEROS_VALIDOS!$E$2:$E$68)))),2)</f>
        <v>0.23</v>
      </c>
      <c r="AF255" s="2" t="str">
        <f t="shared" si="15"/>
        <v>🟢 Muy Cerca (0-1 km)</v>
      </c>
      <c r="AG255" s="2"/>
      <c r="AH255" s="2"/>
      <c r="AI255" s="51">
        <v>-11.997563</v>
      </c>
      <c r="AJ255" s="51">
        <v>-76.900062000000005</v>
      </c>
      <c r="AK255" s="2" t="str">
        <f>IFERROR(VLOOKUP(I255,tdcargo[],2,FALSE),"DESCONOCIDO")</f>
        <v>OPERARIO</v>
      </c>
    </row>
    <row r="256" spans="1:37" x14ac:dyDescent="0.35">
      <c r="A256" s="2" t="s">
        <v>64</v>
      </c>
      <c r="B256" s="2" t="s">
        <v>972</v>
      </c>
      <c r="C256" s="2" t="s">
        <v>265</v>
      </c>
      <c r="D256" s="2" t="s">
        <v>1392</v>
      </c>
      <c r="E256" s="2">
        <v>36</v>
      </c>
      <c r="F256" s="2" t="s">
        <v>28</v>
      </c>
      <c r="G256" s="2" t="s">
        <v>29</v>
      </c>
      <c r="H256" s="2">
        <v>20510618</v>
      </c>
      <c r="I256" s="2" t="s">
        <v>1393</v>
      </c>
      <c r="J256" s="3">
        <v>43027</v>
      </c>
      <c r="K256" s="2" t="s">
        <v>31</v>
      </c>
      <c r="L256" s="2" t="s">
        <v>1206</v>
      </c>
      <c r="M256" s="2" t="s">
        <v>178</v>
      </c>
      <c r="N256" s="2" t="s">
        <v>82</v>
      </c>
      <c r="O256" s="2" t="s">
        <v>1394</v>
      </c>
      <c r="P256" s="2" t="s">
        <v>36</v>
      </c>
      <c r="Q256" s="2" t="s">
        <v>46</v>
      </c>
      <c r="R256" s="2">
        <v>15021</v>
      </c>
      <c r="S256" s="2" t="s">
        <v>37</v>
      </c>
      <c r="T256" s="2" t="s">
        <v>37</v>
      </c>
      <c r="U256" s="2" t="s">
        <v>1395</v>
      </c>
      <c r="V256" s="3">
        <v>43027</v>
      </c>
      <c r="W256" s="2" t="s">
        <v>48</v>
      </c>
      <c r="X256" s="2" t="str">
        <f t="shared" si="12"/>
        <v>Calle Paseo Del Bosque, San Borja, Lima, Lima, Perú</v>
      </c>
      <c r="Y256" s="22">
        <v>-12.100472999999999</v>
      </c>
      <c r="Z256" s="22">
        <v>-76.988781900000006</v>
      </c>
      <c r="AA256" s="33">
        <f t="shared" si="13"/>
        <v>14.97</v>
      </c>
      <c r="AB256" s="2" t="str">
        <f t="shared" si="14"/>
        <v>🟠 Moderada (10-20 km)</v>
      </c>
      <c r="AC256" s="2" t="str" cm="1">
        <f t="array" ref="AC256">INDEX(PARADEROS_VALIDOS!$C$2:$C$68,MATCH(MIN(6371*ACOS(COS(RADIANS(Y256))*COS(RADIANS(PARADEROS_VALIDOS!$E$2:$E$68))*COS(RADIANS(PARADEROS_VALIDOS!$F$2:$F$68)-RADIANS(Z256))+SIN(RADIANS(Y256))*SIN(RADIANS(PARADEROS_VALIDOS!$E$2:$E$68)))),6371*ACOS(COS(RADIANS(Y256))*COS(RADIANS(PARADEROS_VALIDOS!$E$2:$E$68))*COS(RADIANS(PARADEROS_VALIDOS!$F$2:$F$68)-RADIANS(Z256))+SIN(RADIANS(Y256))*SIN(RADIANS(PARADEROS_VALIDOS!$E$2:$E$68))),0))</f>
        <v>Paradero Pentagonito</v>
      </c>
      <c r="AD256" s="2" t="str">
        <f>IFERROR(INDEX(PARADEROS_VALIDOS!$A$2:$A$68,MATCH(AC256,PARADEROS_VALIDOS!$C$2:$C$68,0)),"")</f>
        <v>RUTA 7</v>
      </c>
      <c r="AE256" s="33" cm="1">
        <f t="array" ref="AE256">ROUND(MIN(6371*ACOS(COS(RADIANS(Y256))*COS(RADIANS(PARADEROS_VALIDOS!$E$2:$E$68))*COS(RADIANS(PARADEROS_VALIDOS!$F$2:$F$68)-RADIANS(Z256))+SIN(RADIANS(Y256))*SIN(RADIANS(PARADEROS_VALIDOS!$E$2:$E$68)))),2)</f>
        <v>0.22</v>
      </c>
      <c r="AF256" s="2" t="str">
        <f t="shared" si="15"/>
        <v>🟢 Muy Cerca (0-1 km)</v>
      </c>
      <c r="AG256" s="2"/>
      <c r="AH256" s="2"/>
      <c r="AI256" s="51">
        <v>-11.997563</v>
      </c>
      <c r="AJ256" s="51">
        <v>-76.900062000000005</v>
      </c>
      <c r="AK256" s="2" t="str">
        <f>IFERROR(VLOOKUP(I256,tdcargo[],2,FALSE),"DESCONOCIDO")</f>
        <v>STAFF</v>
      </c>
    </row>
    <row r="257" spans="1:37" x14ac:dyDescent="0.35">
      <c r="A257" s="2" t="s">
        <v>1396</v>
      </c>
      <c r="B257" s="2" t="s">
        <v>1397</v>
      </c>
      <c r="C257" s="2" t="s">
        <v>364</v>
      </c>
      <c r="D257" s="2" t="s">
        <v>277</v>
      </c>
      <c r="E257" s="2">
        <v>21</v>
      </c>
      <c r="F257" s="2" t="s">
        <v>28</v>
      </c>
      <c r="G257" s="2" t="s">
        <v>29</v>
      </c>
      <c r="H257" s="2">
        <v>20514511</v>
      </c>
      <c r="I257" s="2" t="s">
        <v>30</v>
      </c>
      <c r="J257" s="3">
        <v>46055</v>
      </c>
      <c r="K257" s="2" t="s">
        <v>31</v>
      </c>
      <c r="L257" s="2" t="s">
        <v>132</v>
      </c>
      <c r="M257" s="2" t="s">
        <v>133</v>
      </c>
      <c r="N257" s="2" t="s">
        <v>34</v>
      </c>
      <c r="O257" s="2" t="s">
        <v>726</v>
      </c>
      <c r="P257" s="2" t="s">
        <v>88</v>
      </c>
      <c r="Q257" s="2" t="s">
        <v>727</v>
      </c>
      <c r="R257" s="2">
        <v>15004</v>
      </c>
      <c r="S257" s="2" t="s">
        <v>37</v>
      </c>
      <c r="T257" s="2" t="s">
        <v>37</v>
      </c>
      <c r="U257" s="2" t="s">
        <v>57</v>
      </c>
      <c r="V257" s="3">
        <v>46055</v>
      </c>
      <c r="W257" s="2" t="s">
        <v>135</v>
      </c>
      <c r="X257" s="2" t="str">
        <f t="shared" si="12"/>
        <v>Avenida Zona E, A.H. Asentamiento Humano HUAYCAN, Ate, Lima, Lima, Perú</v>
      </c>
      <c r="Y257" s="22">
        <v>-12.016273200000001</v>
      </c>
      <c r="Z257" s="22">
        <v>-76.823802400000005</v>
      </c>
      <c r="AA257" s="33">
        <f t="shared" si="13"/>
        <v>8.5500000000000007</v>
      </c>
      <c r="AB257" s="2" t="str">
        <f t="shared" si="14"/>
        <v>🟡 Cerca (5-10 km)</v>
      </c>
      <c r="AC257" s="2" t="str" cm="1">
        <f t="array" ref="AC257">INDEX(PARADEROS_VALIDOS!$C$2:$C$68,MATCH(MIN(6371*ACOS(COS(RADIANS(Y257))*COS(RADIANS(PARADEROS_VALIDOS!$E$2:$E$68))*COS(RADIANS(PARADEROS_VALIDOS!$F$2:$F$68)-RADIANS(Z257))+SIN(RADIANS(Y257))*SIN(RADIANS(PARADEROS_VALIDOS!$E$2:$E$68)))),6371*ACOS(COS(RADIANS(Y257))*COS(RADIANS(PARADEROS_VALIDOS!$E$2:$E$68))*COS(RADIANS(PARADEROS_VALIDOS!$F$2:$F$68)-RADIANS(Z257))+SIN(RADIANS(Y257))*SIN(RADIANS(PARADEROS_VALIDOS!$E$2:$E$68))),0))</f>
        <v>Paradero Aurora</v>
      </c>
      <c r="AD257" s="2" t="str">
        <f>IFERROR(INDEX(PARADEROS_VALIDOS!$A$2:$A$68,MATCH(AC257,PARADEROS_VALIDOS!$C$2:$C$68,0)),"")</f>
        <v>RUTA 3</v>
      </c>
      <c r="AE257" s="33" cm="1">
        <f t="array" ref="AE257">ROUND(MIN(6371*ACOS(COS(RADIANS(Y257))*COS(RADIANS(PARADEROS_VALIDOS!$E$2:$E$68))*COS(RADIANS(PARADEROS_VALIDOS!$F$2:$F$68)-RADIANS(Z257))+SIN(RADIANS(Y257))*SIN(RADIANS(PARADEROS_VALIDOS!$E$2:$E$68)))),2)</f>
        <v>1.07</v>
      </c>
      <c r="AF257" s="2" t="str">
        <f t="shared" si="15"/>
        <v>🟡 Cerca (1-3 km)</v>
      </c>
      <c r="AG257" s="2"/>
      <c r="AH257" s="2"/>
      <c r="AI257" s="51">
        <v>-11.997563</v>
      </c>
      <c r="AJ257" s="51">
        <v>-76.900062000000005</v>
      </c>
      <c r="AK257" s="2" t="str">
        <f>IFERROR(VLOOKUP(I257,tdcargo[],2,FALSE),"DESCONOCIDO")</f>
        <v>OPERARIO</v>
      </c>
    </row>
    <row r="258" spans="1:37" x14ac:dyDescent="0.35">
      <c r="A258" s="2" t="s">
        <v>1398</v>
      </c>
      <c r="B258" s="2" t="s">
        <v>1399</v>
      </c>
      <c r="C258" s="2" t="s">
        <v>1400</v>
      </c>
      <c r="D258" s="2" t="s">
        <v>1401</v>
      </c>
      <c r="E258" s="2">
        <v>23</v>
      </c>
      <c r="F258" s="2" t="s">
        <v>28</v>
      </c>
      <c r="G258" s="2" t="s">
        <v>29</v>
      </c>
      <c r="H258" s="2">
        <v>20510578</v>
      </c>
      <c r="I258" s="2" t="s">
        <v>30</v>
      </c>
      <c r="J258" s="3">
        <v>46055</v>
      </c>
      <c r="K258" s="2" t="s">
        <v>31</v>
      </c>
      <c r="L258" s="2" t="s">
        <v>72</v>
      </c>
      <c r="M258" s="2" t="s">
        <v>73</v>
      </c>
      <c r="N258" s="2" t="s">
        <v>34</v>
      </c>
      <c r="O258" s="2" t="s">
        <v>1402</v>
      </c>
      <c r="P258" s="2" t="s">
        <v>643</v>
      </c>
      <c r="Q258" s="2" t="s">
        <v>1403</v>
      </c>
      <c r="R258" s="2">
        <v>15004</v>
      </c>
      <c r="S258" s="2" t="s">
        <v>37</v>
      </c>
      <c r="T258" s="2" t="s">
        <v>37</v>
      </c>
      <c r="U258" s="2" t="s">
        <v>57</v>
      </c>
      <c r="V258" s="3">
        <v>46055</v>
      </c>
      <c r="W258" s="2" t="s">
        <v>135</v>
      </c>
      <c r="X258" s="2" t="str">
        <f t="shared" ref="X258:X321" si="16">_xlfn.LET(_xlpm.parte1,TRIM(IF(OR(N258="Otros / No aplica",N258=""),"",N258&amp;" ")&amp;O258&amp;IF(AND(P258&lt;&gt;"",P258&lt;&gt;"Otros / No aplica"),", "&amp;P258,"")&amp;IF(AND(Q258&lt;&gt;"",Q258&lt;&gt;"Nd",Q258&lt;&gt;0,Q258&lt;&gt;"0")," "&amp;Q258,"")),_xlpm.parte2,U258&amp;", "&amp;T258&amp;", "&amp;S258&amp;", Perú",IF(LEFT(_xlpm.parte1,1)=",",TRIM(MID(_xlpm.parte1,2,255))&amp;", "&amp;_xlpm.parte2,IF(_xlpm.parte1="",_xlpm.parte2,_xlpm.parte1&amp;", "&amp;_xlpm.parte2)))</f>
        <v>Avenida Las Americas, Res. Residencial LAS AMERICAS, Ate, Lima, Lima, Perú</v>
      </c>
      <c r="Y258" s="22">
        <v>-12.034116900000001</v>
      </c>
      <c r="Z258" s="22">
        <v>-76.905101099999996</v>
      </c>
      <c r="AA258" s="33">
        <f t="shared" ref="AA258:AA321" si="17">ROUND(6371*ACOS(COS(RADIANS(-11.997563))*COS(RADIANS(Y258))*COS(RADIANS(Z258)-RADIANS(-76.900062))+SIN(RADIANS(-11.997563))*SIN(RADIANS(Y258))),2)</f>
        <v>4.0999999999999996</v>
      </c>
      <c r="AB258" s="2" t="str">
        <f t="shared" ref="AB258:AB321" si="18">IF(AA258&lt;=5,"🟢 Muy Cerca (0-5 km)",IF(AA258&lt;=10,"🟡 Cerca (5-10 km)",IF(AA258&lt;=20,"🟠 Moderada (10-20 km)","🔴 Lejos (&gt;20 km)")))</f>
        <v>🟢 Muy Cerca (0-5 km)</v>
      </c>
      <c r="AC258" s="2" t="str" cm="1">
        <f t="array" ref="AC258">INDEX(PARADEROS_VALIDOS!$C$2:$C$68,MATCH(MIN(6371*ACOS(COS(RADIANS(Y258))*COS(RADIANS(PARADEROS_VALIDOS!$E$2:$E$68))*COS(RADIANS(PARADEROS_VALIDOS!$F$2:$F$68)-RADIANS(Z258))+SIN(RADIANS(Y258))*SIN(RADIANS(PARADEROS_VALIDOS!$E$2:$E$68)))),6371*ACOS(COS(RADIANS(Y258))*COS(RADIANS(PARADEROS_VALIDOS!$E$2:$E$68))*COS(RADIANS(PARADEROS_VALIDOS!$F$2:$F$68)-RADIANS(Z258))+SIN(RADIANS(Y258))*SIN(RADIANS(PARADEROS_VALIDOS!$E$2:$E$68))),0))</f>
        <v>Paradero Esperanza</v>
      </c>
      <c r="AD258" s="2" t="str">
        <f>IFERROR(INDEX(PARADEROS_VALIDOS!$A$2:$A$68,MATCH(AC258,PARADEROS_VALIDOS!$C$2:$C$68,0)),"")</f>
        <v>RUTA 4B</v>
      </c>
      <c r="AE258" s="33" cm="1">
        <f t="array" ref="AE258">ROUND(MIN(6371*ACOS(COS(RADIANS(Y258))*COS(RADIANS(PARADEROS_VALIDOS!$E$2:$E$68))*COS(RADIANS(PARADEROS_VALIDOS!$F$2:$F$68)-RADIANS(Z258))+SIN(RADIANS(Y258))*SIN(RADIANS(PARADEROS_VALIDOS!$E$2:$E$68)))),2)</f>
        <v>1.39</v>
      </c>
      <c r="AF258" s="2" t="str">
        <f t="shared" ref="AF258:AF321" si="19">IF(AE258&lt;=1,"🟢 Muy Cerca (0-1 km)",IF(AE258&lt;=3,"🟡 Cerca (1-3 km)",IF(AE258&lt;=5,"🟠 Moderada (3-5 km)","🔴 Lejos (&gt;5 km)")))</f>
        <v>🟡 Cerca (1-3 km)</v>
      </c>
      <c r="AG258" s="2"/>
      <c r="AH258" s="2"/>
      <c r="AI258" s="51">
        <v>-11.997563</v>
      </c>
      <c r="AJ258" s="51">
        <v>-76.900062000000005</v>
      </c>
      <c r="AK258" s="2" t="str">
        <f>IFERROR(VLOOKUP(I258,tdcargo[],2,FALSE),"DESCONOCIDO")</f>
        <v>OPERARIO</v>
      </c>
    </row>
    <row r="259" spans="1:37" x14ac:dyDescent="0.35">
      <c r="A259" s="2" t="s">
        <v>418</v>
      </c>
      <c r="B259" s="2" t="s">
        <v>1404</v>
      </c>
      <c r="C259" s="2" t="s">
        <v>1405</v>
      </c>
      <c r="D259" s="2" t="s">
        <v>1406</v>
      </c>
      <c r="E259" s="2">
        <v>39</v>
      </c>
      <c r="F259" s="2" t="s">
        <v>28</v>
      </c>
      <c r="G259" s="2" t="s">
        <v>29</v>
      </c>
      <c r="H259" s="2">
        <v>20508834</v>
      </c>
      <c r="I259" s="2" t="s">
        <v>1407</v>
      </c>
      <c r="J259" s="3">
        <v>40613</v>
      </c>
      <c r="K259" s="2" t="s">
        <v>31</v>
      </c>
      <c r="L259" s="2" t="s">
        <v>183</v>
      </c>
      <c r="M259" s="2" t="s">
        <v>184</v>
      </c>
      <c r="N259" s="2" t="s">
        <v>82</v>
      </c>
      <c r="O259" s="2" t="s">
        <v>1408</v>
      </c>
      <c r="P259" s="2" t="s">
        <v>186</v>
      </c>
      <c r="Q259" s="2" t="s">
        <v>1409</v>
      </c>
      <c r="R259" s="2">
        <v>15048</v>
      </c>
      <c r="S259" s="2" t="s">
        <v>37</v>
      </c>
      <c r="T259" s="2" t="s">
        <v>37</v>
      </c>
      <c r="U259" s="2" t="s">
        <v>1410</v>
      </c>
      <c r="V259" s="3">
        <v>45789</v>
      </c>
      <c r="W259" s="2" t="s">
        <v>418</v>
      </c>
      <c r="X259" s="2" t="str">
        <f t="shared" si="16"/>
        <v>Calle San Lorenzo, Urb. Urbanización Barrio Medico, Surquillo, Lima, Lima, Perú</v>
      </c>
      <c r="Y259" s="22">
        <v>-12.117944400000001</v>
      </c>
      <c r="Z259" s="22">
        <v>-77.016396499999999</v>
      </c>
      <c r="AA259" s="33">
        <f t="shared" si="17"/>
        <v>18.420000000000002</v>
      </c>
      <c r="AB259" s="2" t="str">
        <f t="shared" si="18"/>
        <v>🟠 Moderada (10-20 km)</v>
      </c>
      <c r="AC259" s="2" t="str" cm="1">
        <f t="array" ref="AC259">INDEX(PARADEROS_VALIDOS!$C$2:$C$68,MATCH(MIN(6371*ACOS(COS(RADIANS(Y259))*COS(RADIANS(PARADEROS_VALIDOS!$E$2:$E$68))*COS(RADIANS(PARADEROS_VALIDOS!$F$2:$F$68)-RADIANS(Z259))+SIN(RADIANS(Y259))*SIN(RADIANS(PARADEROS_VALIDOS!$E$2:$E$68)))),6371*ACOS(COS(RADIANS(Y259))*COS(RADIANS(PARADEROS_VALIDOS!$E$2:$E$68))*COS(RADIANS(PARADEROS_VALIDOS!$F$2:$F$68)-RADIANS(Z259))+SIN(RADIANS(Y259))*SIN(RADIANS(PARADEROS_VALIDOS!$E$2:$E$68))),0))</f>
        <v>Paradero Berlín con Javier prado (cruzando el semáforo) aplica solo al ingreso.</v>
      </c>
      <c r="AD259" s="2" t="str">
        <f>IFERROR(INDEX(PARADEROS_VALIDOS!$A$2:$A$68,MATCH(AC259,PARADEROS_VALIDOS!$C$2:$C$68,0)),"")</f>
        <v>RUTA 4A</v>
      </c>
      <c r="AE259" s="33" cm="1">
        <f t="array" ref="AE259">ROUND(MIN(6371*ACOS(COS(RADIANS(Y259))*COS(RADIANS(PARADEROS_VALIDOS!$E$2:$E$68))*COS(RADIANS(PARADEROS_VALIDOS!$F$2:$F$68)-RADIANS(Z259))+SIN(RADIANS(Y259))*SIN(RADIANS(PARADEROS_VALIDOS!$E$2:$E$68)))),2)</f>
        <v>3.08</v>
      </c>
      <c r="AF259" s="2" t="str">
        <f t="shared" si="19"/>
        <v>🟠 Moderada (3-5 km)</v>
      </c>
      <c r="AG259" s="2"/>
      <c r="AH259" s="2"/>
      <c r="AI259" s="51">
        <v>-11.997563</v>
      </c>
      <c r="AJ259" s="51">
        <v>-76.900062000000005</v>
      </c>
      <c r="AK259" s="2" t="str">
        <f>IFERROR(VLOOKUP(I259,tdcargo[],2,FALSE),"DESCONOCIDO")</f>
        <v>STAFF</v>
      </c>
    </row>
    <row r="260" spans="1:37" x14ac:dyDescent="0.35">
      <c r="A260" s="2" t="s">
        <v>133</v>
      </c>
      <c r="B260" s="2" t="s">
        <v>1411</v>
      </c>
      <c r="C260" s="2" t="s">
        <v>1412</v>
      </c>
      <c r="D260" s="2" t="s">
        <v>1413</v>
      </c>
      <c r="E260" s="2">
        <v>28</v>
      </c>
      <c r="F260" s="2" t="s">
        <v>28</v>
      </c>
      <c r="G260" s="2" t="s">
        <v>29</v>
      </c>
      <c r="H260" s="2">
        <v>20508948</v>
      </c>
      <c r="I260" s="2" t="s">
        <v>416</v>
      </c>
      <c r="J260" s="3">
        <v>44973</v>
      </c>
      <c r="K260" s="2" t="s">
        <v>31</v>
      </c>
      <c r="L260" s="2" t="s">
        <v>1325</v>
      </c>
      <c r="M260" s="2" t="s">
        <v>1326</v>
      </c>
      <c r="N260" s="2" t="s">
        <v>34</v>
      </c>
      <c r="O260" s="2" t="s">
        <v>1414</v>
      </c>
      <c r="P260" s="2" t="s">
        <v>186</v>
      </c>
      <c r="Q260" s="2" t="s">
        <v>1415</v>
      </c>
      <c r="R260" s="2">
        <v>15026</v>
      </c>
      <c r="S260" s="2" t="s">
        <v>37</v>
      </c>
      <c r="T260" s="2" t="s">
        <v>37</v>
      </c>
      <c r="U260" s="2" t="s">
        <v>1416</v>
      </c>
      <c r="V260" s="3">
        <v>46054</v>
      </c>
      <c r="W260" s="2" t="s">
        <v>39</v>
      </c>
      <c r="X260" s="2" t="str">
        <f t="shared" si="16"/>
        <v>Avenida Corregidor, Urb. Urbanización Las Praderas, La Molina, Lima, Lima, Perú</v>
      </c>
      <c r="Y260" s="22">
        <v>-12.115402599999999</v>
      </c>
      <c r="Z260" s="22">
        <v>-76.938365000000005</v>
      </c>
      <c r="AA260" s="33">
        <f t="shared" si="17"/>
        <v>13.75</v>
      </c>
      <c r="AB260" s="2" t="str">
        <f t="shared" si="18"/>
        <v>🟠 Moderada (10-20 km)</v>
      </c>
      <c r="AC260" s="2" t="str" cm="1">
        <f t="array" ref="AC260">INDEX(PARADEROS_VALIDOS!$C$2:$C$68,MATCH(MIN(6371*ACOS(COS(RADIANS(Y260))*COS(RADIANS(PARADEROS_VALIDOS!$E$2:$E$68))*COS(RADIANS(PARADEROS_VALIDOS!$F$2:$F$68)-RADIANS(Z260))+SIN(RADIANS(Y260))*SIN(RADIANS(PARADEROS_VALIDOS!$E$2:$E$68)))),6371*ACOS(COS(RADIANS(Y260))*COS(RADIANS(PARADEROS_VALIDOS!$E$2:$E$68))*COS(RADIANS(PARADEROS_VALIDOS!$F$2:$F$68)-RADIANS(Z260))+SIN(RADIANS(Y260))*SIN(RADIANS(PARADEROS_VALIDOS!$E$2:$E$68))),0))</f>
        <v>Paradero San Juan</v>
      </c>
      <c r="AD260" s="2" t="str">
        <f>IFERROR(INDEX(PARADEROS_VALIDOS!$A$2:$A$68,MATCH(AC260,PARADEROS_VALIDOS!$C$2:$C$68,0)),"")</f>
        <v>RUTA 5B</v>
      </c>
      <c r="AE260" s="33" cm="1">
        <f t="array" ref="AE260">ROUND(MIN(6371*ACOS(COS(RADIANS(Y260))*COS(RADIANS(PARADEROS_VALIDOS!$E$2:$E$68))*COS(RADIANS(PARADEROS_VALIDOS!$F$2:$F$68)-RADIANS(Z260))+SIN(RADIANS(Y260))*SIN(RADIANS(PARADEROS_VALIDOS!$E$2:$E$68)))),2)</f>
        <v>2.8</v>
      </c>
      <c r="AF260" s="2" t="str">
        <f t="shared" si="19"/>
        <v>🟡 Cerca (1-3 km)</v>
      </c>
      <c r="AG260" s="2"/>
      <c r="AH260" s="2"/>
      <c r="AI260" s="51">
        <v>-11.997563</v>
      </c>
      <c r="AJ260" s="51">
        <v>-76.900062000000005</v>
      </c>
      <c r="AK260" s="2" t="str">
        <f>IFERROR(VLOOKUP(I260,tdcargo[],2,FALSE),"DESCONOCIDO")</f>
        <v>STAFF</v>
      </c>
    </row>
    <row r="261" spans="1:37" x14ac:dyDescent="0.35">
      <c r="A261" s="2" t="s">
        <v>1417</v>
      </c>
      <c r="B261" s="2" t="s">
        <v>1418</v>
      </c>
      <c r="C261" s="2" t="s">
        <v>1419</v>
      </c>
      <c r="D261" s="2" t="s">
        <v>1420</v>
      </c>
      <c r="E261" s="2">
        <v>25</v>
      </c>
      <c r="F261" s="2" t="s">
        <v>28</v>
      </c>
      <c r="G261" s="2" t="s">
        <v>29</v>
      </c>
      <c r="H261" s="2">
        <v>20508912</v>
      </c>
      <c r="I261" s="2" t="s">
        <v>30</v>
      </c>
      <c r="J261" s="3">
        <v>45600</v>
      </c>
      <c r="K261" s="2" t="s">
        <v>31</v>
      </c>
      <c r="L261" s="2" t="s">
        <v>132</v>
      </c>
      <c r="M261" s="2" t="s">
        <v>133</v>
      </c>
      <c r="N261" s="2" t="s">
        <v>82</v>
      </c>
      <c r="O261" s="2" t="s">
        <v>1421</v>
      </c>
      <c r="P261" s="2" t="s">
        <v>36</v>
      </c>
      <c r="Q261" s="2" t="s">
        <v>1422</v>
      </c>
      <c r="R261" s="2">
        <v>15457</v>
      </c>
      <c r="S261" s="2" t="s">
        <v>37</v>
      </c>
      <c r="T261" s="2" t="s">
        <v>37</v>
      </c>
      <c r="U261" s="2" t="s">
        <v>76</v>
      </c>
      <c r="V261" s="3">
        <v>45600</v>
      </c>
      <c r="W261" s="2" t="s">
        <v>48</v>
      </c>
      <c r="X261" s="2" t="str">
        <f t="shared" si="16"/>
        <v>Calle Los Gladiolos Ferreteria, Lurigancho, Lima, Lima, Perú</v>
      </c>
      <c r="Y261" s="22">
        <v>-12.1213099</v>
      </c>
      <c r="Z261" s="22">
        <v>-77.009416900000005</v>
      </c>
      <c r="AA261" s="33">
        <f t="shared" si="17"/>
        <v>18.190000000000001</v>
      </c>
      <c r="AB261" s="2" t="str">
        <f t="shared" si="18"/>
        <v>🟠 Moderada (10-20 km)</v>
      </c>
      <c r="AC261" s="2" t="str" cm="1">
        <f t="array" ref="AC261">INDEX(PARADEROS_VALIDOS!$C$2:$C$68,MATCH(MIN(6371*ACOS(COS(RADIANS(Y261))*COS(RADIANS(PARADEROS_VALIDOS!$E$2:$E$68))*COS(RADIANS(PARADEROS_VALIDOS!$F$2:$F$68)-RADIANS(Z261))+SIN(RADIANS(Y261))*SIN(RADIANS(PARADEROS_VALIDOS!$E$2:$E$68)))),6371*ACOS(COS(RADIANS(Y261))*COS(RADIANS(PARADEROS_VALIDOS!$E$2:$E$68))*COS(RADIANS(PARADEROS_VALIDOS!$F$2:$F$68)-RADIANS(Z261))+SIN(RADIANS(Y261))*SIN(RADIANS(PARADEROS_VALIDOS!$E$2:$E$68))),0))</f>
        <v>Paradero Pentagonito</v>
      </c>
      <c r="AD261" s="2" t="str">
        <f>IFERROR(INDEX(PARADEROS_VALIDOS!$A$2:$A$68,MATCH(AC261,PARADEROS_VALIDOS!$C$2:$C$68,0)),"")</f>
        <v>RUTA 7</v>
      </c>
      <c r="AE261" s="33" cm="1">
        <f t="array" ref="AE261">ROUND(MIN(6371*ACOS(COS(RADIANS(Y261))*COS(RADIANS(PARADEROS_VALIDOS!$E$2:$E$68))*COS(RADIANS(PARADEROS_VALIDOS!$F$2:$F$68)-RADIANS(Z261))+SIN(RADIANS(Y261))*SIN(RADIANS(PARADEROS_VALIDOS!$E$2:$E$68)))),2)</f>
        <v>3.36</v>
      </c>
      <c r="AF261" s="2" t="str">
        <f t="shared" si="19"/>
        <v>🟠 Moderada (3-5 km)</v>
      </c>
      <c r="AG261" s="2"/>
      <c r="AH261" s="2"/>
      <c r="AI261" s="51">
        <v>-11.997563</v>
      </c>
      <c r="AJ261" s="51">
        <v>-76.900062000000005</v>
      </c>
      <c r="AK261" s="2" t="str">
        <f>IFERROR(VLOOKUP(I261,tdcargo[],2,FALSE),"DESCONOCIDO")</f>
        <v>OPERARIO</v>
      </c>
    </row>
    <row r="262" spans="1:37" x14ac:dyDescent="0.35">
      <c r="A262" s="2" t="s">
        <v>1423</v>
      </c>
      <c r="B262" s="2" t="s">
        <v>1424</v>
      </c>
      <c r="C262" s="2" t="s">
        <v>42</v>
      </c>
      <c r="D262" s="2" t="s">
        <v>1425</v>
      </c>
      <c r="E262" s="2">
        <v>22</v>
      </c>
      <c r="F262" s="2" t="s">
        <v>28</v>
      </c>
      <c r="G262" s="2" t="s">
        <v>29</v>
      </c>
      <c r="H262" s="2">
        <v>20511563</v>
      </c>
      <c r="I262" s="2" t="s">
        <v>30</v>
      </c>
      <c r="J262" s="3">
        <v>45810</v>
      </c>
      <c r="K262" s="2" t="s">
        <v>31</v>
      </c>
      <c r="L262" s="2" t="s">
        <v>132</v>
      </c>
      <c r="M262" s="2" t="s">
        <v>133</v>
      </c>
      <c r="N262" s="2" t="s">
        <v>82</v>
      </c>
      <c r="O262" s="2" t="s">
        <v>196</v>
      </c>
      <c r="P262" s="2" t="s">
        <v>36</v>
      </c>
      <c r="Q262" s="2" t="s">
        <v>458</v>
      </c>
      <c r="R262" s="2">
        <v>15457</v>
      </c>
      <c r="S262" s="2" t="s">
        <v>37</v>
      </c>
      <c r="T262" s="2" t="s">
        <v>37</v>
      </c>
      <c r="U262" s="2" t="s">
        <v>76</v>
      </c>
      <c r="V262" s="3">
        <v>45810</v>
      </c>
      <c r="W262" s="2" t="s">
        <v>39</v>
      </c>
      <c r="X262" s="2" t="str">
        <f t="shared" si="16"/>
        <v>Calle San Antonio San Antonio De Carapongo, Lurigancho, Lima, Lima, Perú</v>
      </c>
      <c r="Y262" s="22">
        <v>-12.034657899999999</v>
      </c>
      <c r="Z262" s="22">
        <v>-76.952540200000001</v>
      </c>
      <c r="AA262" s="33">
        <f t="shared" si="17"/>
        <v>7.04</v>
      </c>
      <c r="AB262" s="2" t="str">
        <f t="shared" si="18"/>
        <v>🟡 Cerca (5-10 km)</v>
      </c>
      <c r="AC262" s="2" t="str" cm="1">
        <f t="array" ref="AC262">INDEX(PARADEROS_VALIDOS!$C$2:$C$68,MATCH(MIN(6371*ACOS(COS(RADIANS(Y262))*COS(RADIANS(PARADEROS_VALIDOS!$E$2:$E$68))*COS(RADIANS(PARADEROS_VALIDOS!$F$2:$F$68)-RADIANS(Z262))+SIN(RADIANS(Y262))*SIN(RADIANS(PARADEROS_VALIDOS!$E$2:$E$68)))),6371*ACOS(COS(RADIANS(Y262))*COS(RADIANS(PARADEROS_VALIDOS!$E$2:$E$68))*COS(RADIANS(PARADEROS_VALIDOS!$F$2:$F$68)-RADIANS(Z262))+SIN(RADIANS(Y262))*SIN(RADIANS(PARADEROS_VALIDOS!$E$2:$E$68))),0))</f>
        <v>Av. Huarochirí con Metropolitana</v>
      </c>
      <c r="AD262" s="2" t="str">
        <f>IFERROR(INDEX(PARADEROS_VALIDOS!$A$2:$A$68,MATCH(AC262,PARADEROS_VALIDOS!$C$2:$C$68,0)),"")</f>
        <v>RUTA 4A</v>
      </c>
      <c r="AE262" s="33" cm="1">
        <f t="array" ref="AE262">ROUND(MIN(6371*ACOS(COS(RADIANS(Y262))*COS(RADIANS(PARADEROS_VALIDOS!$E$2:$E$68))*COS(RADIANS(PARADEROS_VALIDOS!$F$2:$F$68)-RADIANS(Z262))+SIN(RADIANS(Y262))*SIN(RADIANS(PARADEROS_VALIDOS!$E$2:$E$68)))),2)</f>
        <v>0.39</v>
      </c>
      <c r="AF262" s="2" t="str">
        <f t="shared" si="19"/>
        <v>🟢 Muy Cerca (0-1 km)</v>
      </c>
      <c r="AG262" s="2"/>
      <c r="AH262" s="2"/>
      <c r="AI262" s="51">
        <v>-11.997563</v>
      </c>
      <c r="AJ262" s="51">
        <v>-76.900062000000005</v>
      </c>
      <c r="AK262" s="2" t="str">
        <f>IFERROR(VLOOKUP(I262,tdcargo[],2,FALSE),"DESCONOCIDO")</f>
        <v>OPERARIO</v>
      </c>
    </row>
    <row r="263" spans="1:37" x14ac:dyDescent="0.35">
      <c r="A263" s="2" t="s">
        <v>1426</v>
      </c>
      <c r="B263" s="2" t="s">
        <v>1427</v>
      </c>
      <c r="C263" s="2" t="s">
        <v>1428</v>
      </c>
      <c r="D263" s="2" t="s">
        <v>1429</v>
      </c>
      <c r="E263" s="2">
        <v>33</v>
      </c>
      <c r="F263" s="2" t="s">
        <v>28</v>
      </c>
      <c r="G263" s="2" t="s">
        <v>29</v>
      </c>
      <c r="H263" s="2">
        <v>20511567</v>
      </c>
      <c r="I263" s="2" t="s">
        <v>30</v>
      </c>
      <c r="J263" s="3">
        <v>45887</v>
      </c>
      <c r="K263" s="2" t="s">
        <v>31</v>
      </c>
      <c r="L263" s="2" t="s">
        <v>132</v>
      </c>
      <c r="M263" s="2" t="s">
        <v>133</v>
      </c>
      <c r="N263" s="2" t="s">
        <v>82</v>
      </c>
      <c r="O263" s="2" t="s">
        <v>1115</v>
      </c>
      <c r="P263" s="2" t="s">
        <v>36</v>
      </c>
      <c r="Q263" s="2" t="s">
        <v>1430</v>
      </c>
      <c r="R263" s="2">
        <v>15457</v>
      </c>
      <c r="S263" s="2" t="s">
        <v>37</v>
      </c>
      <c r="T263" s="2" t="s">
        <v>37</v>
      </c>
      <c r="U263" s="2" t="s">
        <v>76</v>
      </c>
      <c r="V263" s="3">
        <v>45887</v>
      </c>
      <c r="W263" s="2" t="s">
        <v>39</v>
      </c>
      <c r="X263" s="2" t="str">
        <f t="shared" si="16"/>
        <v>Calle Los Laureles Casa Huerta La Campi, Lurigancho, Lima, Lima, Perú</v>
      </c>
      <c r="Y263" s="22">
        <v>-11.928603499999999</v>
      </c>
      <c r="Z263" s="22">
        <v>-76.683861399999998</v>
      </c>
      <c r="AA263" s="33">
        <f t="shared" si="17"/>
        <v>24.74</v>
      </c>
      <c r="AB263" s="2" t="str">
        <f t="shared" si="18"/>
        <v>🔴 Lejos (&gt;20 km)</v>
      </c>
      <c r="AC263" s="2" t="str" cm="1">
        <f t="array" ref="AC263">INDEX(PARADEROS_VALIDOS!$C$2:$C$68,MATCH(MIN(6371*ACOS(COS(RADIANS(Y263))*COS(RADIANS(PARADEROS_VALIDOS!$E$2:$E$68))*COS(RADIANS(PARADEROS_VALIDOS!$F$2:$F$68)-RADIANS(Z263))+SIN(RADIANS(Y263))*SIN(RADIANS(PARADEROS_VALIDOS!$E$2:$E$68)))),6371*ACOS(COS(RADIANS(Y263))*COS(RADIANS(PARADEROS_VALIDOS!$E$2:$E$68))*COS(RADIANS(PARADEROS_VALIDOS!$F$2:$F$68)-RADIANS(Z263))+SIN(RADIANS(Y263))*SIN(RADIANS(PARADEROS_VALIDOS!$E$2:$E$68))),0))</f>
        <v>Paradero Girasoles - Chaclacayo</v>
      </c>
      <c r="AD263" s="2" t="str">
        <f>IFERROR(INDEX(PARADEROS_VALIDOS!$A$2:$A$68,MATCH(AC263,PARADEROS_VALIDOS!$C$2:$C$68,0)),"")</f>
        <v>RUTA 5A</v>
      </c>
      <c r="AE263" s="33" cm="1">
        <f t="array" ref="AE263">ROUND(MIN(6371*ACOS(COS(RADIANS(Y263))*COS(RADIANS(PARADEROS_VALIDOS!$E$2:$E$68))*COS(RADIANS(PARADEROS_VALIDOS!$F$2:$F$68)-RADIANS(Z263))+SIN(RADIANS(Y263))*SIN(RADIANS(PARADEROS_VALIDOS!$E$2:$E$68)))),2)</f>
        <v>11.01</v>
      </c>
      <c r="AF263" s="2" t="str">
        <f t="shared" si="19"/>
        <v>🔴 Lejos (&gt;5 km)</v>
      </c>
      <c r="AG263" s="2"/>
      <c r="AH263" s="2"/>
      <c r="AI263" s="51">
        <v>-11.997563</v>
      </c>
      <c r="AJ263" s="51">
        <v>-76.900062000000005</v>
      </c>
      <c r="AK263" s="2" t="str">
        <f>IFERROR(VLOOKUP(I263,tdcargo[],2,FALSE),"DESCONOCIDO")</f>
        <v>OPERARIO</v>
      </c>
    </row>
    <row r="264" spans="1:37" x14ac:dyDescent="0.35">
      <c r="A264" s="2" t="s">
        <v>1431</v>
      </c>
      <c r="B264" s="2" t="s">
        <v>1432</v>
      </c>
      <c r="C264" s="2" t="s">
        <v>842</v>
      </c>
      <c r="D264" s="2" t="s">
        <v>1276</v>
      </c>
      <c r="E264" s="2">
        <v>24</v>
      </c>
      <c r="F264" s="2" t="s">
        <v>28</v>
      </c>
      <c r="G264" s="2" t="s">
        <v>29</v>
      </c>
      <c r="H264" s="2">
        <v>20509041</v>
      </c>
      <c r="I264" s="2" t="s">
        <v>1433</v>
      </c>
      <c r="J264" s="3">
        <v>45733</v>
      </c>
      <c r="K264" s="2" t="s">
        <v>31</v>
      </c>
      <c r="L264" s="2" t="s">
        <v>373</v>
      </c>
      <c r="M264" s="2" t="s">
        <v>374</v>
      </c>
      <c r="N264" s="2" t="s">
        <v>82</v>
      </c>
      <c r="O264" s="2" t="s">
        <v>1351</v>
      </c>
      <c r="P264" s="2" t="s">
        <v>36</v>
      </c>
      <c r="Q264" s="2" t="s">
        <v>501</v>
      </c>
      <c r="R264" s="2">
        <v>15004</v>
      </c>
      <c r="S264" s="2" t="s">
        <v>37</v>
      </c>
      <c r="T264" s="2" t="s">
        <v>37</v>
      </c>
      <c r="U264" s="2" t="s">
        <v>57</v>
      </c>
      <c r="V264" s="3">
        <v>45733</v>
      </c>
      <c r="W264" s="2" t="s">
        <v>77</v>
      </c>
      <c r="X264" s="2" t="str">
        <f t="shared" si="16"/>
        <v>Calle Los Cipreces El Bosque, Ate, Lima, Lima, Perú</v>
      </c>
      <c r="Y264" s="22">
        <v>-12.0110511</v>
      </c>
      <c r="Z264" s="22">
        <v>-76.877659899999998</v>
      </c>
      <c r="AA264" s="33">
        <f t="shared" si="17"/>
        <v>2.86</v>
      </c>
      <c r="AB264" s="2" t="str">
        <f t="shared" si="18"/>
        <v>🟢 Muy Cerca (0-5 km)</v>
      </c>
      <c r="AC264" s="2" t="str" cm="1">
        <f t="array" ref="AC264">INDEX(PARADEROS_VALIDOS!$C$2:$C$68,MATCH(MIN(6371*ACOS(COS(RADIANS(Y264))*COS(RADIANS(PARADEROS_VALIDOS!$E$2:$E$68))*COS(RADIANS(PARADEROS_VALIDOS!$F$2:$F$68)-RADIANS(Z264))+SIN(RADIANS(Y264))*SIN(RADIANS(PARADEROS_VALIDOS!$E$2:$E$68)))),6371*ACOS(COS(RADIANS(Y264))*COS(RADIANS(PARADEROS_VALIDOS!$E$2:$E$68))*COS(RADIANS(PARADEROS_VALIDOS!$F$2:$F$68)-RADIANS(Z264))+SIN(RADIANS(Y264))*SIN(RADIANS(PARADEROS_VALIDOS!$E$2:$E$68))),0))</f>
        <v>Paradero la Cruz</v>
      </c>
      <c r="AD264" s="2" t="str">
        <f>IFERROR(INDEX(PARADEROS_VALIDOS!$A$2:$A$68,MATCH(AC264,PARADEROS_VALIDOS!$C$2:$C$68,0)),"")</f>
        <v>RUTA 4B</v>
      </c>
      <c r="AE264" s="33" cm="1">
        <f t="array" ref="AE264">ROUND(MIN(6371*ACOS(COS(RADIANS(Y264))*COS(RADIANS(PARADEROS_VALIDOS!$E$2:$E$68))*COS(RADIANS(PARADEROS_VALIDOS!$F$2:$F$68)-RADIANS(Z264))+SIN(RADIANS(Y264))*SIN(RADIANS(PARADEROS_VALIDOS!$E$2:$E$68)))),2)</f>
        <v>0.9</v>
      </c>
      <c r="AF264" s="2" t="str">
        <f t="shared" si="19"/>
        <v>🟢 Muy Cerca (0-1 km)</v>
      </c>
      <c r="AG264" s="2"/>
      <c r="AH264" s="2"/>
      <c r="AI264" s="51">
        <v>-11.997563</v>
      </c>
      <c r="AJ264" s="51">
        <v>-76.900062000000005</v>
      </c>
      <c r="AK264" s="2" t="str">
        <f>IFERROR(VLOOKUP(I264,tdcargo[],2,FALSE),"DESCONOCIDO")</f>
        <v>STAFF</v>
      </c>
    </row>
    <row r="265" spans="1:37" x14ac:dyDescent="0.35">
      <c r="A265" s="2" t="s">
        <v>1434</v>
      </c>
      <c r="B265" s="2" t="s">
        <v>1435</v>
      </c>
      <c r="C265" s="2" t="s">
        <v>1436</v>
      </c>
      <c r="D265" s="2" t="s">
        <v>1437</v>
      </c>
      <c r="E265" s="2">
        <v>39</v>
      </c>
      <c r="F265" s="2" t="s">
        <v>28</v>
      </c>
      <c r="G265" s="2" t="s">
        <v>29</v>
      </c>
      <c r="H265" s="2">
        <v>20508952</v>
      </c>
      <c r="I265" s="2" t="s">
        <v>30</v>
      </c>
      <c r="J265" s="3">
        <v>45931</v>
      </c>
      <c r="K265" s="2" t="s">
        <v>31</v>
      </c>
      <c r="L265" s="2" t="s">
        <v>132</v>
      </c>
      <c r="M265" s="2" t="s">
        <v>133</v>
      </c>
      <c r="N265" s="2" t="s">
        <v>82</v>
      </c>
      <c r="O265" s="2" t="s">
        <v>1438</v>
      </c>
      <c r="P265" s="2" t="s">
        <v>36</v>
      </c>
      <c r="Q265" s="2" t="s">
        <v>1439</v>
      </c>
      <c r="R265" s="2">
        <v>15510</v>
      </c>
      <c r="S265" s="2" t="s">
        <v>37</v>
      </c>
      <c r="T265" s="2" t="s">
        <v>195</v>
      </c>
      <c r="U265" s="2" t="s">
        <v>196</v>
      </c>
      <c r="V265" s="3">
        <v>45931</v>
      </c>
      <c r="W265" s="2" t="s">
        <v>39</v>
      </c>
      <c r="X265" s="2" t="str">
        <f t="shared" si="16"/>
        <v>Calle Micaela Bastidas Los Rosales De Basil, San Antonio, Huarochiri, Lima, Perú</v>
      </c>
      <c r="Y265" s="22">
        <v>-11.919003399999999</v>
      </c>
      <c r="Z265" s="22">
        <v>-76.669297799999995</v>
      </c>
      <c r="AA265" s="33">
        <f t="shared" si="17"/>
        <v>26.58</v>
      </c>
      <c r="AB265" s="2" t="str">
        <f t="shared" si="18"/>
        <v>🔴 Lejos (&gt;20 km)</v>
      </c>
      <c r="AC265" s="2" t="str" cm="1">
        <f t="array" ref="AC265">INDEX(PARADEROS_VALIDOS!$C$2:$C$68,MATCH(MIN(6371*ACOS(COS(RADIANS(Y265))*COS(RADIANS(PARADEROS_VALIDOS!$E$2:$E$68))*COS(RADIANS(PARADEROS_VALIDOS!$F$2:$F$68)-RADIANS(Z265))+SIN(RADIANS(Y265))*SIN(RADIANS(PARADEROS_VALIDOS!$E$2:$E$68)))),6371*ACOS(COS(RADIANS(Y265))*COS(RADIANS(PARADEROS_VALIDOS!$E$2:$E$68))*COS(RADIANS(PARADEROS_VALIDOS!$F$2:$F$68)-RADIANS(Z265))+SIN(RADIANS(Y265))*SIN(RADIANS(PARADEROS_VALIDOS!$E$2:$E$68))),0))</f>
        <v>Paradero Girasoles - Chaclacayo</v>
      </c>
      <c r="AD265" s="2" t="str">
        <f>IFERROR(INDEX(PARADEROS_VALIDOS!$A$2:$A$68,MATCH(AC265,PARADEROS_VALIDOS!$C$2:$C$68,0)),"")</f>
        <v>RUTA 5A</v>
      </c>
      <c r="AE265" s="33" cm="1">
        <f t="array" ref="AE265">ROUND(MIN(6371*ACOS(COS(RADIANS(Y265))*COS(RADIANS(PARADEROS_VALIDOS!$E$2:$E$68))*COS(RADIANS(PARADEROS_VALIDOS!$F$2:$F$68)-RADIANS(Z265))+SIN(RADIANS(Y265))*SIN(RADIANS(PARADEROS_VALIDOS!$E$2:$E$68)))),2)</f>
        <v>12.92</v>
      </c>
      <c r="AF265" s="2" t="str">
        <f t="shared" si="19"/>
        <v>🔴 Lejos (&gt;5 km)</v>
      </c>
      <c r="AG265" s="2"/>
      <c r="AH265" s="2"/>
      <c r="AI265" s="51">
        <v>-11.997563</v>
      </c>
      <c r="AJ265" s="51">
        <v>-76.900062000000005</v>
      </c>
      <c r="AK265" s="2" t="str">
        <f>IFERROR(VLOOKUP(I265,tdcargo[],2,FALSE),"DESCONOCIDO")</f>
        <v>OPERARIO</v>
      </c>
    </row>
    <row r="266" spans="1:37" x14ac:dyDescent="0.35">
      <c r="A266" s="2" t="s">
        <v>1440</v>
      </c>
      <c r="B266" s="2" t="s">
        <v>1441</v>
      </c>
      <c r="C266" s="2" t="s">
        <v>494</v>
      </c>
      <c r="D266" s="2" t="s">
        <v>607</v>
      </c>
      <c r="E266" s="2">
        <v>47</v>
      </c>
      <c r="F266" s="2" t="s">
        <v>28</v>
      </c>
      <c r="G266" s="2" t="s">
        <v>29</v>
      </c>
      <c r="H266" s="2">
        <v>20508801</v>
      </c>
      <c r="I266" s="2" t="s">
        <v>62</v>
      </c>
      <c r="J266" s="3">
        <v>43118</v>
      </c>
      <c r="K266" s="2" t="s">
        <v>31</v>
      </c>
      <c r="L266" s="2" t="s">
        <v>164</v>
      </c>
      <c r="M266" s="2" t="s">
        <v>165</v>
      </c>
      <c r="N266" s="2" t="s">
        <v>82</v>
      </c>
      <c r="O266" s="2" t="s">
        <v>1442</v>
      </c>
      <c r="P266" s="2" t="s">
        <v>66</v>
      </c>
      <c r="Q266" s="2" t="s">
        <v>1443</v>
      </c>
      <c r="R266" s="2">
        <v>15004</v>
      </c>
      <c r="S266" s="2" t="s">
        <v>37</v>
      </c>
      <c r="T266" s="2" t="s">
        <v>37</v>
      </c>
      <c r="U266" s="2" t="s">
        <v>57</v>
      </c>
      <c r="V266" s="3">
        <v>43118</v>
      </c>
      <c r="W266" s="2" t="s">
        <v>48</v>
      </c>
      <c r="X266" s="2" t="str">
        <f t="shared" si="16"/>
        <v>Calle El Trabajo, U.V. Unidad Vecinal El Olivar De Vitarte, Ate, Lima, Lima, Perú</v>
      </c>
      <c r="Y266" s="22">
        <v>-12.0427295</v>
      </c>
      <c r="Z266" s="22">
        <v>-76.982734100000002</v>
      </c>
      <c r="AA266" s="33">
        <f t="shared" si="17"/>
        <v>10.3</v>
      </c>
      <c r="AB266" s="2" t="str">
        <f t="shared" si="18"/>
        <v>🟠 Moderada (10-20 km)</v>
      </c>
      <c r="AC266" s="2" t="str" cm="1">
        <f t="array" ref="AC266">INDEX(PARADEROS_VALIDOS!$C$2:$C$68,MATCH(MIN(6371*ACOS(COS(RADIANS(Y266))*COS(RADIANS(PARADEROS_VALIDOS!$E$2:$E$68))*COS(RADIANS(PARADEROS_VALIDOS!$F$2:$F$68)-RADIANS(Z266))+SIN(RADIANS(Y266))*SIN(RADIANS(PARADEROS_VALIDOS!$E$2:$E$68)))),6371*ACOS(COS(RADIANS(Y266))*COS(RADIANS(PARADEROS_VALIDOS!$E$2:$E$68))*COS(RADIANS(PARADEROS_VALIDOS!$F$2:$F$68)-RADIANS(Z266))+SIN(RADIANS(Y266))*SIN(RADIANS(PARADEROS_VALIDOS!$E$2:$E$68))),0))</f>
        <v>Paradero Villa Hermosa</v>
      </c>
      <c r="AD266" s="2" t="str">
        <f>IFERROR(INDEX(PARADEROS_VALIDOS!$A$2:$A$68,MATCH(AC266,PARADEROS_VALIDOS!$C$2:$C$68,0)),"")</f>
        <v>RUTA 3</v>
      </c>
      <c r="AE266" s="33" cm="1">
        <f t="array" ref="AE266">ROUND(MIN(6371*ACOS(COS(RADIANS(Y266))*COS(RADIANS(PARADEROS_VALIDOS!$E$2:$E$68))*COS(RADIANS(PARADEROS_VALIDOS!$F$2:$F$68)-RADIANS(Z266))+SIN(RADIANS(Y266))*SIN(RADIANS(PARADEROS_VALIDOS!$E$2:$E$68)))),2)</f>
        <v>0.46</v>
      </c>
      <c r="AF266" s="2" t="str">
        <f t="shared" si="19"/>
        <v>🟢 Muy Cerca (0-1 km)</v>
      </c>
      <c r="AG266" s="2"/>
      <c r="AH266" s="2"/>
      <c r="AI266" s="51">
        <v>-11.997563</v>
      </c>
      <c r="AJ266" s="51">
        <v>-76.900062000000005</v>
      </c>
      <c r="AK266" s="2" t="str">
        <f>IFERROR(VLOOKUP(I266,tdcargo[],2,FALSE),"DESCONOCIDO")</f>
        <v>OPERARIO</v>
      </c>
    </row>
    <row r="267" spans="1:37" x14ac:dyDescent="0.35">
      <c r="A267" s="2" t="s">
        <v>1444</v>
      </c>
      <c r="B267" s="2" t="s">
        <v>1445</v>
      </c>
      <c r="C267" s="2" t="s">
        <v>1446</v>
      </c>
      <c r="D267" s="2" t="s">
        <v>1447</v>
      </c>
      <c r="E267" s="2">
        <v>27</v>
      </c>
      <c r="F267" s="2" t="s">
        <v>28</v>
      </c>
      <c r="G267" s="2" t="s">
        <v>29</v>
      </c>
      <c r="H267" s="2">
        <v>20510622</v>
      </c>
      <c r="I267" s="2" t="s">
        <v>1448</v>
      </c>
      <c r="J267" s="3">
        <v>45505</v>
      </c>
      <c r="K267" s="2" t="s">
        <v>31</v>
      </c>
      <c r="L267" s="2" t="s">
        <v>1449</v>
      </c>
      <c r="M267" s="2"/>
      <c r="N267" s="2" t="s">
        <v>53</v>
      </c>
      <c r="O267" s="2" t="s">
        <v>1450</v>
      </c>
      <c r="P267" s="2" t="s">
        <v>36</v>
      </c>
      <c r="Q267" s="2" t="s">
        <v>1451</v>
      </c>
      <c r="R267" s="2">
        <v>15121</v>
      </c>
      <c r="S267" s="2" t="s">
        <v>37</v>
      </c>
      <c r="T267" s="2" t="s">
        <v>37</v>
      </c>
      <c r="U267" s="2" t="s">
        <v>686</v>
      </c>
      <c r="V267" s="3">
        <v>45505</v>
      </c>
      <c r="W267" s="2" t="s">
        <v>48</v>
      </c>
      <c r="X267" s="2" t="str">
        <f t="shared" si="16"/>
        <v>Jirón San Pedro De Carabayllo La Aldea, Carabayllo, Lima, Lima, Perú</v>
      </c>
      <c r="Y267" s="22">
        <v>-11.901163199999999</v>
      </c>
      <c r="Z267" s="22">
        <v>-77.037395000000004</v>
      </c>
      <c r="AA267" s="33">
        <f t="shared" si="17"/>
        <v>18.39</v>
      </c>
      <c r="AB267" s="2" t="str">
        <f t="shared" si="18"/>
        <v>🟠 Moderada (10-20 km)</v>
      </c>
      <c r="AC267" s="2" t="str" cm="1">
        <f t="array" ref="AC267">INDEX(PARADEROS_VALIDOS!$C$2:$C$68,MATCH(MIN(6371*ACOS(COS(RADIANS(Y267))*COS(RADIANS(PARADEROS_VALIDOS!$E$2:$E$68))*COS(RADIANS(PARADEROS_VALIDOS!$F$2:$F$68)-RADIANS(Z267))+SIN(RADIANS(Y267))*SIN(RADIANS(PARADEROS_VALIDOS!$E$2:$E$68)))),6371*ACOS(COS(RADIANS(Y267))*COS(RADIANS(PARADEROS_VALIDOS!$E$2:$E$68))*COS(RADIANS(PARADEROS_VALIDOS!$F$2:$F$68)-RADIANS(Z267))+SIN(RADIANS(Y267))*SIN(RADIANS(PARADEROS_VALIDOS!$E$2:$E$68))),0))</f>
        <v>Av. Metropolitana con Cultura</v>
      </c>
      <c r="AD267" s="2" t="str">
        <f>IFERROR(INDEX(PARADEROS_VALIDOS!$A$2:$A$68,MATCH(AC267,PARADEROS_VALIDOS!$C$2:$C$68,0)),"")</f>
        <v>RUTA 4A</v>
      </c>
      <c r="AE267" s="33" cm="1">
        <f t="array" ref="AE267">ROUND(MIN(6371*ACOS(COS(RADIANS(Y267))*COS(RADIANS(PARADEROS_VALIDOS!$E$2:$E$68))*COS(RADIANS(PARADEROS_VALIDOS!$F$2:$F$68)-RADIANS(Z267))+SIN(RADIANS(Y267))*SIN(RADIANS(PARADEROS_VALIDOS!$E$2:$E$68)))),2)</f>
        <v>6.47</v>
      </c>
      <c r="AF267" s="2" t="str">
        <f t="shared" si="19"/>
        <v>🔴 Lejos (&gt;5 km)</v>
      </c>
      <c r="AG267" s="2"/>
      <c r="AH267" s="2"/>
      <c r="AI267" s="51">
        <v>-11.997563</v>
      </c>
      <c r="AJ267" s="51">
        <v>-76.900062000000005</v>
      </c>
      <c r="AK267" s="2" t="str">
        <f>IFERROR(VLOOKUP(I267,tdcargo[],2,FALSE),"DESCONOCIDO")</f>
        <v>STAFF</v>
      </c>
    </row>
    <row r="268" spans="1:37" x14ac:dyDescent="0.35">
      <c r="A268" s="2" t="s">
        <v>1452</v>
      </c>
      <c r="B268" s="2" t="s">
        <v>1453</v>
      </c>
      <c r="C268" s="2" t="s">
        <v>1454</v>
      </c>
      <c r="D268" s="2" t="s">
        <v>842</v>
      </c>
      <c r="E268" s="2">
        <v>27</v>
      </c>
      <c r="F268" s="2" t="s">
        <v>28</v>
      </c>
      <c r="G268" s="2" t="s">
        <v>29</v>
      </c>
      <c r="H268" s="2">
        <v>20510625</v>
      </c>
      <c r="I268" s="2" t="s">
        <v>822</v>
      </c>
      <c r="J268" s="3">
        <v>46023</v>
      </c>
      <c r="K268" s="2" t="s">
        <v>31</v>
      </c>
      <c r="L268" s="2" t="s">
        <v>267</v>
      </c>
      <c r="M268" s="2" t="s">
        <v>268</v>
      </c>
      <c r="N268" s="2" t="s">
        <v>36</v>
      </c>
      <c r="O268" s="2" t="s">
        <v>1455</v>
      </c>
      <c r="P268" s="2" t="s">
        <v>36</v>
      </c>
      <c r="Q268" s="2" t="s">
        <v>1456</v>
      </c>
      <c r="R268" s="2">
        <v>15007</v>
      </c>
      <c r="S268" s="2" t="s">
        <v>37</v>
      </c>
      <c r="T268" s="2" t="s">
        <v>37</v>
      </c>
      <c r="U268" s="2" t="s">
        <v>367</v>
      </c>
      <c r="V268" s="3">
        <v>46023</v>
      </c>
      <c r="W268" s="2" t="s">
        <v>135</v>
      </c>
      <c r="X268" s="2" t="str">
        <f t="shared" si="16"/>
        <v>Raul Porras Y Bar VIÑA SAN FRANCISCO, Santa Anita, Lima, Lima, Perú</v>
      </c>
      <c r="Y268" s="22">
        <v>-12.0320757</v>
      </c>
      <c r="Z268" s="22">
        <v>-76.950622999999993</v>
      </c>
      <c r="AA268" s="33">
        <f t="shared" si="17"/>
        <v>6.71</v>
      </c>
      <c r="AB268" s="2" t="str">
        <f t="shared" si="18"/>
        <v>🟡 Cerca (5-10 km)</v>
      </c>
      <c r="AC268" s="2" t="str" cm="1">
        <f t="array" ref="AC268">INDEX(PARADEROS_VALIDOS!$C$2:$C$68,MATCH(MIN(6371*ACOS(COS(RADIANS(Y268))*COS(RADIANS(PARADEROS_VALIDOS!$E$2:$E$68))*COS(RADIANS(PARADEROS_VALIDOS!$F$2:$F$68)-RADIANS(Z268))+SIN(RADIANS(Y268))*SIN(RADIANS(PARADEROS_VALIDOS!$E$2:$E$68)))),6371*ACOS(COS(RADIANS(Y268))*COS(RADIANS(PARADEROS_VALIDOS!$E$2:$E$68))*COS(RADIANS(PARADEROS_VALIDOS!$F$2:$F$68)-RADIANS(Z268))+SIN(RADIANS(Y268))*SIN(RADIANS(PARADEROS_VALIDOS!$E$2:$E$68))),0))</f>
        <v>Av. Huarochirí con Metropolitana</v>
      </c>
      <c r="AD268" s="2" t="str">
        <f>IFERROR(INDEX(PARADEROS_VALIDOS!$A$2:$A$68,MATCH(AC268,PARADEROS_VALIDOS!$C$2:$C$68,0)),"")</f>
        <v>RUTA 4A</v>
      </c>
      <c r="AE268" s="33" cm="1">
        <f t="array" ref="AE268">ROUND(MIN(6371*ACOS(COS(RADIANS(Y268))*COS(RADIANS(PARADEROS_VALIDOS!$E$2:$E$68))*COS(RADIANS(PARADEROS_VALIDOS!$F$2:$F$68)-RADIANS(Z268))+SIN(RADIANS(Y268))*SIN(RADIANS(PARADEROS_VALIDOS!$E$2:$E$68)))),2)</f>
        <v>0.74</v>
      </c>
      <c r="AF268" s="2" t="str">
        <f t="shared" si="19"/>
        <v>🟢 Muy Cerca (0-1 km)</v>
      </c>
      <c r="AG268" s="2"/>
      <c r="AH268" s="2"/>
      <c r="AI268" s="51">
        <v>-11.997563</v>
      </c>
      <c r="AJ268" s="51">
        <v>-76.900062000000005</v>
      </c>
      <c r="AK268" s="2" t="str">
        <f>IFERROR(VLOOKUP(I268,tdcargo[],2,FALSE),"DESCONOCIDO")</f>
        <v>STAFF</v>
      </c>
    </row>
    <row r="269" spans="1:37" x14ac:dyDescent="0.35">
      <c r="A269" s="2" t="s">
        <v>1457</v>
      </c>
      <c r="B269" s="2" t="s">
        <v>1458</v>
      </c>
      <c r="C269" s="2" t="s">
        <v>364</v>
      </c>
      <c r="D269" s="2" t="s">
        <v>1459</v>
      </c>
      <c r="E269" s="2">
        <v>34</v>
      </c>
      <c r="F269" s="2" t="s">
        <v>28</v>
      </c>
      <c r="G269" s="2" t="s">
        <v>29</v>
      </c>
      <c r="H269" s="2">
        <v>20508740</v>
      </c>
      <c r="I269" s="2" t="s">
        <v>62</v>
      </c>
      <c r="J269" s="3">
        <v>43864</v>
      </c>
      <c r="K269" s="2" t="s">
        <v>31</v>
      </c>
      <c r="L269" s="2" t="s">
        <v>100</v>
      </c>
      <c r="M269" s="2" t="s">
        <v>101</v>
      </c>
      <c r="N269" s="2" t="s">
        <v>36</v>
      </c>
      <c r="O269" s="2" t="s">
        <v>1460</v>
      </c>
      <c r="P269" s="2" t="s">
        <v>36</v>
      </c>
      <c r="Q269" s="2" t="s">
        <v>1461</v>
      </c>
      <c r="R269" s="2">
        <v>15004</v>
      </c>
      <c r="S269" s="2" t="s">
        <v>37</v>
      </c>
      <c r="T269" s="2" t="s">
        <v>37</v>
      </c>
      <c r="U269" s="2" t="s">
        <v>57</v>
      </c>
      <c r="V269" s="3">
        <v>43864</v>
      </c>
      <c r="W269" s="2" t="s">
        <v>48</v>
      </c>
      <c r="X269" s="2" t="str">
        <f t="shared" si="16"/>
        <v>Ucv 55 Huaycan C, Ate, Lima, Lima, Perú</v>
      </c>
      <c r="Y269" s="22">
        <v>-12.0100444</v>
      </c>
      <c r="Z269" s="22">
        <v>-76.827822400000002</v>
      </c>
      <c r="AA269" s="33">
        <f t="shared" si="17"/>
        <v>7.98</v>
      </c>
      <c r="AB269" s="2" t="str">
        <f t="shared" si="18"/>
        <v>🟡 Cerca (5-10 km)</v>
      </c>
      <c r="AC269" s="2" t="str" cm="1">
        <f t="array" ref="AC269">INDEX(PARADEROS_VALIDOS!$C$2:$C$68,MATCH(MIN(6371*ACOS(COS(RADIANS(Y269))*COS(RADIANS(PARADEROS_VALIDOS!$E$2:$E$68))*COS(RADIANS(PARADEROS_VALIDOS!$F$2:$F$68)-RADIANS(Z269))+SIN(RADIANS(Y269))*SIN(RADIANS(PARADEROS_VALIDOS!$E$2:$E$68)))),6371*ACOS(COS(RADIANS(Y269))*COS(RADIANS(PARADEROS_VALIDOS!$E$2:$E$68))*COS(RADIANS(PARADEROS_VALIDOS!$F$2:$F$68)-RADIANS(Z269))+SIN(RADIANS(Y269))*SIN(RADIANS(PARADEROS_VALIDOS!$E$2:$E$68))),0))</f>
        <v>Entrada Horacio</v>
      </c>
      <c r="AD269" s="2" t="str">
        <f>IFERROR(INDEX(PARADEROS_VALIDOS!$A$2:$A$68,MATCH(AC269,PARADEROS_VALIDOS!$C$2:$C$68,0)),"")</f>
        <v>RUTA 5B</v>
      </c>
      <c r="AE269" s="33" cm="1">
        <f t="array" ref="AE269">ROUND(MIN(6371*ACOS(COS(RADIANS(Y269))*COS(RADIANS(PARADEROS_VALIDOS!$E$2:$E$68))*COS(RADIANS(PARADEROS_VALIDOS!$F$2:$F$68)-RADIANS(Z269))+SIN(RADIANS(Y269))*SIN(RADIANS(PARADEROS_VALIDOS!$E$2:$E$68)))),2)</f>
        <v>1.56</v>
      </c>
      <c r="AF269" s="2" t="str">
        <f t="shared" si="19"/>
        <v>🟡 Cerca (1-3 km)</v>
      </c>
      <c r="AG269" s="2"/>
      <c r="AH269" s="2"/>
      <c r="AI269" s="51">
        <v>-11.997563</v>
      </c>
      <c r="AJ269" s="51">
        <v>-76.900062000000005</v>
      </c>
      <c r="AK269" s="2" t="str">
        <f>IFERROR(VLOOKUP(I269,tdcargo[],2,FALSE),"DESCONOCIDO")</f>
        <v>OPERARIO</v>
      </c>
    </row>
    <row r="270" spans="1:37" x14ac:dyDescent="0.35">
      <c r="A270" s="2" t="s">
        <v>1462</v>
      </c>
      <c r="B270" s="2" t="s">
        <v>1463</v>
      </c>
      <c r="C270" s="2" t="s">
        <v>1464</v>
      </c>
      <c r="D270" s="2" t="s">
        <v>1336</v>
      </c>
      <c r="E270" s="2">
        <v>45</v>
      </c>
      <c r="F270" s="2" t="s">
        <v>28</v>
      </c>
      <c r="G270" s="2" t="s">
        <v>29</v>
      </c>
      <c r="H270" s="2">
        <v>20508739</v>
      </c>
      <c r="I270" s="2" t="s">
        <v>62</v>
      </c>
      <c r="J270" s="3">
        <v>44847</v>
      </c>
      <c r="K270" s="2" t="s">
        <v>31</v>
      </c>
      <c r="L270" s="2" t="s">
        <v>72</v>
      </c>
      <c r="M270" s="2" t="s">
        <v>73</v>
      </c>
      <c r="N270" s="2" t="s">
        <v>34</v>
      </c>
      <c r="O270" s="2" t="s">
        <v>1465</v>
      </c>
      <c r="P270" s="2" t="s">
        <v>88</v>
      </c>
      <c r="Q270" s="2" t="s">
        <v>1466</v>
      </c>
      <c r="R270" s="2">
        <v>15004</v>
      </c>
      <c r="S270" s="2" t="s">
        <v>37</v>
      </c>
      <c r="T270" s="2" t="s">
        <v>37</v>
      </c>
      <c r="U270" s="2" t="s">
        <v>57</v>
      </c>
      <c r="V270" s="3">
        <v>44847</v>
      </c>
      <c r="W270" s="2" t="s">
        <v>48</v>
      </c>
      <c r="X270" s="2" t="str">
        <f t="shared" si="16"/>
        <v>Avenida Aninida Jaime Zaviela Calderon, A.H. Asentamiento Humano Horacio Zevallos, Ate, Lima, Lima, Perú</v>
      </c>
      <c r="Y270" s="22">
        <v>-12.008354000000001</v>
      </c>
      <c r="Z270" s="22">
        <v>-76.8420196</v>
      </c>
      <c r="AA270" s="33">
        <f t="shared" si="17"/>
        <v>6.43</v>
      </c>
      <c r="AB270" s="2" t="str">
        <f t="shared" si="18"/>
        <v>🟡 Cerca (5-10 km)</v>
      </c>
      <c r="AC270" s="2" t="str" cm="1">
        <f t="array" ref="AC270">INDEX(PARADEROS_VALIDOS!$C$2:$C$68,MATCH(MIN(6371*ACOS(COS(RADIANS(Y270))*COS(RADIANS(PARADEROS_VALIDOS!$E$2:$E$68))*COS(RADIANS(PARADEROS_VALIDOS!$F$2:$F$68)-RADIANS(Z270))+SIN(RADIANS(Y270))*SIN(RADIANS(PARADEROS_VALIDOS!$E$2:$E$68)))),6371*ACOS(COS(RADIANS(Y270))*COS(RADIANS(PARADEROS_VALIDOS!$E$2:$E$68))*COS(RADIANS(PARADEROS_VALIDOS!$F$2:$F$68)-RADIANS(Z270))+SIN(RADIANS(Y270))*SIN(RADIANS(PARADEROS_VALIDOS!$E$2:$E$68))),0))</f>
        <v>Entrada Horacio</v>
      </c>
      <c r="AD270" s="2" t="str">
        <f>IFERROR(INDEX(PARADEROS_VALIDOS!$A$2:$A$68,MATCH(AC270,PARADEROS_VALIDOS!$C$2:$C$68,0)),"")</f>
        <v>RUTA 5B</v>
      </c>
      <c r="AE270" s="33" cm="1">
        <f t="array" ref="AE270">ROUND(MIN(6371*ACOS(COS(RADIANS(Y270))*COS(RADIANS(PARADEROS_VALIDOS!$E$2:$E$68))*COS(RADIANS(PARADEROS_VALIDOS!$F$2:$F$68)-RADIANS(Z270))+SIN(RADIANS(Y270))*SIN(RADIANS(PARADEROS_VALIDOS!$E$2:$E$68)))),2)</f>
        <v>0</v>
      </c>
      <c r="AF270" s="2" t="str">
        <f t="shared" si="19"/>
        <v>🟢 Muy Cerca (0-1 km)</v>
      </c>
      <c r="AG270" s="2"/>
      <c r="AH270" s="2"/>
      <c r="AI270" s="51">
        <v>-11.997563</v>
      </c>
      <c r="AJ270" s="51">
        <v>-76.900062000000005</v>
      </c>
      <c r="AK270" s="2" t="str">
        <f>IFERROR(VLOOKUP(I270,tdcargo[],2,FALSE),"DESCONOCIDO")</f>
        <v>OPERARIO</v>
      </c>
    </row>
    <row r="271" spans="1:37" x14ac:dyDescent="0.35">
      <c r="A271" s="2" t="s">
        <v>1467</v>
      </c>
      <c r="B271" s="2" t="s">
        <v>1468</v>
      </c>
      <c r="C271" s="2" t="s">
        <v>1000</v>
      </c>
      <c r="D271" s="2" t="s">
        <v>1469</v>
      </c>
      <c r="E271" s="2">
        <v>22</v>
      </c>
      <c r="F271" s="2" t="s">
        <v>28</v>
      </c>
      <c r="G271" s="2" t="s">
        <v>29</v>
      </c>
      <c r="H271" s="2">
        <v>20508919</v>
      </c>
      <c r="I271" s="2" t="s">
        <v>30</v>
      </c>
      <c r="J271" s="3">
        <v>45407</v>
      </c>
      <c r="K271" s="2" t="s">
        <v>31</v>
      </c>
      <c r="L271" s="2" t="s">
        <v>32</v>
      </c>
      <c r="M271" s="2" t="s">
        <v>33</v>
      </c>
      <c r="N271" s="2"/>
      <c r="O271" s="2" t="s">
        <v>1470</v>
      </c>
      <c r="P271" s="2" t="s">
        <v>88</v>
      </c>
      <c r="Q271" s="2" t="s">
        <v>705</v>
      </c>
      <c r="R271" s="2">
        <v>15004</v>
      </c>
      <c r="S271" s="2" t="s">
        <v>37</v>
      </c>
      <c r="T271" s="2" t="s">
        <v>37</v>
      </c>
      <c r="U271" s="2" t="s">
        <v>57</v>
      </c>
      <c r="V271" s="3">
        <v>46054</v>
      </c>
      <c r="W271" s="2" t="s">
        <v>39</v>
      </c>
      <c r="X271" s="2" t="str">
        <f t="shared" si="16"/>
        <v>UCV. 62, A.H. Asentamiento Humano Huaycan, Ate, Lima, Lima, Perú</v>
      </c>
      <c r="Y271" s="22">
        <v>-12.0100444</v>
      </c>
      <c r="Z271" s="22">
        <v>-76.827822400000002</v>
      </c>
      <c r="AA271" s="33">
        <f t="shared" si="17"/>
        <v>7.98</v>
      </c>
      <c r="AB271" s="2" t="str">
        <f t="shared" si="18"/>
        <v>🟡 Cerca (5-10 km)</v>
      </c>
      <c r="AC271" s="2" t="str" cm="1">
        <f t="array" ref="AC271">INDEX(PARADEROS_VALIDOS!$C$2:$C$68,MATCH(MIN(6371*ACOS(COS(RADIANS(Y271))*COS(RADIANS(PARADEROS_VALIDOS!$E$2:$E$68))*COS(RADIANS(PARADEROS_VALIDOS!$F$2:$F$68)-RADIANS(Z271))+SIN(RADIANS(Y271))*SIN(RADIANS(PARADEROS_VALIDOS!$E$2:$E$68)))),6371*ACOS(COS(RADIANS(Y271))*COS(RADIANS(PARADEROS_VALIDOS!$E$2:$E$68))*COS(RADIANS(PARADEROS_VALIDOS!$F$2:$F$68)-RADIANS(Z271))+SIN(RADIANS(Y271))*SIN(RADIANS(PARADEROS_VALIDOS!$E$2:$E$68))),0))</f>
        <v>Entrada Horacio</v>
      </c>
      <c r="AD271" s="2" t="str">
        <f>IFERROR(INDEX(PARADEROS_VALIDOS!$A$2:$A$68,MATCH(AC271,PARADEROS_VALIDOS!$C$2:$C$68,0)),"")</f>
        <v>RUTA 5B</v>
      </c>
      <c r="AE271" s="33" cm="1">
        <f t="array" ref="AE271">ROUND(MIN(6371*ACOS(COS(RADIANS(Y271))*COS(RADIANS(PARADEROS_VALIDOS!$E$2:$E$68))*COS(RADIANS(PARADEROS_VALIDOS!$F$2:$F$68)-RADIANS(Z271))+SIN(RADIANS(Y271))*SIN(RADIANS(PARADEROS_VALIDOS!$E$2:$E$68)))),2)</f>
        <v>1.56</v>
      </c>
      <c r="AF271" s="2" t="str">
        <f t="shared" si="19"/>
        <v>🟡 Cerca (1-3 km)</v>
      </c>
      <c r="AG271" s="2"/>
      <c r="AH271" s="2"/>
      <c r="AI271" s="51">
        <v>-11.997563</v>
      </c>
      <c r="AJ271" s="51">
        <v>-76.900062000000005</v>
      </c>
      <c r="AK271" s="2" t="str">
        <f>IFERROR(VLOOKUP(I271,tdcargo[],2,FALSE),"DESCONOCIDO")</f>
        <v>OPERARIO</v>
      </c>
    </row>
    <row r="272" spans="1:37" x14ac:dyDescent="0.35">
      <c r="A272" s="2" t="s">
        <v>1471</v>
      </c>
      <c r="B272" s="2" t="s">
        <v>1472</v>
      </c>
      <c r="C272" s="2" t="s">
        <v>1473</v>
      </c>
      <c r="D272" s="2" t="s">
        <v>653</v>
      </c>
      <c r="E272" s="2">
        <v>26</v>
      </c>
      <c r="F272" s="2" t="s">
        <v>28</v>
      </c>
      <c r="G272" s="2" t="s">
        <v>29</v>
      </c>
      <c r="H272" s="2">
        <v>20509037</v>
      </c>
      <c r="I272" s="2" t="s">
        <v>1474</v>
      </c>
      <c r="J272" s="3">
        <v>45105</v>
      </c>
      <c r="K272" s="2" t="s">
        <v>31</v>
      </c>
      <c r="L272" s="2" t="s">
        <v>1475</v>
      </c>
      <c r="M272" s="2" t="s">
        <v>637</v>
      </c>
      <c r="N272" s="2" t="s">
        <v>53</v>
      </c>
      <c r="O272" s="2" t="s">
        <v>1476</v>
      </c>
      <c r="P272" s="2" t="s">
        <v>36</v>
      </c>
      <c r="Q272" s="2" t="s">
        <v>46</v>
      </c>
      <c r="R272" s="2">
        <v>15083</v>
      </c>
      <c r="S272" s="2" t="s">
        <v>37</v>
      </c>
      <c r="T272" s="2" t="s">
        <v>37</v>
      </c>
      <c r="U272" s="2" t="s">
        <v>691</v>
      </c>
      <c r="V272" s="3">
        <v>45105</v>
      </c>
      <c r="W272" s="2" t="s">
        <v>48</v>
      </c>
      <c r="X272" s="2" t="str">
        <f t="shared" si="16"/>
        <v>Jirón Cabo Gutarra, Pueblo Libre, Lima, Lima, Perú</v>
      </c>
      <c r="Y272" s="22">
        <v>-12.0820358</v>
      </c>
      <c r="Z272" s="22">
        <v>-77.064561699999999</v>
      </c>
      <c r="AA272" s="33">
        <f t="shared" si="17"/>
        <v>20.21</v>
      </c>
      <c r="AB272" s="2" t="str">
        <f t="shared" si="18"/>
        <v>🔴 Lejos (&gt;20 km)</v>
      </c>
      <c r="AC272" s="2" t="str" cm="1">
        <f t="array" ref="AC272">INDEX(PARADEROS_VALIDOS!$C$2:$C$68,MATCH(MIN(6371*ACOS(COS(RADIANS(Y272))*COS(RADIANS(PARADEROS_VALIDOS!$E$2:$E$68))*COS(RADIANS(PARADEROS_VALIDOS!$F$2:$F$68)-RADIANS(Z272))+SIN(RADIANS(Y272))*SIN(RADIANS(PARADEROS_VALIDOS!$E$2:$E$68)))),6371*ACOS(COS(RADIANS(Y272))*COS(RADIANS(PARADEROS_VALIDOS!$E$2:$E$68))*COS(RADIANS(PARADEROS_VALIDOS!$F$2:$F$68)-RADIANS(Z272))+SIN(RADIANS(Y272))*SIN(RADIANS(PARADEROS_VALIDOS!$E$2:$E$68))),0))</f>
        <v>Universitaria con La Marina</v>
      </c>
      <c r="AD272" s="2" t="str">
        <f>IFERROR(INDEX(PARADEROS_VALIDOS!$A$2:$A$68,MATCH(AC272,PARADEROS_VALIDOS!$C$2:$C$68,0)),"")</f>
        <v>RUTA 9</v>
      </c>
      <c r="AE272" s="33" cm="1">
        <f t="array" ref="AE272">ROUND(MIN(6371*ACOS(COS(RADIANS(Y272))*COS(RADIANS(PARADEROS_VALIDOS!$E$2:$E$68))*COS(RADIANS(PARADEROS_VALIDOS!$F$2:$F$68)-RADIANS(Z272))+SIN(RADIANS(Y272))*SIN(RADIANS(PARADEROS_VALIDOS!$E$2:$E$68)))),2)</f>
        <v>1.91</v>
      </c>
      <c r="AF272" s="2" t="str">
        <f t="shared" si="19"/>
        <v>🟡 Cerca (1-3 km)</v>
      </c>
      <c r="AG272" s="2"/>
      <c r="AH272" s="2"/>
      <c r="AI272" s="51">
        <v>-11.997563</v>
      </c>
      <c r="AJ272" s="51">
        <v>-76.900062000000005</v>
      </c>
      <c r="AK272" s="2" t="str">
        <f>IFERROR(VLOOKUP(I272,tdcargo[],2,FALSE),"DESCONOCIDO")</f>
        <v>STAFF</v>
      </c>
    </row>
    <row r="273" spans="1:37" x14ac:dyDescent="0.35">
      <c r="A273" s="2" t="s">
        <v>1477</v>
      </c>
      <c r="B273" s="2" t="s">
        <v>1478</v>
      </c>
      <c r="C273" s="2" t="s">
        <v>589</v>
      </c>
      <c r="D273" s="2" t="s">
        <v>1479</v>
      </c>
      <c r="E273" s="2">
        <v>25</v>
      </c>
      <c r="F273" s="2" t="s">
        <v>28</v>
      </c>
      <c r="G273" s="2" t="s">
        <v>29</v>
      </c>
      <c r="H273" s="2">
        <v>20510575</v>
      </c>
      <c r="I273" s="2" t="s">
        <v>30</v>
      </c>
      <c r="J273" s="3">
        <v>45537</v>
      </c>
      <c r="K273" s="2" t="s">
        <v>31</v>
      </c>
      <c r="L273" s="2" t="s">
        <v>72</v>
      </c>
      <c r="M273" s="2" t="s">
        <v>73</v>
      </c>
      <c r="N273" s="2" t="s">
        <v>34</v>
      </c>
      <c r="O273" s="2" t="s">
        <v>1480</v>
      </c>
      <c r="P273" s="2" t="s">
        <v>36</v>
      </c>
      <c r="Q273" s="2" t="s">
        <v>1023</v>
      </c>
      <c r="R273" s="2">
        <v>15457</v>
      </c>
      <c r="S273" s="2" t="s">
        <v>37</v>
      </c>
      <c r="T273" s="2" t="s">
        <v>37</v>
      </c>
      <c r="U273" s="2" t="s">
        <v>76</v>
      </c>
      <c r="V273" s="3">
        <v>45537</v>
      </c>
      <c r="W273" s="2" t="s">
        <v>48</v>
      </c>
      <c r="X273" s="2" t="str">
        <f t="shared" si="16"/>
        <v>Avenida Av. Circunvalacion A36A La Capitana La Capitana, Lurigancho, Lima, Lima, Perú</v>
      </c>
      <c r="Y273" s="22">
        <v>-12.002741200000001</v>
      </c>
      <c r="Z273" s="22">
        <v>-76.910712700000005</v>
      </c>
      <c r="AA273" s="33">
        <f t="shared" si="17"/>
        <v>1.29</v>
      </c>
      <c r="AB273" s="2" t="str">
        <f t="shared" si="18"/>
        <v>🟢 Muy Cerca (0-5 km)</v>
      </c>
      <c r="AC273" s="2" t="str" cm="1">
        <f t="array" ref="AC273">INDEX(PARADEROS_VALIDOS!$C$2:$C$68,MATCH(MIN(6371*ACOS(COS(RADIANS(Y273))*COS(RADIANS(PARADEROS_VALIDOS!$E$2:$E$68))*COS(RADIANS(PARADEROS_VALIDOS!$F$2:$F$68)-RADIANS(Z273))+SIN(RADIANS(Y273))*SIN(RADIANS(PARADEROS_VALIDOS!$E$2:$E$68)))),6371*ACOS(COS(RADIANS(Y273))*COS(RADIANS(PARADEROS_VALIDOS!$E$2:$E$68))*COS(RADIANS(PARADEROS_VALIDOS!$F$2:$F$68)-RADIANS(Z273))+SIN(RADIANS(Y273))*SIN(RADIANS(PARADEROS_VALIDOS!$E$2:$E$68))),0))</f>
        <v>Tottus Huachipa</v>
      </c>
      <c r="AD273" s="2" t="str">
        <f>IFERROR(INDEX(PARADEROS_VALIDOS!$A$2:$A$68,MATCH(AC273,PARADEROS_VALIDOS!$C$2:$C$68,0)),"")</f>
        <v>RUTA 1</v>
      </c>
      <c r="AE273" s="33" cm="1">
        <f t="array" ref="AE273">ROUND(MIN(6371*ACOS(COS(RADIANS(Y273))*COS(RADIANS(PARADEROS_VALIDOS!$E$2:$E$68))*COS(RADIANS(PARADEROS_VALIDOS!$F$2:$F$68)-RADIANS(Z273))+SIN(RADIANS(Y273))*SIN(RADIANS(PARADEROS_VALIDOS!$E$2:$E$68)))),2)</f>
        <v>1.1499999999999999</v>
      </c>
      <c r="AF273" s="2" t="str">
        <f t="shared" si="19"/>
        <v>🟡 Cerca (1-3 km)</v>
      </c>
      <c r="AG273" s="2"/>
      <c r="AH273" s="2"/>
      <c r="AI273" s="51">
        <v>-11.997563</v>
      </c>
      <c r="AJ273" s="51">
        <v>-76.900062000000005</v>
      </c>
      <c r="AK273" s="2" t="str">
        <f>IFERROR(VLOOKUP(I273,tdcargo[],2,FALSE),"DESCONOCIDO")</f>
        <v>OPERARIO</v>
      </c>
    </row>
    <row r="274" spans="1:37" x14ac:dyDescent="0.35">
      <c r="A274" s="2" t="s">
        <v>1481</v>
      </c>
      <c r="B274" s="2" t="s">
        <v>1482</v>
      </c>
      <c r="C274" s="2" t="s">
        <v>265</v>
      </c>
      <c r="D274" s="2" t="s">
        <v>273</v>
      </c>
      <c r="E274" s="2">
        <v>50</v>
      </c>
      <c r="F274" s="2" t="s">
        <v>28</v>
      </c>
      <c r="G274" s="2" t="s">
        <v>29</v>
      </c>
      <c r="H274" s="2">
        <v>20515035</v>
      </c>
      <c r="I274" s="2" t="s">
        <v>30</v>
      </c>
      <c r="J274" s="3">
        <v>46041</v>
      </c>
      <c r="K274" s="2" t="s">
        <v>31</v>
      </c>
      <c r="L274" s="2" t="s">
        <v>132</v>
      </c>
      <c r="M274" s="2" t="s">
        <v>133</v>
      </c>
      <c r="N274" s="2" t="s">
        <v>82</v>
      </c>
      <c r="O274" s="2" t="s">
        <v>1483</v>
      </c>
      <c r="P274" s="2" t="s">
        <v>88</v>
      </c>
      <c r="Q274" s="2" t="s">
        <v>1484</v>
      </c>
      <c r="R274" s="2">
        <v>15004</v>
      </c>
      <c r="S274" s="2" t="s">
        <v>37</v>
      </c>
      <c r="T274" s="2" t="s">
        <v>37</v>
      </c>
      <c r="U274" s="2" t="s">
        <v>57</v>
      </c>
      <c r="V274" s="3">
        <v>46041</v>
      </c>
      <c r="W274" s="2" t="s">
        <v>135</v>
      </c>
      <c r="X274" s="2" t="str">
        <f t="shared" si="16"/>
        <v>Calle Corazon De Jesus, A.H. Asentamiento Humano GLORIA GRANDE, Ate, Lima, Lima, Perú</v>
      </c>
      <c r="Y274" s="22">
        <v>-12.0220684</v>
      </c>
      <c r="Z274" s="22">
        <v>-76.839121500000005</v>
      </c>
      <c r="AA274" s="33">
        <f t="shared" si="17"/>
        <v>7.17</v>
      </c>
      <c r="AB274" s="2" t="str">
        <f t="shared" si="18"/>
        <v>🟡 Cerca (5-10 km)</v>
      </c>
      <c r="AC274" s="2" t="str" cm="1">
        <f t="array" ref="AC274">INDEX(PARADEROS_VALIDOS!$C$2:$C$68,MATCH(MIN(6371*ACOS(COS(RADIANS(Y274))*COS(RADIANS(PARADEROS_VALIDOS!$E$2:$E$68))*COS(RADIANS(PARADEROS_VALIDOS!$F$2:$F$68)-RADIANS(Z274))+SIN(RADIANS(Y274))*SIN(RADIANS(PARADEROS_VALIDOS!$E$2:$E$68)))),6371*ACOS(COS(RADIANS(Y274))*COS(RADIANS(PARADEROS_VALIDOS!$E$2:$E$68))*COS(RADIANS(PARADEROS_VALIDOS!$F$2:$F$68)-RADIANS(Z274))+SIN(RADIANS(Y274))*SIN(RADIANS(PARADEROS_VALIDOS!$E$2:$E$68))),0))</f>
        <v>Entrada Horacio</v>
      </c>
      <c r="AD274" s="2" t="str">
        <f>IFERROR(INDEX(PARADEROS_VALIDOS!$A$2:$A$68,MATCH(AC274,PARADEROS_VALIDOS!$C$2:$C$68,0)),"")</f>
        <v>RUTA 5B</v>
      </c>
      <c r="AE274" s="33" cm="1">
        <f t="array" ref="AE274">ROUND(MIN(6371*ACOS(COS(RADIANS(Y274))*COS(RADIANS(PARADEROS_VALIDOS!$E$2:$E$68))*COS(RADIANS(PARADEROS_VALIDOS!$F$2:$F$68)-RADIANS(Z274))+SIN(RADIANS(Y274))*SIN(RADIANS(PARADEROS_VALIDOS!$E$2:$E$68)))),2)</f>
        <v>1.56</v>
      </c>
      <c r="AF274" s="2" t="str">
        <f t="shared" si="19"/>
        <v>🟡 Cerca (1-3 km)</v>
      </c>
      <c r="AG274" s="2"/>
      <c r="AH274" s="2"/>
      <c r="AI274" s="51">
        <v>-11.997563</v>
      </c>
      <c r="AJ274" s="51">
        <v>-76.900062000000005</v>
      </c>
      <c r="AK274" s="2" t="str">
        <f>IFERROR(VLOOKUP(I274,tdcargo[],2,FALSE),"DESCONOCIDO")</f>
        <v>OPERARIO</v>
      </c>
    </row>
    <row r="275" spans="1:37" x14ac:dyDescent="0.35">
      <c r="A275" s="2" t="s">
        <v>1485</v>
      </c>
      <c r="B275" s="2" t="s">
        <v>1486</v>
      </c>
      <c r="C275" s="2" t="s">
        <v>314</v>
      </c>
      <c r="D275" s="2" t="s">
        <v>355</v>
      </c>
      <c r="E275" s="2">
        <v>29</v>
      </c>
      <c r="F275" s="2" t="s">
        <v>28</v>
      </c>
      <c r="G275" s="2" t="s">
        <v>29</v>
      </c>
      <c r="H275" s="2">
        <v>20508870</v>
      </c>
      <c r="I275" s="2" t="s">
        <v>30</v>
      </c>
      <c r="J275" s="3">
        <v>46100</v>
      </c>
      <c r="K275" s="2" t="s">
        <v>31</v>
      </c>
      <c r="L275" s="2" t="s">
        <v>108</v>
      </c>
      <c r="M275" s="2" t="s">
        <v>109</v>
      </c>
      <c r="N275" s="2" t="s">
        <v>148</v>
      </c>
      <c r="O275" s="2" t="s">
        <v>149</v>
      </c>
      <c r="P275" s="2" t="s">
        <v>36</v>
      </c>
      <c r="Q275" s="2" t="s">
        <v>1487</v>
      </c>
      <c r="R275" s="2">
        <v>15457</v>
      </c>
      <c r="S275" s="2" t="s">
        <v>37</v>
      </c>
      <c r="T275" s="2" t="s">
        <v>37</v>
      </c>
      <c r="U275" s="2" t="s">
        <v>76</v>
      </c>
      <c r="V275" s="3">
        <v>46100</v>
      </c>
      <c r="W275" s="2" t="s">
        <v>135</v>
      </c>
      <c r="X275" s="2" t="str">
        <f t="shared" si="16"/>
        <v>Pasaje Los Jazmines CAJAMARQUILLA, Lurigancho, Lima, Lima, Perú</v>
      </c>
      <c r="Y275" s="22">
        <v>-11.984105100000001</v>
      </c>
      <c r="Z275" s="22">
        <v>-76.9183594</v>
      </c>
      <c r="AA275" s="33">
        <f t="shared" si="17"/>
        <v>2.4900000000000002</v>
      </c>
      <c r="AB275" s="2" t="str">
        <f t="shared" si="18"/>
        <v>🟢 Muy Cerca (0-5 km)</v>
      </c>
      <c r="AC275" s="2" t="str" cm="1">
        <f t="array" ref="AC275">INDEX(PARADEROS_VALIDOS!$C$2:$C$68,MATCH(MIN(6371*ACOS(COS(RADIANS(Y275))*COS(RADIANS(PARADEROS_VALIDOS!$E$2:$E$68))*COS(RADIANS(PARADEROS_VALIDOS!$F$2:$F$68)-RADIANS(Z275))+SIN(RADIANS(Y275))*SIN(RADIANS(PARADEROS_VALIDOS!$E$2:$E$68)))),6371*ACOS(COS(RADIANS(Y275))*COS(RADIANS(PARADEROS_VALIDOS!$E$2:$E$68))*COS(RADIANS(PARADEROS_VALIDOS!$F$2:$F$68)-RADIANS(Z275))+SIN(RADIANS(Y275))*SIN(RADIANS(PARADEROS_VALIDOS!$E$2:$E$68))),0))</f>
        <v>Paradero Arco San Antonio</v>
      </c>
      <c r="AD275" s="2" t="str">
        <f>IFERROR(INDEX(PARADEROS_VALIDOS!$A$2:$A$68,MATCH(AC275,PARADEROS_VALIDOS!$C$2:$C$68,0)),"")</f>
        <v>RUTA 2</v>
      </c>
      <c r="AE275" s="33" cm="1">
        <f t="array" ref="AE275">ROUND(MIN(6371*ACOS(COS(RADIANS(Y275))*COS(RADIANS(PARADEROS_VALIDOS!$E$2:$E$68))*COS(RADIANS(PARADEROS_VALIDOS!$F$2:$F$68)-RADIANS(Z275))+SIN(RADIANS(Y275))*SIN(RADIANS(PARADEROS_VALIDOS!$E$2:$E$68)))),2)</f>
        <v>1.96</v>
      </c>
      <c r="AF275" s="2" t="str">
        <f t="shared" si="19"/>
        <v>🟡 Cerca (1-3 km)</v>
      </c>
      <c r="AG275" s="2"/>
      <c r="AH275" s="2"/>
      <c r="AI275" s="51">
        <v>-11.997563</v>
      </c>
      <c r="AJ275" s="51">
        <v>-76.900062000000005</v>
      </c>
      <c r="AK275" s="2" t="str">
        <f>IFERROR(VLOOKUP(I275,tdcargo[],2,FALSE),"DESCONOCIDO")</f>
        <v>OPERARIO</v>
      </c>
    </row>
    <row r="276" spans="1:37" x14ac:dyDescent="0.35">
      <c r="A276" s="2" t="s">
        <v>1488</v>
      </c>
      <c r="B276" s="2" t="s">
        <v>1489</v>
      </c>
      <c r="C276" s="2" t="s">
        <v>1490</v>
      </c>
      <c r="D276" s="2" t="s">
        <v>709</v>
      </c>
      <c r="E276" s="2">
        <v>30</v>
      </c>
      <c r="F276" s="2" t="s">
        <v>28</v>
      </c>
      <c r="G276" s="2" t="s">
        <v>29</v>
      </c>
      <c r="H276" s="2">
        <v>20508902</v>
      </c>
      <c r="I276" s="2" t="s">
        <v>30</v>
      </c>
      <c r="J276" s="3">
        <v>44998</v>
      </c>
      <c r="K276" s="2" t="s">
        <v>31</v>
      </c>
      <c r="L276" s="2" t="s">
        <v>32</v>
      </c>
      <c r="M276" s="2" t="s">
        <v>33</v>
      </c>
      <c r="N276" s="2" t="s">
        <v>82</v>
      </c>
      <c r="O276" s="2" t="s">
        <v>1491</v>
      </c>
      <c r="P276" s="2" t="s">
        <v>186</v>
      </c>
      <c r="Q276" s="2" t="s">
        <v>196</v>
      </c>
      <c r="R276" s="2">
        <v>15004</v>
      </c>
      <c r="S276" s="2" t="s">
        <v>37</v>
      </c>
      <c r="T276" s="2" t="s">
        <v>37</v>
      </c>
      <c r="U276" s="2" t="s">
        <v>57</v>
      </c>
      <c r="V276" s="3">
        <v>44998</v>
      </c>
      <c r="W276" s="2" t="s">
        <v>48</v>
      </c>
      <c r="X276" s="2" t="str">
        <f t="shared" si="16"/>
        <v>Calle Urbanizacion San Antonio, Urb. Urbanización San Antonio, Ate, Lima, Lima, Perú</v>
      </c>
      <c r="Y276" s="22">
        <v>-12.0614943</v>
      </c>
      <c r="Z276" s="22">
        <v>-77.123029700000004</v>
      </c>
      <c r="AA276" s="33">
        <f t="shared" si="17"/>
        <v>25.27</v>
      </c>
      <c r="AB276" s="2" t="str">
        <f t="shared" si="18"/>
        <v>🔴 Lejos (&gt;20 km)</v>
      </c>
      <c r="AC276" s="2" t="str" cm="1">
        <f t="array" ref="AC276">INDEX(PARADEROS_VALIDOS!$C$2:$C$68,MATCH(MIN(6371*ACOS(COS(RADIANS(Y276))*COS(RADIANS(PARADEROS_VALIDOS!$E$2:$E$68))*COS(RADIANS(PARADEROS_VALIDOS!$F$2:$F$68)-RADIANS(Z276))+SIN(RADIANS(Y276))*SIN(RADIANS(PARADEROS_VALIDOS!$E$2:$E$68)))),6371*ACOS(COS(RADIANS(Y276))*COS(RADIANS(PARADEROS_VALIDOS!$E$2:$E$68))*COS(RADIANS(PARADEROS_VALIDOS!$F$2:$F$68)-RADIANS(Z276))+SIN(RADIANS(Y276))*SIN(RADIANS(PARADEROS_VALIDOS!$E$2:$E$68))),0))</f>
        <v>Paradero Sta. Rosa</v>
      </c>
      <c r="AD276" s="2" t="str">
        <f>IFERROR(INDEX(PARADEROS_VALIDOS!$A$2:$A$68,MATCH(AC276,PARADEROS_VALIDOS!$C$2:$C$68,0)),"")</f>
        <v>RUTA 3</v>
      </c>
      <c r="AE276" s="33" cm="1">
        <f t="array" ref="AE276">ROUND(MIN(6371*ACOS(COS(RADIANS(Y276))*COS(RADIANS(PARADEROS_VALIDOS!$E$2:$E$68))*COS(RADIANS(PARADEROS_VALIDOS!$F$2:$F$68)-RADIANS(Z276))+SIN(RADIANS(Y276))*SIN(RADIANS(PARADEROS_VALIDOS!$E$2:$E$68)))),2)</f>
        <v>1.33</v>
      </c>
      <c r="AF276" s="2" t="str">
        <f t="shared" si="19"/>
        <v>🟡 Cerca (1-3 km)</v>
      </c>
      <c r="AG276" s="2"/>
      <c r="AH276" s="2"/>
      <c r="AI276" s="51">
        <v>-11.997563</v>
      </c>
      <c r="AJ276" s="51">
        <v>-76.900062000000005</v>
      </c>
      <c r="AK276" s="2" t="str">
        <f>IFERROR(VLOOKUP(I276,tdcargo[],2,FALSE),"DESCONOCIDO")</f>
        <v>OPERARIO</v>
      </c>
    </row>
    <row r="277" spans="1:37" x14ac:dyDescent="0.35">
      <c r="A277" s="2" t="s">
        <v>1492</v>
      </c>
      <c r="B277" s="2" t="s">
        <v>1493</v>
      </c>
      <c r="C277" s="2" t="s">
        <v>1000</v>
      </c>
      <c r="D277" s="2" t="s">
        <v>1494</v>
      </c>
      <c r="E277" s="2">
        <v>44</v>
      </c>
      <c r="F277" s="2" t="s">
        <v>28</v>
      </c>
      <c r="G277" s="2" t="s">
        <v>29</v>
      </c>
      <c r="H277" s="2">
        <v>20508943</v>
      </c>
      <c r="I277" s="2" t="s">
        <v>62</v>
      </c>
      <c r="J277" s="3">
        <v>43545</v>
      </c>
      <c r="K277" s="2" t="s">
        <v>31</v>
      </c>
      <c r="L277" s="2" t="s">
        <v>32</v>
      </c>
      <c r="M277" s="2" t="s">
        <v>33</v>
      </c>
      <c r="N277" s="2" t="s">
        <v>34</v>
      </c>
      <c r="O277" s="2" t="s">
        <v>1495</v>
      </c>
      <c r="P277" s="2" t="s">
        <v>36</v>
      </c>
      <c r="Q277" s="2" t="s">
        <v>46</v>
      </c>
      <c r="R277" s="2">
        <v>15004</v>
      </c>
      <c r="S277" s="2" t="s">
        <v>37</v>
      </c>
      <c r="T277" s="2" t="s">
        <v>37</v>
      </c>
      <c r="U277" s="2" t="s">
        <v>57</v>
      </c>
      <c r="V277" s="3">
        <v>43545</v>
      </c>
      <c r="W277" s="2" t="s">
        <v>48</v>
      </c>
      <c r="X277" s="2" t="str">
        <f t="shared" si="16"/>
        <v>Avenida Ucv 109 Lt 57 Zona G Pj Huaycan, Ate, Lima, Lima, Perú</v>
      </c>
      <c r="Y277" s="22">
        <v>-12.0100449</v>
      </c>
      <c r="Z277" s="22">
        <v>-76.827822800000007</v>
      </c>
      <c r="AA277" s="33">
        <f t="shared" si="17"/>
        <v>7.98</v>
      </c>
      <c r="AB277" s="2" t="str">
        <f t="shared" si="18"/>
        <v>🟡 Cerca (5-10 km)</v>
      </c>
      <c r="AC277" s="2" t="str" cm="1">
        <f t="array" ref="AC277">INDEX(PARADEROS_VALIDOS!$C$2:$C$68,MATCH(MIN(6371*ACOS(COS(RADIANS(Y277))*COS(RADIANS(PARADEROS_VALIDOS!$E$2:$E$68))*COS(RADIANS(PARADEROS_VALIDOS!$F$2:$F$68)-RADIANS(Z277))+SIN(RADIANS(Y277))*SIN(RADIANS(PARADEROS_VALIDOS!$E$2:$E$68)))),6371*ACOS(COS(RADIANS(Y277))*COS(RADIANS(PARADEROS_VALIDOS!$E$2:$E$68))*COS(RADIANS(PARADEROS_VALIDOS!$F$2:$F$68)-RADIANS(Z277))+SIN(RADIANS(Y277))*SIN(RADIANS(PARADEROS_VALIDOS!$E$2:$E$68))),0))</f>
        <v>Entrada Horacio</v>
      </c>
      <c r="AD277" s="2" t="str">
        <f>IFERROR(INDEX(PARADEROS_VALIDOS!$A$2:$A$68,MATCH(AC277,PARADEROS_VALIDOS!$C$2:$C$68,0)),"")</f>
        <v>RUTA 5B</v>
      </c>
      <c r="AE277" s="33" cm="1">
        <f t="array" ref="AE277">ROUND(MIN(6371*ACOS(COS(RADIANS(Y277))*COS(RADIANS(PARADEROS_VALIDOS!$E$2:$E$68))*COS(RADIANS(PARADEROS_VALIDOS!$F$2:$F$68)-RADIANS(Z277))+SIN(RADIANS(Y277))*SIN(RADIANS(PARADEROS_VALIDOS!$E$2:$E$68)))),2)</f>
        <v>1.56</v>
      </c>
      <c r="AF277" s="2" t="str">
        <f t="shared" si="19"/>
        <v>🟡 Cerca (1-3 km)</v>
      </c>
      <c r="AG277" s="2"/>
      <c r="AH277" s="2"/>
      <c r="AI277" s="51">
        <v>-11.997563</v>
      </c>
      <c r="AJ277" s="51">
        <v>-76.900062000000005</v>
      </c>
      <c r="AK277" s="2" t="str">
        <f>IFERROR(VLOOKUP(I277,tdcargo[],2,FALSE),"DESCONOCIDO")</f>
        <v>OPERARIO</v>
      </c>
    </row>
    <row r="278" spans="1:37" x14ac:dyDescent="0.35">
      <c r="A278" s="2" t="s">
        <v>1496</v>
      </c>
      <c r="B278" s="2" t="s">
        <v>1497</v>
      </c>
      <c r="C278" s="2" t="s">
        <v>1498</v>
      </c>
      <c r="D278" s="2" t="s">
        <v>395</v>
      </c>
      <c r="E278" s="2">
        <v>32</v>
      </c>
      <c r="F278" s="2" t="s">
        <v>28</v>
      </c>
      <c r="G278" s="2" t="s">
        <v>29</v>
      </c>
      <c r="H278" s="2">
        <v>20512087</v>
      </c>
      <c r="I278" s="2" t="s">
        <v>62</v>
      </c>
      <c r="J278" s="3">
        <v>45103</v>
      </c>
      <c r="K278" s="2" t="s">
        <v>31</v>
      </c>
      <c r="L278" s="2" t="s">
        <v>132</v>
      </c>
      <c r="M278" s="2" t="s">
        <v>133</v>
      </c>
      <c r="N278" s="2" t="s">
        <v>34</v>
      </c>
      <c r="O278" s="2" t="s">
        <v>1499</v>
      </c>
      <c r="P278" s="2" t="s">
        <v>186</v>
      </c>
      <c r="Q278" s="2" t="s">
        <v>1499</v>
      </c>
      <c r="R278" s="2">
        <v>15401</v>
      </c>
      <c r="S278" s="2" t="s">
        <v>37</v>
      </c>
      <c r="T278" s="2" t="s">
        <v>37</v>
      </c>
      <c r="U278" s="2" t="s">
        <v>38</v>
      </c>
      <c r="V278" s="3">
        <v>45103</v>
      </c>
      <c r="W278" s="2" t="s">
        <v>48</v>
      </c>
      <c r="X278" s="2" t="str">
        <f t="shared" si="16"/>
        <v>Avenida Azcarrunz, Urb. Urbanización Azcarrunz, San Juan De Lurigancho, Lima, Lima, Perú</v>
      </c>
      <c r="Y278" s="22">
        <v>-12.020397600000001</v>
      </c>
      <c r="Z278" s="22">
        <v>-77.000249400000001</v>
      </c>
      <c r="AA278" s="33">
        <f t="shared" si="17"/>
        <v>11.19</v>
      </c>
      <c r="AB278" s="2" t="str">
        <f t="shared" si="18"/>
        <v>🟠 Moderada (10-20 km)</v>
      </c>
      <c r="AC278" s="2" t="str" cm="1">
        <f t="array" ref="AC278">INDEX(PARADEROS_VALIDOS!$C$2:$C$68,MATCH(MIN(6371*ACOS(COS(RADIANS(Y278))*COS(RADIANS(PARADEROS_VALIDOS!$E$2:$E$68))*COS(RADIANS(PARADEROS_VALIDOS!$F$2:$F$68)-RADIANS(Z278))+SIN(RADIANS(Y278))*SIN(RADIANS(PARADEROS_VALIDOS!$E$2:$E$68)))),6371*ACOS(COS(RADIANS(Y278))*COS(RADIANS(PARADEROS_VALIDOS!$E$2:$E$68))*COS(RADIANS(PARADEROS_VALIDOS!$F$2:$F$68)-RADIANS(Z278))+SIN(RADIANS(Y278))*SIN(RADIANS(PARADEROS_VALIDOS!$E$2:$E$68))),0))</f>
        <v>Paradero Celima</v>
      </c>
      <c r="AD278" s="2" t="str">
        <f>IFERROR(INDEX(PARADEROS_VALIDOS!$A$2:$A$68,MATCH(AC278,PARADEROS_VALIDOS!$C$2:$C$68,0)),"")</f>
        <v>RUTA 6C</v>
      </c>
      <c r="AE278" s="33" cm="1">
        <f t="array" ref="AE278">ROUND(MIN(6371*ACOS(COS(RADIANS(Y278))*COS(RADIANS(PARADEROS_VALIDOS!$E$2:$E$68))*COS(RADIANS(PARADEROS_VALIDOS!$F$2:$F$68)-RADIANS(Z278))+SIN(RADIANS(Y278))*SIN(RADIANS(PARADEROS_VALIDOS!$E$2:$E$68)))),2)</f>
        <v>0.8</v>
      </c>
      <c r="AF278" s="2" t="str">
        <f t="shared" si="19"/>
        <v>🟢 Muy Cerca (0-1 km)</v>
      </c>
      <c r="AG278" s="2"/>
      <c r="AH278" s="2"/>
      <c r="AI278" s="51">
        <v>-11.997563</v>
      </c>
      <c r="AJ278" s="51">
        <v>-76.900062000000005</v>
      </c>
      <c r="AK278" s="2" t="str">
        <f>IFERROR(VLOOKUP(I278,tdcargo[],2,FALSE),"DESCONOCIDO")</f>
        <v>OPERARIO</v>
      </c>
    </row>
    <row r="279" spans="1:37" x14ac:dyDescent="0.35">
      <c r="A279" s="2" t="s">
        <v>1500</v>
      </c>
      <c r="B279" s="2" t="s">
        <v>1501</v>
      </c>
      <c r="C279" s="2" t="s">
        <v>1502</v>
      </c>
      <c r="D279" s="2" t="s">
        <v>1503</v>
      </c>
      <c r="E279" s="2">
        <v>32</v>
      </c>
      <c r="F279" s="2" t="s">
        <v>28</v>
      </c>
      <c r="G279" s="2" t="s">
        <v>29</v>
      </c>
      <c r="H279" s="2">
        <v>20508730</v>
      </c>
      <c r="I279" s="2" t="s">
        <v>123</v>
      </c>
      <c r="J279" s="3">
        <v>45432</v>
      </c>
      <c r="K279" s="2" t="s">
        <v>31</v>
      </c>
      <c r="L279" s="2" t="s">
        <v>124</v>
      </c>
      <c r="M279" s="2" t="s">
        <v>125</v>
      </c>
      <c r="N279" s="2" t="s">
        <v>34</v>
      </c>
      <c r="O279" s="2" t="s">
        <v>1504</v>
      </c>
      <c r="P279" s="2" t="s">
        <v>36</v>
      </c>
      <c r="Q279" s="2" t="s">
        <v>1504</v>
      </c>
      <c r="R279" s="2">
        <v>15803</v>
      </c>
      <c r="S279" s="2" t="s">
        <v>37</v>
      </c>
      <c r="T279" s="2" t="s">
        <v>37</v>
      </c>
      <c r="U279" s="2" t="s">
        <v>1505</v>
      </c>
      <c r="V279" s="3">
        <v>45432</v>
      </c>
      <c r="W279" s="2" t="s">
        <v>48</v>
      </c>
      <c r="X279" s="2" t="str">
        <f t="shared" si="16"/>
        <v>Avenida La Mar La Mar, Villa Maria Del Triunfo, Lima, Lima, Perú</v>
      </c>
      <c r="Y279" s="22">
        <v>-12.1548157</v>
      </c>
      <c r="Z279" s="22">
        <v>-76.952260100000004</v>
      </c>
      <c r="AA279" s="33">
        <f t="shared" si="17"/>
        <v>18.38</v>
      </c>
      <c r="AB279" s="2" t="str">
        <f t="shared" si="18"/>
        <v>🟠 Moderada (10-20 km)</v>
      </c>
      <c r="AC279" s="2" t="str" cm="1">
        <f t="array" ref="AC279">INDEX(PARADEROS_VALIDOS!$C$2:$C$68,MATCH(MIN(6371*ACOS(COS(RADIANS(Y279))*COS(RADIANS(PARADEROS_VALIDOS!$E$2:$E$68))*COS(RADIANS(PARADEROS_VALIDOS!$F$2:$F$68)-RADIANS(Z279))+SIN(RADIANS(Y279))*SIN(RADIANS(PARADEROS_VALIDOS!$E$2:$E$68)))),6371*ACOS(COS(RADIANS(Y279))*COS(RADIANS(PARADEROS_VALIDOS!$E$2:$E$68))*COS(RADIANS(PARADEROS_VALIDOS!$F$2:$F$68)-RADIANS(Z279))+SIN(RADIANS(Y279))*SIN(RADIANS(PARADEROS_VALIDOS!$E$2:$E$68))),0))</f>
        <v>Paradero San Juan</v>
      </c>
      <c r="AD279" s="2" t="str">
        <f>IFERROR(INDEX(PARADEROS_VALIDOS!$A$2:$A$68,MATCH(AC279,PARADEROS_VALIDOS!$C$2:$C$68,0)),"")</f>
        <v>RUTA 5B</v>
      </c>
      <c r="AE279" s="33" cm="1">
        <f t="array" ref="AE279">ROUND(MIN(6371*ACOS(COS(RADIANS(Y279))*COS(RADIANS(PARADEROS_VALIDOS!$E$2:$E$68))*COS(RADIANS(PARADEROS_VALIDOS!$F$2:$F$68)-RADIANS(Z279))+SIN(RADIANS(Y279))*SIN(RADIANS(PARADEROS_VALIDOS!$E$2:$E$68)))),2)</f>
        <v>2.5</v>
      </c>
      <c r="AF279" s="2" t="str">
        <f t="shared" si="19"/>
        <v>🟡 Cerca (1-3 km)</v>
      </c>
      <c r="AG279" s="2"/>
      <c r="AH279" s="2"/>
      <c r="AI279" s="51">
        <v>-11.997563</v>
      </c>
      <c r="AJ279" s="51">
        <v>-76.900062000000005</v>
      </c>
      <c r="AK279" s="2" t="str">
        <f>IFERROR(VLOOKUP(I279,tdcargo[],2,FALSE),"DESCONOCIDO")</f>
        <v>STAFF</v>
      </c>
    </row>
    <row r="280" spans="1:37" x14ac:dyDescent="0.35">
      <c r="A280" s="2" t="s">
        <v>1506</v>
      </c>
      <c r="B280" s="2" t="s">
        <v>1507</v>
      </c>
      <c r="C280" s="2" t="s">
        <v>1508</v>
      </c>
      <c r="D280" s="2" t="s">
        <v>1509</v>
      </c>
      <c r="E280" s="2">
        <v>22</v>
      </c>
      <c r="F280" s="2" t="s">
        <v>28</v>
      </c>
      <c r="G280" s="2" t="s">
        <v>29</v>
      </c>
      <c r="H280" s="2">
        <v>20508813</v>
      </c>
      <c r="I280" s="2" t="s">
        <v>30</v>
      </c>
      <c r="J280" s="3">
        <v>46097</v>
      </c>
      <c r="K280" s="2" t="s">
        <v>31</v>
      </c>
      <c r="L280" s="2" t="s">
        <v>164</v>
      </c>
      <c r="M280" s="2" t="s">
        <v>165</v>
      </c>
      <c r="N280" s="2" t="s">
        <v>34</v>
      </c>
      <c r="O280" s="2" t="s">
        <v>1510</v>
      </c>
      <c r="P280" s="2" t="s">
        <v>36</v>
      </c>
      <c r="Q280" s="2" t="s">
        <v>1511</v>
      </c>
      <c r="R280" s="2">
        <v>15004</v>
      </c>
      <c r="S280" s="2" t="s">
        <v>37</v>
      </c>
      <c r="T280" s="2" t="s">
        <v>37</v>
      </c>
      <c r="U280" s="2" t="s">
        <v>57</v>
      </c>
      <c r="V280" s="3">
        <v>46097</v>
      </c>
      <c r="W280" s="2" t="s">
        <v>135</v>
      </c>
      <c r="X280" s="2" t="str">
        <f t="shared" si="16"/>
        <v>Avenida Primavera PRIMAVERA, Ate, Lima, Lima, Perú</v>
      </c>
      <c r="Y280" s="22">
        <v>-12.019504400000001</v>
      </c>
      <c r="Z280" s="22">
        <v>-76.966660200000007</v>
      </c>
      <c r="AA280" s="33">
        <f t="shared" si="17"/>
        <v>7.64</v>
      </c>
      <c r="AB280" s="2" t="str">
        <f t="shared" si="18"/>
        <v>🟡 Cerca (5-10 km)</v>
      </c>
      <c r="AC280" s="2" t="str" cm="1">
        <f t="array" ref="AC280">INDEX(PARADEROS_VALIDOS!$C$2:$C$68,MATCH(MIN(6371*ACOS(COS(RADIANS(Y280))*COS(RADIANS(PARADEROS_VALIDOS!$E$2:$E$68))*COS(RADIANS(PARADEROS_VALIDOS!$F$2:$F$68)-RADIANS(Z280))+SIN(RADIANS(Y280))*SIN(RADIANS(PARADEROS_VALIDOS!$E$2:$E$68)))),6371*ACOS(COS(RADIANS(Y280))*COS(RADIANS(PARADEROS_VALIDOS!$E$2:$E$68))*COS(RADIANS(PARADEROS_VALIDOS!$F$2:$F$68)-RADIANS(Z280))+SIN(RADIANS(Y280))*SIN(RADIANS(PARADEROS_VALIDOS!$E$2:$E$68))),0))</f>
        <v>Paradero Tottus Campoy</v>
      </c>
      <c r="AD280" s="2" t="str">
        <f>IFERROR(INDEX(PARADEROS_VALIDOS!$A$2:$A$68,MATCH(AC280,PARADEROS_VALIDOS!$C$2:$C$68,0)),"")</f>
        <v>RUTA 6C</v>
      </c>
      <c r="AE280" s="33" cm="1">
        <f t="array" ref="AE280">ROUND(MIN(6371*ACOS(COS(RADIANS(Y280))*COS(RADIANS(PARADEROS_VALIDOS!$E$2:$E$68))*COS(RADIANS(PARADEROS_VALIDOS!$F$2:$F$68)-RADIANS(Z280))+SIN(RADIANS(Y280))*SIN(RADIANS(PARADEROS_VALIDOS!$E$2:$E$68)))),2)</f>
        <v>0.87</v>
      </c>
      <c r="AF280" s="2" t="str">
        <f t="shared" si="19"/>
        <v>🟢 Muy Cerca (0-1 km)</v>
      </c>
      <c r="AG280" s="2"/>
      <c r="AH280" s="2"/>
      <c r="AI280" s="51">
        <v>-11.997563</v>
      </c>
      <c r="AJ280" s="51">
        <v>-76.900062000000005</v>
      </c>
      <c r="AK280" s="2" t="str">
        <f>IFERROR(VLOOKUP(I280,tdcargo[],2,FALSE),"DESCONOCIDO")</f>
        <v>OPERARIO</v>
      </c>
    </row>
    <row r="281" spans="1:37" x14ac:dyDescent="0.35">
      <c r="A281" s="2" t="s">
        <v>1512</v>
      </c>
      <c r="B281" s="2" t="s">
        <v>1513</v>
      </c>
      <c r="C281" s="2" t="s">
        <v>1514</v>
      </c>
      <c r="D281" s="2" t="s">
        <v>451</v>
      </c>
      <c r="E281" s="2">
        <v>44</v>
      </c>
      <c r="F281" s="2" t="s">
        <v>28</v>
      </c>
      <c r="G281" s="2" t="s">
        <v>29</v>
      </c>
      <c r="H281" s="2">
        <v>20509011</v>
      </c>
      <c r="I281" s="2" t="s">
        <v>372</v>
      </c>
      <c r="J281" s="3">
        <v>43388</v>
      </c>
      <c r="K281" s="2" t="s">
        <v>31</v>
      </c>
      <c r="L281" s="2" t="s">
        <v>156</v>
      </c>
      <c r="M281" s="2" t="s">
        <v>157</v>
      </c>
      <c r="N281" s="2" t="s">
        <v>36</v>
      </c>
      <c r="O281" s="2" t="s">
        <v>1515</v>
      </c>
      <c r="P281" s="2" t="s">
        <v>66</v>
      </c>
      <c r="Q281" s="2" t="s">
        <v>1515</v>
      </c>
      <c r="R281" s="2">
        <v>15113</v>
      </c>
      <c r="S281" s="2" t="s">
        <v>37</v>
      </c>
      <c r="T281" s="2" t="s">
        <v>37</v>
      </c>
      <c r="U281" s="2" t="s">
        <v>47</v>
      </c>
      <c r="V281" s="3">
        <v>43388</v>
      </c>
      <c r="W281" s="2" t="s">
        <v>48</v>
      </c>
      <c r="X281" s="2" t="str">
        <f t="shared" si="16"/>
        <v>Santa Juana De Copacabana, U.V. Unidad Vecinal Santa Juana De Copacabana, Puente Piedra, Lima, Lima, Perú</v>
      </c>
      <c r="Y281" s="22">
        <v>-11.8483623</v>
      </c>
      <c r="Z281" s="22">
        <v>-77.081656499999994</v>
      </c>
      <c r="AA281" s="33">
        <f t="shared" si="17"/>
        <v>25.8</v>
      </c>
      <c r="AB281" s="2" t="str">
        <f t="shared" si="18"/>
        <v>🔴 Lejos (&gt;20 km)</v>
      </c>
      <c r="AC281" s="2" t="str" cm="1">
        <f t="array" ref="AC281">INDEX(PARADEROS_VALIDOS!$C$2:$C$68,MATCH(MIN(6371*ACOS(COS(RADIANS(Y281))*COS(RADIANS(PARADEROS_VALIDOS!$E$2:$E$68))*COS(RADIANS(PARADEROS_VALIDOS!$F$2:$F$68)-RADIANS(Z281))+SIN(RADIANS(Y281))*SIN(RADIANS(PARADEROS_VALIDOS!$E$2:$E$68)))),6371*ACOS(COS(RADIANS(Y281))*COS(RADIANS(PARADEROS_VALIDOS!$E$2:$E$68))*COS(RADIANS(PARADEROS_VALIDOS!$F$2:$F$68)-RADIANS(Z281))+SIN(RADIANS(Y281))*SIN(RADIANS(PARADEROS_VALIDOS!$E$2:$E$68))),0))</f>
        <v>Paradero Cesar Vallejo</v>
      </c>
      <c r="AD281" s="2" t="str">
        <f>IFERROR(INDEX(PARADEROS_VALIDOS!$A$2:$A$68,MATCH(AC281,PARADEROS_VALIDOS!$C$2:$C$68,0)),"")</f>
        <v>RUTA 4B</v>
      </c>
      <c r="AE281" s="33" cm="1">
        <f t="array" ref="AE281">ROUND(MIN(6371*ACOS(COS(RADIANS(Y281))*COS(RADIANS(PARADEROS_VALIDOS!$E$2:$E$68))*COS(RADIANS(PARADEROS_VALIDOS!$F$2:$F$68)-RADIANS(Z281))+SIN(RADIANS(Y281))*SIN(RADIANS(PARADEROS_VALIDOS!$E$2:$E$68)))),2)</f>
        <v>9.36</v>
      </c>
      <c r="AF281" s="2" t="str">
        <f t="shared" si="19"/>
        <v>🔴 Lejos (&gt;5 km)</v>
      </c>
      <c r="AG281" s="2"/>
      <c r="AH281" s="2"/>
      <c r="AI281" s="51">
        <v>-11.997563</v>
      </c>
      <c r="AJ281" s="51">
        <v>-76.900062000000005</v>
      </c>
      <c r="AK281" s="2" t="str">
        <f>IFERROR(VLOOKUP(I281,tdcargo[],2,FALSE),"DESCONOCIDO")</f>
        <v>OPERARIO</v>
      </c>
    </row>
    <row r="282" spans="1:37" x14ac:dyDescent="0.35">
      <c r="A282" s="2" t="s">
        <v>1516</v>
      </c>
      <c r="B282" s="2" t="s">
        <v>1517</v>
      </c>
      <c r="C282" s="2" t="s">
        <v>1128</v>
      </c>
      <c r="D282" s="2" t="s">
        <v>1518</v>
      </c>
      <c r="E282" s="2">
        <v>49</v>
      </c>
      <c r="F282" s="2" t="s">
        <v>28</v>
      </c>
      <c r="G282" s="2" t="s">
        <v>29</v>
      </c>
      <c r="H282" s="2">
        <v>20508846</v>
      </c>
      <c r="I282" s="2" t="s">
        <v>44</v>
      </c>
      <c r="J282" s="3">
        <v>43174</v>
      </c>
      <c r="K282" s="2" t="s">
        <v>31</v>
      </c>
      <c r="L282" s="2" t="s">
        <v>164</v>
      </c>
      <c r="M282" s="2" t="s">
        <v>165</v>
      </c>
      <c r="N282" s="2" t="s">
        <v>82</v>
      </c>
      <c r="O282" s="2" t="s">
        <v>1519</v>
      </c>
      <c r="P282" s="2" t="s">
        <v>186</v>
      </c>
      <c r="Q282" s="2" t="s">
        <v>1520</v>
      </c>
      <c r="R282" s="2">
        <v>15004</v>
      </c>
      <c r="S282" s="2" t="s">
        <v>37</v>
      </c>
      <c r="T282" s="2" t="s">
        <v>37</v>
      </c>
      <c r="U282" s="2" t="s">
        <v>57</v>
      </c>
      <c r="V282" s="3">
        <v>43174</v>
      </c>
      <c r="W282" s="2" t="s">
        <v>48</v>
      </c>
      <c r="X282" s="2" t="str">
        <f t="shared" si="16"/>
        <v>Calle Rioblanco, Urb. Urbanización Los Angeles, Ate, Lima, Lima, Perú</v>
      </c>
      <c r="Y282" s="22">
        <v>-12.0332521</v>
      </c>
      <c r="Z282" s="22">
        <v>-76.932746899999998</v>
      </c>
      <c r="AA282" s="33">
        <f t="shared" si="17"/>
        <v>5.33</v>
      </c>
      <c r="AB282" s="2" t="str">
        <f t="shared" si="18"/>
        <v>🟡 Cerca (5-10 km)</v>
      </c>
      <c r="AC282" s="2" t="str" cm="1">
        <f t="array" ref="AC282">INDEX(PARADEROS_VALIDOS!$C$2:$C$68,MATCH(MIN(6371*ACOS(COS(RADIANS(Y282))*COS(RADIANS(PARADEROS_VALIDOS!$E$2:$E$68))*COS(RADIANS(PARADEROS_VALIDOS!$F$2:$F$68)-RADIANS(Z282))+SIN(RADIANS(Y282))*SIN(RADIANS(PARADEROS_VALIDOS!$E$2:$E$68)))),6371*ACOS(COS(RADIANS(Y282))*COS(RADIANS(PARADEROS_VALIDOS!$E$2:$E$68))*COS(RADIANS(PARADEROS_VALIDOS!$F$2:$F$68)-RADIANS(Z282))+SIN(RADIANS(Y282))*SIN(RADIANS(PARADEROS_VALIDOS!$E$2:$E$68))),0))</f>
        <v>Real Plaza Puruchuco (Grifo Primax)</v>
      </c>
      <c r="AD282" s="2" t="str">
        <f>IFERROR(INDEX(PARADEROS_VALIDOS!$A$2:$A$68,MATCH(AC282,PARADEROS_VALIDOS!$C$2:$C$68,0)),"")</f>
        <v>RUTA 4A</v>
      </c>
      <c r="AE282" s="33" cm="1">
        <f t="array" ref="AE282">ROUND(MIN(6371*ACOS(COS(RADIANS(Y282))*COS(RADIANS(PARADEROS_VALIDOS!$E$2:$E$68))*COS(RADIANS(PARADEROS_VALIDOS!$F$2:$F$68)-RADIANS(Z282))+SIN(RADIANS(Y282))*SIN(RADIANS(PARADEROS_VALIDOS!$E$2:$E$68)))),2)</f>
        <v>0.91</v>
      </c>
      <c r="AF282" s="2" t="str">
        <f t="shared" si="19"/>
        <v>🟢 Muy Cerca (0-1 km)</v>
      </c>
      <c r="AG282" s="2"/>
      <c r="AH282" s="2"/>
      <c r="AI282" s="51">
        <v>-11.997563</v>
      </c>
      <c r="AJ282" s="51">
        <v>-76.900062000000005</v>
      </c>
      <c r="AK282" s="2" t="str">
        <f>IFERROR(VLOOKUP(I282,tdcargo[],2,FALSE),"DESCONOCIDO")</f>
        <v>OPERARIO</v>
      </c>
    </row>
    <row r="283" spans="1:37" x14ac:dyDescent="0.35">
      <c r="A283" s="2" t="s">
        <v>1521</v>
      </c>
      <c r="B283" s="2" t="s">
        <v>1522</v>
      </c>
      <c r="C283" s="2" t="s">
        <v>1523</v>
      </c>
      <c r="D283" s="2" t="s">
        <v>1524</v>
      </c>
      <c r="E283" s="2">
        <v>28</v>
      </c>
      <c r="F283" s="2" t="s">
        <v>28</v>
      </c>
      <c r="G283" s="2" t="s">
        <v>29</v>
      </c>
      <c r="H283" s="2">
        <v>20510601</v>
      </c>
      <c r="I283" s="2" t="s">
        <v>62</v>
      </c>
      <c r="J283" s="3">
        <v>43475</v>
      </c>
      <c r="K283" s="2" t="s">
        <v>31</v>
      </c>
      <c r="L283" s="2" t="s">
        <v>164</v>
      </c>
      <c r="M283" s="2" t="s">
        <v>165</v>
      </c>
      <c r="N283" s="2" t="s">
        <v>36</v>
      </c>
      <c r="O283" s="2" t="s">
        <v>1525</v>
      </c>
      <c r="P283" s="2" t="s">
        <v>66</v>
      </c>
      <c r="Q283" s="2" t="s">
        <v>46</v>
      </c>
      <c r="R283" s="2">
        <v>15004</v>
      </c>
      <c r="S283" s="2" t="s">
        <v>37</v>
      </c>
      <c r="T283" s="2" t="s">
        <v>37</v>
      </c>
      <c r="U283" s="2" t="s">
        <v>57</v>
      </c>
      <c r="V283" s="3">
        <v>43475</v>
      </c>
      <c r="W283" s="2" t="s">
        <v>48</v>
      </c>
      <c r="X283" s="2" t="str">
        <f t="shared" si="16"/>
        <v>Asoc Las Gaviotas De Nieveria Mz A Lt 8, U.V. Unidad Vecinal, Ate, Lima, Lima, Perú</v>
      </c>
      <c r="Y283" s="22">
        <v>-12.001629599999999</v>
      </c>
      <c r="Z283" s="22">
        <v>-76.9057399</v>
      </c>
      <c r="AA283" s="33">
        <f t="shared" si="17"/>
        <v>0.77</v>
      </c>
      <c r="AB283" s="2" t="str">
        <f t="shared" si="18"/>
        <v>🟢 Muy Cerca (0-5 km)</v>
      </c>
      <c r="AC283" s="2" t="str" cm="1">
        <f t="array" ref="AC283">INDEX(PARADEROS_VALIDOS!$C$2:$C$68,MATCH(MIN(6371*ACOS(COS(RADIANS(Y283))*COS(RADIANS(PARADEROS_VALIDOS!$E$2:$E$68))*COS(RADIANS(PARADEROS_VALIDOS!$F$2:$F$68)-RADIANS(Z283))+SIN(RADIANS(Y283))*SIN(RADIANS(PARADEROS_VALIDOS!$E$2:$E$68)))),6371*ACOS(COS(RADIANS(Y283))*COS(RADIANS(PARADEROS_VALIDOS!$E$2:$E$68))*COS(RADIANS(PARADEROS_VALIDOS!$F$2:$F$68)-RADIANS(Z283))+SIN(RADIANS(Y283))*SIN(RADIANS(PARADEROS_VALIDOS!$E$2:$E$68))),0))</f>
        <v>Tottus Huachipa</v>
      </c>
      <c r="AD283" s="2" t="str">
        <f>IFERROR(INDEX(PARADEROS_VALIDOS!$A$2:$A$68,MATCH(AC283,PARADEROS_VALIDOS!$C$2:$C$68,0)),"")</f>
        <v>RUTA 1</v>
      </c>
      <c r="AE283" s="33" cm="1">
        <f t="array" ref="AE283">ROUND(MIN(6371*ACOS(COS(RADIANS(Y283))*COS(RADIANS(PARADEROS_VALIDOS!$E$2:$E$68))*COS(RADIANS(PARADEROS_VALIDOS!$F$2:$F$68)-RADIANS(Z283))+SIN(RADIANS(Y283))*SIN(RADIANS(PARADEROS_VALIDOS!$E$2:$E$68)))),2)</f>
        <v>0.6</v>
      </c>
      <c r="AF283" s="2" t="str">
        <f t="shared" si="19"/>
        <v>🟢 Muy Cerca (0-1 km)</v>
      </c>
      <c r="AG283" s="2"/>
      <c r="AH283" s="2"/>
      <c r="AI283" s="51">
        <v>-11.997563</v>
      </c>
      <c r="AJ283" s="51">
        <v>-76.900062000000005</v>
      </c>
      <c r="AK283" s="2" t="str">
        <f>IFERROR(VLOOKUP(I283,tdcargo[],2,FALSE),"DESCONOCIDO")</f>
        <v>OPERARIO</v>
      </c>
    </row>
    <row r="284" spans="1:37" x14ac:dyDescent="0.35">
      <c r="A284" s="2" t="s">
        <v>824</v>
      </c>
      <c r="B284" s="2" t="s">
        <v>1526</v>
      </c>
      <c r="C284" s="2" t="s">
        <v>409</v>
      </c>
      <c r="D284" s="2" t="s">
        <v>1527</v>
      </c>
      <c r="E284" s="2">
        <v>28</v>
      </c>
      <c r="F284" s="2" t="s">
        <v>28</v>
      </c>
      <c r="G284" s="2" t="s">
        <v>29</v>
      </c>
      <c r="H284" s="2">
        <v>20509004</v>
      </c>
      <c r="I284" s="2" t="s">
        <v>285</v>
      </c>
      <c r="J284" s="3">
        <v>45978</v>
      </c>
      <c r="K284" s="2" t="s">
        <v>31</v>
      </c>
      <c r="L284" s="2" t="s">
        <v>286</v>
      </c>
      <c r="M284" s="2" t="s">
        <v>287</v>
      </c>
      <c r="N284" s="2" t="s">
        <v>36</v>
      </c>
      <c r="O284" s="2" t="s">
        <v>1528</v>
      </c>
      <c r="P284" s="2" t="s">
        <v>36</v>
      </c>
      <c r="Q284" s="2" t="s">
        <v>1529</v>
      </c>
      <c r="R284" s="2">
        <v>15121</v>
      </c>
      <c r="S284" s="2" t="s">
        <v>37</v>
      </c>
      <c r="T284" s="2" t="s">
        <v>37</v>
      </c>
      <c r="U284" s="2" t="s">
        <v>686</v>
      </c>
      <c r="V284" s="3">
        <v>45978</v>
      </c>
      <c r="W284" s="2" t="s">
        <v>135</v>
      </c>
      <c r="X284" s="2" t="str">
        <f t="shared" si="16"/>
        <v>Calle 4 169 Chalet 1 Edif 1 Residencial Alameda, Carabayllo, Lima, Lima, Perú</v>
      </c>
      <c r="Y284" s="22">
        <v>-11.966329</v>
      </c>
      <c r="Z284" s="22">
        <v>-77.058394199999995</v>
      </c>
      <c r="AA284" s="33">
        <f t="shared" si="17"/>
        <v>17.57</v>
      </c>
      <c r="AB284" s="2" t="str">
        <f t="shared" si="18"/>
        <v>🟠 Moderada (10-20 km)</v>
      </c>
      <c r="AC284" s="2" t="str" cm="1">
        <f t="array" ref="AC284">INDEX(PARADEROS_VALIDOS!$C$2:$C$68,MATCH(MIN(6371*ACOS(COS(RADIANS(Y284))*COS(RADIANS(PARADEROS_VALIDOS!$E$2:$E$68))*COS(RADIANS(PARADEROS_VALIDOS!$F$2:$F$68)-RADIANS(Z284))+SIN(RADIANS(Y284))*SIN(RADIANS(PARADEROS_VALIDOS!$E$2:$E$68)))),6371*ACOS(COS(RADIANS(Y284))*COS(RADIANS(PARADEROS_VALIDOS!$E$2:$E$68))*COS(RADIANS(PARADEROS_VALIDOS!$F$2:$F$68)-RADIANS(Z284))+SIN(RADIANS(Y284))*SIN(RADIANS(PARADEROS_VALIDOS!$E$2:$E$68))),0))</f>
        <v>Paradero 15 de Julio</v>
      </c>
      <c r="AD284" s="2" t="str">
        <f>IFERROR(INDEX(PARADEROS_VALIDOS!$A$2:$A$68,MATCH(AC284,PARADEROS_VALIDOS!$C$2:$C$68,0)),"")</f>
        <v>RUTA 3</v>
      </c>
      <c r="AE284" s="33" cm="1">
        <f t="array" ref="AE284">ROUND(MIN(6371*ACOS(COS(RADIANS(Y284))*COS(RADIANS(PARADEROS_VALIDOS!$E$2:$E$68))*COS(RADIANS(PARADEROS_VALIDOS!$F$2:$F$68)-RADIANS(Z284))+SIN(RADIANS(Y284))*SIN(RADIANS(PARADEROS_VALIDOS!$E$2:$E$68)))),2)</f>
        <v>1.22</v>
      </c>
      <c r="AF284" s="2" t="str">
        <f t="shared" si="19"/>
        <v>🟡 Cerca (1-3 km)</v>
      </c>
      <c r="AG284" s="2"/>
      <c r="AH284" s="2"/>
      <c r="AI284" s="51">
        <v>-11.997563</v>
      </c>
      <c r="AJ284" s="51">
        <v>-76.900062000000005</v>
      </c>
      <c r="AK284" s="2" t="str">
        <f>IFERROR(VLOOKUP(I284,tdcargo[],2,FALSE),"DESCONOCIDO")</f>
        <v>STAFF</v>
      </c>
    </row>
    <row r="285" spans="1:37" x14ac:dyDescent="0.35">
      <c r="A285" s="2" t="s">
        <v>1530</v>
      </c>
      <c r="B285" s="2" t="s">
        <v>1531</v>
      </c>
      <c r="C285" s="2" t="s">
        <v>121</v>
      </c>
      <c r="D285" s="2" t="s">
        <v>1532</v>
      </c>
      <c r="E285" s="2">
        <v>21</v>
      </c>
      <c r="F285" s="2" t="s">
        <v>28</v>
      </c>
      <c r="G285" s="2" t="s">
        <v>29</v>
      </c>
      <c r="H285" s="2">
        <v>20512277</v>
      </c>
      <c r="I285" s="2" t="s">
        <v>30</v>
      </c>
      <c r="J285" s="3">
        <v>45754</v>
      </c>
      <c r="K285" s="2" t="s">
        <v>31</v>
      </c>
      <c r="L285" s="2" t="s">
        <v>108</v>
      </c>
      <c r="M285" s="2" t="s">
        <v>109</v>
      </c>
      <c r="N285" s="2" t="s">
        <v>82</v>
      </c>
      <c r="O285" s="2" t="s">
        <v>1533</v>
      </c>
      <c r="P285" s="2" t="s">
        <v>36</v>
      </c>
      <c r="Q285" s="2" t="s">
        <v>116</v>
      </c>
      <c r="R285" s="2">
        <v>15510</v>
      </c>
      <c r="S285" s="2" t="s">
        <v>37</v>
      </c>
      <c r="T285" s="2" t="s">
        <v>195</v>
      </c>
      <c r="U285" s="2" t="s">
        <v>196</v>
      </c>
      <c r="V285" s="3">
        <v>45754</v>
      </c>
      <c r="W285" s="2" t="s">
        <v>77</v>
      </c>
      <c r="X285" s="2" t="str">
        <f t="shared" si="16"/>
        <v>Calle Roma Los Olivos, San Antonio, Huarochiri, Lima, Perú</v>
      </c>
      <c r="Y285" s="22">
        <v>-11.960239899999999</v>
      </c>
      <c r="Z285" s="22">
        <v>-76.933224699999997</v>
      </c>
      <c r="AA285" s="33">
        <f t="shared" si="17"/>
        <v>5.5</v>
      </c>
      <c r="AB285" s="2" t="str">
        <f t="shared" si="18"/>
        <v>🟡 Cerca (5-10 km)</v>
      </c>
      <c r="AC285" s="2" t="str" cm="1">
        <f t="array" ref="AC285">INDEX(PARADEROS_VALIDOS!$C$2:$C$68,MATCH(MIN(6371*ACOS(COS(RADIANS(Y285))*COS(RADIANS(PARADEROS_VALIDOS!$E$2:$E$68))*COS(RADIANS(PARADEROS_VALIDOS!$F$2:$F$68)-RADIANS(Z285))+SIN(RADIANS(Y285))*SIN(RADIANS(PARADEROS_VALIDOS!$E$2:$E$68)))),6371*ACOS(COS(RADIANS(Y285))*COS(RADIANS(PARADEROS_VALIDOS!$E$2:$E$68))*COS(RADIANS(PARADEROS_VALIDOS!$F$2:$F$68)-RADIANS(Z285))+SIN(RADIANS(Y285))*SIN(RADIANS(PARADEROS_VALIDOS!$E$2:$E$68))),0))</f>
        <v>Paradero Arco San Antonio</v>
      </c>
      <c r="AD285" s="2" t="str">
        <f>IFERROR(INDEX(PARADEROS_VALIDOS!$A$2:$A$68,MATCH(AC285,PARADEROS_VALIDOS!$C$2:$C$68,0)),"")</f>
        <v>RUTA 2</v>
      </c>
      <c r="AE285" s="33" cm="1">
        <f t="array" ref="AE285">ROUND(MIN(6371*ACOS(COS(RADIANS(Y285))*COS(RADIANS(PARADEROS_VALIDOS!$E$2:$E$68))*COS(RADIANS(PARADEROS_VALIDOS!$F$2:$F$68)-RADIANS(Z285))+SIN(RADIANS(Y285))*SIN(RADIANS(PARADEROS_VALIDOS!$E$2:$E$68)))),2)</f>
        <v>4.9400000000000004</v>
      </c>
      <c r="AF285" s="2" t="str">
        <f t="shared" si="19"/>
        <v>🟠 Moderada (3-5 km)</v>
      </c>
      <c r="AG285" s="2"/>
      <c r="AH285" s="2"/>
      <c r="AI285" s="51">
        <v>-11.997563</v>
      </c>
      <c r="AJ285" s="51">
        <v>-76.900062000000005</v>
      </c>
      <c r="AK285" s="2" t="str">
        <f>IFERROR(VLOOKUP(I285,tdcargo[],2,FALSE),"DESCONOCIDO")</f>
        <v>OPERARIO</v>
      </c>
    </row>
    <row r="286" spans="1:37" x14ac:dyDescent="0.35">
      <c r="A286" s="2" t="s">
        <v>1534</v>
      </c>
      <c r="B286" s="2" t="s">
        <v>1535</v>
      </c>
      <c r="C286" s="2" t="s">
        <v>1523</v>
      </c>
      <c r="D286" s="2" t="s">
        <v>1211</v>
      </c>
      <c r="E286" s="2">
        <v>27</v>
      </c>
      <c r="F286" s="2" t="s">
        <v>28</v>
      </c>
      <c r="G286" s="2" t="s">
        <v>29</v>
      </c>
      <c r="H286" s="2">
        <v>20515636</v>
      </c>
      <c r="I286" s="2" t="s">
        <v>44</v>
      </c>
      <c r="J286" s="3">
        <v>43475</v>
      </c>
      <c r="K286" s="2" t="s">
        <v>31</v>
      </c>
      <c r="L286" s="2" t="s">
        <v>32</v>
      </c>
      <c r="M286" s="2" t="s">
        <v>33</v>
      </c>
      <c r="N286" s="2" t="s">
        <v>36</v>
      </c>
      <c r="O286" s="2" t="s">
        <v>1536</v>
      </c>
      <c r="P286" s="2" t="s">
        <v>36</v>
      </c>
      <c r="Q286" s="2" t="s">
        <v>1536</v>
      </c>
      <c r="R286" s="2">
        <v>15457</v>
      </c>
      <c r="S286" s="2" t="s">
        <v>37</v>
      </c>
      <c r="T286" s="2" t="s">
        <v>37</v>
      </c>
      <c r="U286" s="2" t="s">
        <v>76</v>
      </c>
      <c r="V286" s="3">
        <v>43475</v>
      </c>
      <c r="W286" s="2" t="s">
        <v>48</v>
      </c>
      <c r="X286" s="2" t="str">
        <f t="shared" si="16"/>
        <v>Sector B La Campiña Sector B La Campiña, Lurigancho, Lima, Lima, Perú</v>
      </c>
      <c r="Y286" s="22">
        <v>-11.976216000000001</v>
      </c>
      <c r="Z286" s="22">
        <v>-76.916728599999999</v>
      </c>
      <c r="AA286" s="33">
        <f t="shared" si="17"/>
        <v>2.99</v>
      </c>
      <c r="AB286" s="2" t="str">
        <f t="shared" si="18"/>
        <v>🟢 Muy Cerca (0-5 km)</v>
      </c>
      <c r="AC286" s="2" t="str" cm="1">
        <f t="array" ref="AC286">INDEX(PARADEROS_VALIDOS!$C$2:$C$68,MATCH(MIN(6371*ACOS(COS(RADIANS(Y286))*COS(RADIANS(PARADEROS_VALIDOS!$E$2:$E$68))*COS(RADIANS(PARADEROS_VALIDOS!$F$2:$F$68)-RADIANS(Z286))+SIN(RADIANS(Y286))*SIN(RADIANS(PARADEROS_VALIDOS!$E$2:$E$68)))),6371*ACOS(COS(RADIANS(Y286))*COS(RADIANS(PARADEROS_VALIDOS!$E$2:$E$68))*COS(RADIANS(PARADEROS_VALIDOS!$F$2:$F$68)-RADIANS(Z286))+SIN(RADIANS(Y286))*SIN(RADIANS(PARADEROS_VALIDOS!$E$2:$E$68))),0))</f>
        <v>Paradero Arco San Antonio</v>
      </c>
      <c r="AD286" s="2" t="str">
        <f>IFERROR(INDEX(PARADEROS_VALIDOS!$A$2:$A$68,MATCH(AC286,PARADEROS_VALIDOS!$C$2:$C$68,0)),"")</f>
        <v>RUTA 2</v>
      </c>
      <c r="AE286" s="33" cm="1">
        <f t="array" ref="AE286">ROUND(MIN(6371*ACOS(COS(RADIANS(Y286))*COS(RADIANS(PARADEROS_VALIDOS!$E$2:$E$68))*COS(RADIANS(PARADEROS_VALIDOS!$F$2:$F$68)-RADIANS(Z286))+SIN(RADIANS(Y286))*SIN(RADIANS(PARADEROS_VALIDOS!$E$2:$E$68)))),2)</f>
        <v>2.4300000000000002</v>
      </c>
      <c r="AF286" s="2" t="str">
        <f t="shared" si="19"/>
        <v>🟡 Cerca (1-3 km)</v>
      </c>
      <c r="AG286" s="2"/>
      <c r="AH286" s="2"/>
      <c r="AI286" s="51">
        <v>-11.997563</v>
      </c>
      <c r="AJ286" s="51">
        <v>-76.900062000000005</v>
      </c>
      <c r="AK286" s="2" t="str">
        <f>IFERROR(VLOOKUP(I286,tdcargo[],2,FALSE),"DESCONOCIDO")</f>
        <v>OPERARIO</v>
      </c>
    </row>
    <row r="287" spans="1:37" x14ac:dyDescent="0.35">
      <c r="A287" s="2" t="s">
        <v>1537</v>
      </c>
      <c r="B287" s="2" t="s">
        <v>1538</v>
      </c>
      <c r="C287" s="2" t="s">
        <v>1539</v>
      </c>
      <c r="D287" s="2" t="s">
        <v>1540</v>
      </c>
      <c r="E287" s="2">
        <v>24</v>
      </c>
      <c r="F287" s="2" t="s">
        <v>28</v>
      </c>
      <c r="G287" s="2" t="s">
        <v>29</v>
      </c>
      <c r="H287" s="2">
        <v>20508869</v>
      </c>
      <c r="I287" s="2" t="s">
        <v>30</v>
      </c>
      <c r="J287" s="3">
        <v>46055</v>
      </c>
      <c r="K287" s="2" t="s">
        <v>31</v>
      </c>
      <c r="L287" s="2" t="s">
        <v>108</v>
      </c>
      <c r="M287" s="2" t="s">
        <v>109</v>
      </c>
      <c r="N287" s="2" t="s">
        <v>34</v>
      </c>
      <c r="O287" s="2" t="s">
        <v>1541</v>
      </c>
      <c r="P287" s="2" t="s">
        <v>66</v>
      </c>
      <c r="Q287" s="2" t="s">
        <v>1542</v>
      </c>
      <c r="R287" s="2">
        <v>15457</v>
      </c>
      <c r="S287" s="2" t="s">
        <v>37</v>
      </c>
      <c r="T287" s="2" t="s">
        <v>37</v>
      </c>
      <c r="U287" s="2" t="s">
        <v>76</v>
      </c>
      <c r="V287" s="3">
        <v>46055</v>
      </c>
      <c r="W287" s="2" t="s">
        <v>135</v>
      </c>
      <c r="X287" s="2" t="str">
        <f t="shared" si="16"/>
        <v>Avenida Sr.Muruhuay, U.V. Unidad Vecinal SR.MURUHUAY, Lurigancho, Lima, Lima, Perú</v>
      </c>
      <c r="Y287" s="22">
        <v>-11.9404486</v>
      </c>
      <c r="Z287" s="22">
        <v>-76.708343499999998</v>
      </c>
      <c r="AA287" s="33">
        <f t="shared" si="17"/>
        <v>21.8</v>
      </c>
      <c r="AB287" s="2" t="str">
        <f t="shared" si="18"/>
        <v>🔴 Lejos (&gt;20 km)</v>
      </c>
      <c r="AC287" s="2" t="str" cm="1">
        <f t="array" ref="AC287">INDEX(PARADEROS_VALIDOS!$C$2:$C$68,MATCH(MIN(6371*ACOS(COS(RADIANS(Y287))*COS(RADIANS(PARADEROS_VALIDOS!$E$2:$E$68))*COS(RADIANS(PARADEROS_VALIDOS!$F$2:$F$68)-RADIANS(Z287))+SIN(RADIANS(Y287))*SIN(RADIANS(PARADEROS_VALIDOS!$E$2:$E$68)))),6371*ACOS(COS(RADIANS(Y287))*COS(RADIANS(PARADEROS_VALIDOS!$E$2:$E$68))*COS(RADIANS(PARADEROS_VALIDOS!$F$2:$F$68)-RADIANS(Z287))+SIN(RADIANS(Y287))*SIN(RADIANS(PARADEROS_VALIDOS!$E$2:$E$68))),0))</f>
        <v>Paradero Girasoles - Chaclacayo</v>
      </c>
      <c r="AD287" s="2" t="str">
        <f>IFERROR(INDEX(PARADEROS_VALIDOS!$A$2:$A$68,MATCH(AC287,PARADEROS_VALIDOS!$C$2:$C$68,0)),"")</f>
        <v>RUTA 5A</v>
      </c>
      <c r="AE287" s="33" cm="1">
        <f t="array" ref="AE287">ROUND(MIN(6371*ACOS(COS(RADIANS(Y287))*COS(RADIANS(PARADEROS_VALIDOS!$E$2:$E$68))*COS(RADIANS(PARADEROS_VALIDOS!$F$2:$F$68)-RADIANS(Z287))+SIN(RADIANS(Y287))*SIN(RADIANS(PARADEROS_VALIDOS!$E$2:$E$68)))),2)</f>
        <v>8.0500000000000007</v>
      </c>
      <c r="AF287" s="2" t="str">
        <f t="shared" si="19"/>
        <v>🔴 Lejos (&gt;5 km)</v>
      </c>
      <c r="AG287" s="2"/>
      <c r="AH287" s="2"/>
      <c r="AI287" s="51">
        <v>-11.997563</v>
      </c>
      <c r="AJ287" s="51">
        <v>-76.900062000000005</v>
      </c>
      <c r="AK287" s="2" t="str">
        <f>IFERROR(VLOOKUP(I287,tdcargo[],2,FALSE),"DESCONOCIDO")</f>
        <v>OPERARIO</v>
      </c>
    </row>
    <row r="288" spans="1:37" x14ac:dyDescent="0.35">
      <c r="A288" s="2" t="s">
        <v>1543</v>
      </c>
      <c r="B288" s="2" t="s">
        <v>1544</v>
      </c>
      <c r="C288" s="2" t="s">
        <v>842</v>
      </c>
      <c r="D288" s="2" t="s">
        <v>51</v>
      </c>
      <c r="E288" s="2">
        <v>41</v>
      </c>
      <c r="F288" s="2" t="s">
        <v>28</v>
      </c>
      <c r="G288" s="2" t="s">
        <v>29</v>
      </c>
      <c r="H288" s="2">
        <v>20509027</v>
      </c>
      <c r="I288" s="2" t="s">
        <v>44</v>
      </c>
      <c r="J288" s="3">
        <v>43027</v>
      </c>
      <c r="K288" s="2" t="s">
        <v>31</v>
      </c>
      <c r="L288" s="2" t="s">
        <v>146</v>
      </c>
      <c r="M288" s="2" t="s">
        <v>147</v>
      </c>
      <c r="N288" s="2" t="s">
        <v>82</v>
      </c>
      <c r="O288" s="2" t="s">
        <v>526</v>
      </c>
      <c r="P288" s="2" t="s">
        <v>88</v>
      </c>
      <c r="Q288" s="2" t="s">
        <v>1545</v>
      </c>
      <c r="R288" s="2">
        <v>15004</v>
      </c>
      <c r="S288" s="2" t="s">
        <v>37</v>
      </c>
      <c r="T288" s="2" t="s">
        <v>37</v>
      </c>
      <c r="U288" s="2" t="s">
        <v>57</v>
      </c>
      <c r="V288" s="3">
        <v>43027</v>
      </c>
      <c r="W288" s="2" t="s">
        <v>48</v>
      </c>
      <c r="X288" s="2" t="str">
        <f t="shared" si="16"/>
        <v>Calle Jaime Zubieta, A.H. Asentamiento Humano Horacio Zevallos Gamez, Ate, Lima, Lima, Perú</v>
      </c>
      <c r="Y288" s="22">
        <v>-12.0124341</v>
      </c>
      <c r="Z288" s="22">
        <v>-76.839440499999995</v>
      </c>
      <c r="AA288" s="33">
        <f t="shared" si="17"/>
        <v>6.8</v>
      </c>
      <c r="AB288" s="2" t="str">
        <f t="shared" si="18"/>
        <v>🟡 Cerca (5-10 km)</v>
      </c>
      <c r="AC288" s="2" t="str" cm="1">
        <f t="array" ref="AC288">INDEX(PARADEROS_VALIDOS!$C$2:$C$68,MATCH(MIN(6371*ACOS(COS(RADIANS(Y288))*COS(RADIANS(PARADEROS_VALIDOS!$E$2:$E$68))*COS(RADIANS(PARADEROS_VALIDOS!$F$2:$F$68)-RADIANS(Z288))+SIN(RADIANS(Y288))*SIN(RADIANS(PARADEROS_VALIDOS!$E$2:$E$68)))),6371*ACOS(COS(RADIANS(Y288))*COS(RADIANS(PARADEROS_VALIDOS!$E$2:$E$68))*COS(RADIANS(PARADEROS_VALIDOS!$F$2:$F$68)-RADIANS(Z288))+SIN(RADIANS(Y288))*SIN(RADIANS(PARADEROS_VALIDOS!$E$2:$E$68))),0))</f>
        <v>Entrada Horacio</v>
      </c>
      <c r="AD288" s="2" t="str">
        <f>IFERROR(INDEX(PARADEROS_VALIDOS!$A$2:$A$68,MATCH(AC288,PARADEROS_VALIDOS!$C$2:$C$68,0)),"")</f>
        <v>RUTA 5B</v>
      </c>
      <c r="AE288" s="33" cm="1">
        <f t="array" ref="AE288">ROUND(MIN(6371*ACOS(COS(RADIANS(Y288))*COS(RADIANS(PARADEROS_VALIDOS!$E$2:$E$68))*COS(RADIANS(PARADEROS_VALIDOS!$F$2:$F$68)-RADIANS(Z288))+SIN(RADIANS(Y288))*SIN(RADIANS(PARADEROS_VALIDOS!$E$2:$E$68)))),2)</f>
        <v>0.53</v>
      </c>
      <c r="AF288" s="2" t="str">
        <f t="shared" si="19"/>
        <v>🟢 Muy Cerca (0-1 km)</v>
      </c>
      <c r="AG288" s="2"/>
      <c r="AH288" s="2"/>
      <c r="AI288" s="51">
        <v>-11.997563</v>
      </c>
      <c r="AJ288" s="51">
        <v>-76.900062000000005</v>
      </c>
      <c r="AK288" s="2" t="str">
        <f>IFERROR(VLOOKUP(I288,tdcargo[],2,FALSE),"DESCONOCIDO")</f>
        <v>OPERARIO</v>
      </c>
    </row>
    <row r="289" spans="1:37" x14ac:dyDescent="0.35">
      <c r="A289" s="2" t="s">
        <v>1546</v>
      </c>
      <c r="B289" s="2" t="s">
        <v>1547</v>
      </c>
      <c r="C289" s="2" t="s">
        <v>1548</v>
      </c>
      <c r="D289" s="2" t="s">
        <v>138</v>
      </c>
      <c r="E289" s="2">
        <v>27</v>
      </c>
      <c r="F289" s="2" t="s">
        <v>28</v>
      </c>
      <c r="G289" s="2" t="s">
        <v>29</v>
      </c>
      <c r="H289" s="2">
        <v>20508925</v>
      </c>
      <c r="I289" s="2" t="s">
        <v>30</v>
      </c>
      <c r="J289" s="3">
        <v>45779</v>
      </c>
      <c r="K289" s="2" t="s">
        <v>31</v>
      </c>
      <c r="L289" s="2" t="s">
        <v>132</v>
      </c>
      <c r="M289" s="2" t="s">
        <v>133</v>
      </c>
      <c r="N289" s="2" t="s">
        <v>82</v>
      </c>
      <c r="O289" s="2" t="s">
        <v>1549</v>
      </c>
      <c r="P289" s="2" t="s">
        <v>36</v>
      </c>
      <c r="Q289" s="2" t="s">
        <v>1550</v>
      </c>
      <c r="R289" s="2">
        <v>15457</v>
      </c>
      <c r="S289" s="2" t="s">
        <v>37</v>
      </c>
      <c r="T289" s="2" t="s">
        <v>37</v>
      </c>
      <c r="U289" s="2" t="s">
        <v>76</v>
      </c>
      <c r="V289" s="3">
        <v>45779</v>
      </c>
      <c r="W289" s="2" t="s">
        <v>39</v>
      </c>
      <c r="X289" s="2" t="str">
        <f t="shared" si="16"/>
        <v>Calle La CampiñA Asociacion De Pobladores Casa Huerta, Lurigancho, Lima, Lima, Perú</v>
      </c>
      <c r="Y289" s="22">
        <v>-12.1028655</v>
      </c>
      <c r="Z289" s="22">
        <v>-76.940578099999996</v>
      </c>
      <c r="AA289" s="33">
        <f t="shared" si="17"/>
        <v>12.51</v>
      </c>
      <c r="AB289" s="2" t="str">
        <f t="shared" si="18"/>
        <v>🟠 Moderada (10-20 km)</v>
      </c>
      <c r="AC289" s="2" t="str" cm="1">
        <f t="array" ref="AC289">INDEX(PARADEROS_VALIDOS!$C$2:$C$68,MATCH(MIN(6371*ACOS(COS(RADIANS(Y289))*COS(RADIANS(PARADEROS_VALIDOS!$E$2:$E$68))*COS(RADIANS(PARADEROS_VALIDOS!$F$2:$F$68)-RADIANS(Z289))+SIN(RADIANS(Y289))*SIN(RADIANS(PARADEROS_VALIDOS!$E$2:$E$68)))),6371*ACOS(COS(RADIANS(Y289))*COS(RADIANS(PARADEROS_VALIDOS!$E$2:$E$68))*COS(RADIANS(PARADEROS_VALIDOS!$F$2:$F$68)-RADIANS(Z289))+SIN(RADIANS(Y289))*SIN(RADIANS(PARADEROS_VALIDOS!$E$2:$E$68))),0))</f>
        <v>Paradero Paraíso</v>
      </c>
      <c r="AD289" s="2" t="str">
        <f>IFERROR(INDEX(PARADEROS_VALIDOS!$A$2:$A$68,MATCH(AC289,PARADEROS_VALIDOS!$C$2:$C$68,0)),"")</f>
        <v>RUTA 2</v>
      </c>
      <c r="AE289" s="33" cm="1">
        <f t="array" ref="AE289">ROUND(MIN(6371*ACOS(COS(RADIANS(Y289))*COS(RADIANS(PARADEROS_VALIDOS!$E$2:$E$68))*COS(RADIANS(PARADEROS_VALIDOS!$F$2:$F$68)-RADIANS(Z289))+SIN(RADIANS(Y289))*SIN(RADIANS(PARADEROS_VALIDOS!$E$2:$E$68)))),2)</f>
        <v>3.54</v>
      </c>
      <c r="AF289" s="2" t="str">
        <f t="shared" si="19"/>
        <v>🟠 Moderada (3-5 km)</v>
      </c>
      <c r="AG289" s="2"/>
      <c r="AH289" s="2"/>
      <c r="AI289" s="51">
        <v>-11.997563</v>
      </c>
      <c r="AJ289" s="51">
        <v>-76.900062000000005</v>
      </c>
      <c r="AK289" s="2" t="str">
        <f>IFERROR(VLOOKUP(I289,tdcargo[],2,FALSE),"DESCONOCIDO")</f>
        <v>OPERARIO</v>
      </c>
    </row>
    <row r="290" spans="1:37" x14ac:dyDescent="0.35">
      <c r="A290" s="2" t="s">
        <v>1551</v>
      </c>
      <c r="B290" s="2" t="s">
        <v>1552</v>
      </c>
      <c r="C290" s="2" t="s">
        <v>714</v>
      </c>
      <c r="D290" s="2" t="s">
        <v>451</v>
      </c>
      <c r="E290" s="2">
        <v>36</v>
      </c>
      <c r="F290" s="2" t="s">
        <v>28</v>
      </c>
      <c r="G290" s="2" t="s">
        <v>29</v>
      </c>
      <c r="H290" s="2">
        <v>20508965</v>
      </c>
      <c r="I290" s="2" t="s">
        <v>30</v>
      </c>
      <c r="J290" s="3">
        <v>45520</v>
      </c>
      <c r="K290" s="2" t="s">
        <v>31</v>
      </c>
      <c r="L290" s="2" t="s">
        <v>132</v>
      </c>
      <c r="M290" s="2" t="s">
        <v>133</v>
      </c>
      <c r="N290" s="2" t="s">
        <v>53</v>
      </c>
      <c r="O290" s="2" t="s">
        <v>1553</v>
      </c>
      <c r="P290" s="2" t="s">
        <v>36</v>
      </c>
      <c r="Q290" s="2" t="s">
        <v>945</v>
      </c>
      <c r="R290" s="2">
        <v>15001</v>
      </c>
      <c r="S290" s="2" t="s">
        <v>37</v>
      </c>
      <c r="T290" s="2" t="s">
        <v>37</v>
      </c>
      <c r="U290" s="2" t="s">
        <v>37</v>
      </c>
      <c r="V290" s="3">
        <v>45520</v>
      </c>
      <c r="W290" s="2" t="s">
        <v>48</v>
      </c>
      <c r="X290" s="2" t="str">
        <f t="shared" si="16"/>
        <v>Jirón Tiahuanaco Zarate, Lima, Lima, Lima, Perú</v>
      </c>
      <c r="Y290" s="22">
        <v>-12.026793899999999</v>
      </c>
      <c r="Z290" s="22">
        <v>-77.006194500000007</v>
      </c>
      <c r="AA290" s="33">
        <f t="shared" si="17"/>
        <v>11.99</v>
      </c>
      <c r="AB290" s="2" t="str">
        <f t="shared" si="18"/>
        <v>🟠 Moderada (10-20 km)</v>
      </c>
      <c r="AC290" s="2" t="str" cm="1">
        <f t="array" ref="AC290">INDEX(PARADEROS_VALIDOS!$C$2:$C$68,MATCH(MIN(6371*ACOS(COS(RADIANS(Y290))*COS(RADIANS(PARADEROS_VALIDOS!$E$2:$E$68))*COS(RADIANS(PARADEROS_VALIDOS!$F$2:$F$68)-RADIANS(Z290))+SIN(RADIANS(Y290))*SIN(RADIANS(PARADEROS_VALIDOS!$E$2:$E$68)))),6371*ACOS(COS(RADIANS(Y290))*COS(RADIANS(PARADEROS_VALIDOS!$E$2:$E$68))*COS(RADIANS(PARADEROS_VALIDOS!$F$2:$F$68)-RADIANS(Z290))+SIN(RADIANS(Y290))*SIN(RADIANS(PARADEROS_VALIDOS!$E$2:$E$68))),0))</f>
        <v>Puente Nuevo (Av. Chinchaysuyo &amp; Av. Malecón Checa)</v>
      </c>
      <c r="AD290" s="2" t="str">
        <f>IFERROR(INDEX(PARADEROS_VALIDOS!$A$2:$A$68,MATCH(AC290,PARADEROS_VALIDOS!$C$2:$C$68,0)),"")</f>
        <v>RUTA 6C</v>
      </c>
      <c r="AE290" s="33" cm="1">
        <f t="array" ref="AE290">ROUND(MIN(6371*ACOS(COS(RADIANS(Y290))*COS(RADIANS(PARADEROS_VALIDOS!$E$2:$E$68))*COS(RADIANS(PARADEROS_VALIDOS!$F$2:$F$68)-RADIANS(Z290))+SIN(RADIANS(Y290))*SIN(RADIANS(PARADEROS_VALIDOS!$E$2:$E$68)))),2)</f>
        <v>1.38</v>
      </c>
      <c r="AF290" s="2" t="str">
        <f t="shared" si="19"/>
        <v>🟡 Cerca (1-3 km)</v>
      </c>
      <c r="AG290" s="2"/>
      <c r="AH290" s="2"/>
      <c r="AI290" s="51">
        <v>-11.997563</v>
      </c>
      <c r="AJ290" s="51">
        <v>-76.900062000000005</v>
      </c>
      <c r="AK290" s="2" t="str">
        <f>IFERROR(VLOOKUP(I290,tdcargo[],2,FALSE),"DESCONOCIDO")</f>
        <v>OPERARIO</v>
      </c>
    </row>
    <row r="291" spans="1:37" x14ac:dyDescent="0.35">
      <c r="A291" s="2" t="s">
        <v>1554</v>
      </c>
      <c r="B291" s="2" t="s">
        <v>1555</v>
      </c>
      <c r="C291" s="2" t="s">
        <v>1556</v>
      </c>
      <c r="D291" s="2" t="s">
        <v>1557</v>
      </c>
      <c r="E291" s="2">
        <v>41</v>
      </c>
      <c r="F291" s="2" t="s">
        <v>28</v>
      </c>
      <c r="G291" s="2" t="s">
        <v>29</v>
      </c>
      <c r="H291" s="2">
        <v>20511568</v>
      </c>
      <c r="I291" s="2" t="s">
        <v>30</v>
      </c>
      <c r="J291" s="3">
        <v>45698</v>
      </c>
      <c r="K291" s="2" t="s">
        <v>31</v>
      </c>
      <c r="L291" s="2" t="s">
        <v>132</v>
      </c>
      <c r="M291" s="2" t="s">
        <v>133</v>
      </c>
      <c r="N291" s="2" t="s">
        <v>82</v>
      </c>
      <c r="O291" s="2" t="s">
        <v>1558</v>
      </c>
      <c r="P291" s="2" t="s">
        <v>36</v>
      </c>
      <c r="Q291" s="2" t="s">
        <v>631</v>
      </c>
      <c r="R291" s="2">
        <v>15457</v>
      </c>
      <c r="S291" s="2" t="s">
        <v>37</v>
      </c>
      <c r="T291" s="2" t="s">
        <v>37</v>
      </c>
      <c r="U291" s="2" t="s">
        <v>76</v>
      </c>
      <c r="V291" s="3">
        <v>45698</v>
      </c>
      <c r="W291" s="2" t="s">
        <v>77</v>
      </c>
      <c r="X291" s="2" t="str">
        <f t="shared" si="16"/>
        <v>Calle Los Pinos Agrup.Vecinal Del Bosque De Jicamarca An Las Torres, Lurigancho, Lima, Lima, Perú</v>
      </c>
      <c r="Y291" s="22">
        <v>-11.9931559</v>
      </c>
      <c r="Z291" s="22">
        <v>-76.866855900000004</v>
      </c>
      <c r="AA291" s="33">
        <f t="shared" si="17"/>
        <v>3.64</v>
      </c>
      <c r="AB291" s="2" t="str">
        <f t="shared" si="18"/>
        <v>🟢 Muy Cerca (0-5 km)</v>
      </c>
      <c r="AC291" s="2" t="str" cm="1">
        <f t="array" ref="AC291">INDEX(PARADEROS_VALIDOS!$C$2:$C$68,MATCH(MIN(6371*ACOS(COS(RADIANS(Y291))*COS(RADIANS(PARADEROS_VALIDOS!$E$2:$E$68))*COS(RADIANS(PARADEROS_VALIDOS!$F$2:$F$68)-RADIANS(Z291))+SIN(RADIANS(Y291))*SIN(RADIANS(PARADEROS_VALIDOS!$E$2:$E$68)))),6371*ACOS(COS(RADIANS(Y291))*COS(RADIANS(PARADEROS_VALIDOS!$E$2:$E$68))*COS(RADIANS(PARADEROS_VALIDOS!$F$2:$F$68)-RADIANS(Z291))+SIN(RADIANS(Y291))*SIN(RADIANS(PARADEROS_VALIDOS!$E$2:$E$68))),0))</f>
        <v>Paradero Gloria Grande</v>
      </c>
      <c r="AD291" s="2" t="str">
        <f>IFERROR(INDEX(PARADEROS_VALIDOS!$A$2:$A$68,MATCH(AC291,PARADEROS_VALIDOS!$C$2:$C$68,0)),"")</f>
        <v>RUTA 5B</v>
      </c>
      <c r="AE291" s="33" cm="1">
        <f t="array" ref="AE291">ROUND(MIN(6371*ACOS(COS(RADIANS(Y291))*COS(RADIANS(PARADEROS_VALIDOS!$E$2:$E$68))*COS(RADIANS(PARADEROS_VALIDOS!$F$2:$F$68)-RADIANS(Z291))+SIN(RADIANS(Y291))*SIN(RADIANS(PARADEROS_VALIDOS!$E$2:$E$68)))),2)</f>
        <v>2.2999999999999998</v>
      </c>
      <c r="AF291" s="2" t="str">
        <f t="shared" si="19"/>
        <v>🟡 Cerca (1-3 km)</v>
      </c>
      <c r="AG291" s="2"/>
      <c r="AH291" s="2"/>
      <c r="AI291" s="51">
        <v>-11.997563</v>
      </c>
      <c r="AJ291" s="51">
        <v>-76.900062000000005</v>
      </c>
      <c r="AK291" s="2" t="str">
        <f>IFERROR(VLOOKUP(I291,tdcargo[],2,FALSE),"DESCONOCIDO")</f>
        <v>OPERARIO</v>
      </c>
    </row>
    <row r="292" spans="1:37" x14ac:dyDescent="0.35">
      <c r="A292" s="2" t="s">
        <v>1559</v>
      </c>
      <c r="B292" s="2" t="s">
        <v>1560</v>
      </c>
      <c r="C292" s="2" t="s">
        <v>51</v>
      </c>
      <c r="D292" s="2" t="s">
        <v>1561</v>
      </c>
      <c r="E292" s="2">
        <v>35</v>
      </c>
      <c r="F292" s="2" t="s">
        <v>28</v>
      </c>
      <c r="G292" s="2" t="s">
        <v>29</v>
      </c>
      <c r="H292" s="2">
        <v>20512085</v>
      </c>
      <c r="I292" s="2" t="s">
        <v>62</v>
      </c>
      <c r="J292" s="3">
        <v>44606</v>
      </c>
      <c r="K292" s="2" t="s">
        <v>31</v>
      </c>
      <c r="L292" s="2" t="s">
        <v>108</v>
      </c>
      <c r="M292" s="2" t="s">
        <v>109</v>
      </c>
      <c r="N292" s="2" t="s">
        <v>53</v>
      </c>
      <c r="O292" s="2" t="s">
        <v>1562</v>
      </c>
      <c r="P292" s="2" t="s">
        <v>186</v>
      </c>
      <c r="Q292" s="2" t="s">
        <v>1563</v>
      </c>
      <c r="R292" s="2">
        <v>15457</v>
      </c>
      <c r="S292" s="2" t="s">
        <v>37</v>
      </c>
      <c r="T292" s="2" t="s">
        <v>37</v>
      </c>
      <c r="U292" s="2" t="s">
        <v>76</v>
      </c>
      <c r="V292" s="3">
        <v>44606</v>
      </c>
      <c r="W292" s="2" t="s">
        <v>48</v>
      </c>
      <c r="X292" s="2" t="str">
        <f t="shared" si="16"/>
        <v>Jirón Las Droseras, Urb. Urbanización Los Jardines De San Juan, Lurigancho, Lima, Lima, Perú</v>
      </c>
      <c r="Y292" s="22">
        <v>-11.997093400000001</v>
      </c>
      <c r="Z292" s="22">
        <v>-77.006431599999999</v>
      </c>
      <c r="AA292" s="33">
        <f t="shared" si="17"/>
        <v>11.57</v>
      </c>
      <c r="AB292" s="2" t="str">
        <f t="shared" si="18"/>
        <v>🟠 Moderada (10-20 km)</v>
      </c>
      <c r="AC292" s="2" t="str" cm="1">
        <f t="array" ref="AC292">INDEX(PARADEROS_VALIDOS!$C$2:$C$68,MATCH(MIN(6371*ACOS(COS(RADIANS(Y292))*COS(RADIANS(PARADEROS_VALIDOS!$E$2:$E$68))*COS(RADIANS(PARADEROS_VALIDOS!$F$2:$F$68)-RADIANS(Z292))+SIN(RADIANS(Y292))*SIN(RADIANS(PARADEROS_VALIDOS!$E$2:$E$68)))),6371*ACOS(COS(RADIANS(Y292))*COS(RADIANS(PARADEROS_VALIDOS!$E$2:$E$68))*COS(RADIANS(PARADEROS_VALIDOS!$F$2:$F$68)-RADIANS(Z292))+SIN(RADIANS(Y292))*SIN(RADIANS(PARADEROS_VALIDOS!$E$2:$E$68))),0))</f>
        <v>Paradero San Carlos</v>
      </c>
      <c r="AD292" s="2" t="str">
        <f>IFERROR(INDEX(PARADEROS_VALIDOS!$A$2:$A$68,MATCH(AC292,PARADEROS_VALIDOS!$C$2:$C$68,0)),"")</f>
        <v>RUTA 6B</v>
      </c>
      <c r="AE292" s="33" cm="1">
        <f t="array" ref="AE292">ROUND(MIN(6371*ACOS(COS(RADIANS(Y292))*COS(RADIANS(PARADEROS_VALIDOS!$E$2:$E$68))*COS(RADIANS(PARADEROS_VALIDOS!$F$2:$F$68)-RADIANS(Z292))+SIN(RADIANS(Y292))*SIN(RADIANS(PARADEROS_VALIDOS!$E$2:$E$68)))),2)</f>
        <v>1.01</v>
      </c>
      <c r="AF292" s="2" t="str">
        <f t="shared" si="19"/>
        <v>🟡 Cerca (1-3 km)</v>
      </c>
      <c r="AG292" s="2"/>
      <c r="AH292" s="2"/>
      <c r="AI292" s="51">
        <v>-11.997563</v>
      </c>
      <c r="AJ292" s="51">
        <v>-76.900062000000005</v>
      </c>
      <c r="AK292" s="2" t="str">
        <f>IFERROR(VLOOKUP(I292,tdcargo[],2,FALSE),"DESCONOCIDO")</f>
        <v>OPERARIO</v>
      </c>
    </row>
    <row r="293" spans="1:37" x14ac:dyDescent="0.35">
      <c r="A293" s="2" t="s">
        <v>1564</v>
      </c>
      <c r="B293" s="2" t="s">
        <v>1565</v>
      </c>
      <c r="C293" s="2" t="s">
        <v>806</v>
      </c>
      <c r="D293" s="2" t="s">
        <v>1566</v>
      </c>
      <c r="E293" s="2">
        <v>20</v>
      </c>
      <c r="F293" s="2" t="s">
        <v>28</v>
      </c>
      <c r="G293" s="2" t="s">
        <v>29</v>
      </c>
      <c r="H293" s="2">
        <v>20508808</v>
      </c>
      <c r="I293" s="2" t="s">
        <v>30</v>
      </c>
      <c r="J293" s="3">
        <v>45908</v>
      </c>
      <c r="K293" s="2" t="s">
        <v>31</v>
      </c>
      <c r="L293" s="2" t="s">
        <v>108</v>
      </c>
      <c r="M293" s="2" t="s">
        <v>109</v>
      </c>
      <c r="N293" s="2" t="s">
        <v>148</v>
      </c>
      <c r="O293" s="2" t="s">
        <v>83</v>
      </c>
      <c r="P293" s="2" t="s">
        <v>36</v>
      </c>
      <c r="Q293" s="2" t="s">
        <v>1567</v>
      </c>
      <c r="R293" s="2">
        <v>15457</v>
      </c>
      <c r="S293" s="2" t="s">
        <v>37</v>
      </c>
      <c r="T293" s="2" t="s">
        <v>37</v>
      </c>
      <c r="U293" s="2" t="s">
        <v>76</v>
      </c>
      <c r="V293" s="3">
        <v>45908</v>
      </c>
      <c r="W293" s="2" t="s">
        <v>39</v>
      </c>
      <c r="X293" s="2" t="str">
        <f t="shared" si="16"/>
        <v>Pasaje Los Rosales Sector 7, Lurigancho, Lima, Lima, Perú</v>
      </c>
      <c r="Y293" s="22">
        <v>-11.9496065</v>
      </c>
      <c r="Z293" s="22">
        <v>-76.969769700000001</v>
      </c>
      <c r="AA293" s="33">
        <f t="shared" si="17"/>
        <v>9.27</v>
      </c>
      <c r="AB293" s="2" t="str">
        <f t="shared" si="18"/>
        <v>🟡 Cerca (5-10 km)</v>
      </c>
      <c r="AC293" s="2" t="str" cm="1">
        <f t="array" ref="AC293">INDEX(PARADEROS_VALIDOS!$C$2:$C$68,MATCH(MIN(6371*ACOS(COS(RADIANS(Y293))*COS(RADIANS(PARADEROS_VALIDOS!$E$2:$E$68))*COS(RADIANS(PARADEROS_VALIDOS!$F$2:$F$68)-RADIANS(Z293))+SIN(RADIANS(Y293))*SIN(RADIANS(PARADEROS_VALIDOS!$E$2:$E$68)))),6371*ACOS(COS(RADIANS(Y293))*COS(RADIANS(PARADEROS_VALIDOS!$E$2:$E$68))*COS(RADIANS(PARADEROS_VALIDOS!$F$2:$F$68)-RADIANS(Z293))+SIN(RADIANS(Y293))*SIN(RADIANS(PARADEROS_VALIDOS!$E$2:$E$68))),0))</f>
        <v>Paradero San Martin</v>
      </c>
      <c r="AD293" s="2" t="str">
        <f>IFERROR(INDEX(PARADEROS_VALIDOS!$A$2:$A$68,MATCH(AC293,PARADEROS_VALIDOS!$C$2:$C$68,0)),"")</f>
        <v>RUTA 6A</v>
      </c>
      <c r="AE293" s="33" cm="1">
        <f t="array" ref="AE293">ROUND(MIN(6371*ACOS(COS(RADIANS(Y293))*COS(RADIANS(PARADEROS_VALIDOS!$E$2:$E$68))*COS(RADIANS(PARADEROS_VALIDOS!$F$2:$F$68)-RADIANS(Z293))+SIN(RADIANS(Y293))*SIN(RADIANS(PARADEROS_VALIDOS!$E$2:$E$68)))),2)</f>
        <v>4.3499999999999996</v>
      </c>
      <c r="AF293" s="2" t="str">
        <f t="shared" si="19"/>
        <v>🟠 Moderada (3-5 km)</v>
      </c>
      <c r="AG293" s="2"/>
      <c r="AH293" s="2"/>
      <c r="AI293" s="51">
        <v>-11.997563</v>
      </c>
      <c r="AJ293" s="51">
        <v>-76.900062000000005</v>
      </c>
      <c r="AK293" s="2" t="str">
        <f>IFERROR(VLOOKUP(I293,tdcargo[],2,FALSE),"DESCONOCIDO")</f>
        <v>OPERARIO</v>
      </c>
    </row>
    <row r="294" spans="1:37" x14ac:dyDescent="0.35">
      <c r="A294" s="2" t="s">
        <v>1568</v>
      </c>
      <c r="B294" s="2" t="s">
        <v>1569</v>
      </c>
      <c r="C294" s="2" t="s">
        <v>1570</v>
      </c>
      <c r="D294" s="2" t="s">
        <v>1571</v>
      </c>
      <c r="E294" s="2">
        <v>22</v>
      </c>
      <c r="F294" s="2" t="s">
        <v>28</v>
      </c>
      <c r="G294" s="2" t="s">
        <v>29</v>
      </c>
      <c r="H294" s="2">
        <v>20508961</v>
      </c>
      <c r="I294" s="2" t="s">
        <v>30</v>
      </c>
      <c r="J294" s="3">
        <v>45971</v>
      </c>
      <c r="K294" s="2" t="s">
        <v>31</v>
      </c>
      <c r="L294" s="2" t="s">
        <v>32</v>
      </c>
      <c r="M294" s="2" t="s">
        <v>33</v>
      </c>
      <c r="N294" s="2" t="s">
        <v>34</v>
      </c>
      <c r="O294" s="2" t="s">
        <v>1572</v>
      </c>
      <c r="P294" s="2" t="s">
        <v>36</v>
      </c>
      <c r="Q294" s="2" t="s">
        <v>1573</v>
      </c>
      <c r="R294" s="2">
        <v>15401</v>
      </c>
      <c r="S294" s="2" t="s">
        <v>37</v>
      </c>
      <c r="T294" s="2" t="s">
        <v>37</v>
      </c>
      <c r="U294" s="2" t="s">
        <v>38</v>
      </c>
      <c r="V294" s="3">
        <v>45971</v>
      </c>
      <c r="W294" s="2" t="s">
        <v>135</v>
      </c>
      <c r="X294" s="2" t="str">
        <f t="shared" si="16"/>
        <v>Avenida Av. Villa Esperanza Mz. H Lt. 13 Villa Esperanza, San Juan De Lurigancho, Lima, Lima, Perú</v>
      </c>
      <c r="Y294" s="22">
        <v>-11.909913899999999</v>
      </c>
      <c r="Z294" s="22">
        <v>-76.953495599999997</v>
      </c>
      <c r="AA294" s="33">
        <f t="shared" si="17"/>
        <v>11.35</v>
      </c>
      <c r="AB294" s="2" t="str">
        <f t="shared" si="18"/>
        <v>🟠 Moderada (10-20 km)</v>
      </c>
      <c r="AC294" s="2" t="str" cm="1">
        <f t="array" ref="AC294">INDEX(PARADEROS_VALIDOS!$C$2:$C$68,MATCH(MIN(6371*ACOS(COS(RADIANS(Y294))*COS(RADIANS(PARADEROS_VALIDOS!$E$2:$E$68))*COS(RADIANS(PARADEROS_VALIDOS!$F$2:$F$68)-RADIANS(Z294))+SIN(RADIANS(Y294))*SIN(RADIANS(PARADEROS_VALIDOS!$E$2:$E$68)))),6371*ACOS(COS(RADIANS(Y294))*COS(RADIANS(PARADEROS_VALIDOS!$E$2:$E$68))*COS(RADIANS(PARADEROS_VALIDOS!$F$2:$F$68)-RADIANS(Z294))+SIN(RADIANS(Y294))*SIN(RADIANS(PARADEROS_VALIDOS!$E$2:$E$68))),0))</f>
        <v>Paradero San Martin</v>
      </c>
      <c r="AD294" s="2" t="str">
        <f>IFERROR(INDEX(PARADEROS_VALIDOS!$A$2:$A$68,MATCH(AC294,PARADEROS_VALIDOS!$C$2:$C$68,0)),"")</f>
        <v>RUTA 6A</v>
      </c>
      <c r="AE294" s="33" cm="1">
        <f t="array" ref="AE294">ROUND(MIN(6371*ACOS(COS(RADIANS(Y294))*COS(RADIANS(PARADEROS_VALIDOS!$E$2:$E$68))*COS(RADIANS(PARADEROS_VALIDOS!$F$2:$F$68)-RADIANS(Z294))+SIN(RADIANS(Y294))*SIN(RADIANS(PARADEROS_VALIDOS!$E$2:$E$68)))),2)</f>
        <v>8.84</v>
      </c>
      <c r="AF294" s="2" t="str">
        <f t="shared" si="19"/>
        <v>🔴 Lejos (&gt;5 km)</v>
      </c>
      <c r="AG294" s="2"/>
      <c r="AH294" s="2"/>
      <c r="AI294" s="51">
        <v>-11.997563</v>
      </c>
      <c r="AJ294" s="51">
        <v>-76.900062000000005</v>
      </c>
      <c r="AK294" s="2" t="str">
        <f>IFERROR(VLOOKUP(I294,tdcargo[],2,FALSE),"DESCONOCIDO")</f>
        <v>OPERARIO</v>
      </c>
    </row>
    <row r="295" spans="1:37" x14ac:dyDescent="0.35">
      <c r="A295" s="2" t="s">
        <v>1574</v>
      </c>
      <c r="B295" s="2" t="s">
        <v>1575</v>
      </c>
      <c r="C295" s="2" t="s">
        <v>1576</v>
      </c>
      <c r="D295" s="2" t="s">
        <v>1577</v>
      </c>
      <c r="E295" s="2">
        <v>32</v>
      </c>
      <c r="F295" s="2" t="s">
        <v>28</v>
      </c>
      <c r="G295" s="2" t="s">
        <v>29</v>
      </c>
      <c r="H295" s="2">
        <v>20508810</v>
      </c>
      <c r="I295" s="2" t="s">
        <v>62</v>
      </c>
      <c r="J295" s="3">
        <v>43843</v>
      </c>
      <c r="K295" s="2" t="s">
        <v>31</v>
      </c>
      <c r="L295" s="2" t="s">
        <v>164</v>
      </c>
      <c r="M295" s="2" t="s">
        <v>165</v>
      </c>
      <c r="N295" s="2" t="s">
        <v>36</v>
      </c>
      <c r="O295" s="2" t="s">
        <v>255</v>
      </c>
      <c r="P295" s="2" t="s">
        <v>66</v>
      </c>
      <c r="Q295" s="2" t="s">
        <v>1578</v>
      </c>
      <c r="R295" s="2">
        <v>15004</v>
      </c>
      <c r="S295" s="2" t="s">
        <v>37</v>
      </c>
      <c r="T295" s="2" t="s">
        <v>37</v>
      </c>
      <c r="U295" s="2" t="s">
        <v>57</v>
      </c>
      <c r="V295" s="3">
        <v>43843</v>
      </c>
      <c r="W295" s="2" t="s">
        <v>48</v>
      </c>
      <c r="X295" s="2" t="str">
        <f t="shared" si="16"/>
        <v>Asociacion, U.V. Unidad Vecinal La Estrella Santa Clara, Ate, Lima, Lima, Perú</v>
      </c>
      <c r="Y295" s="22">
        <v>-12.0257185</v>
      </c>
      <c r="Z295" s="22">
        <v>-76.891961600000002</v>
      </c>
      <c r="AA295" s="33">
        <f t="shared" si="17"/>
        <v>3.25</v>
      </c>
      <c r="AB295" s="2" t="str">
        <f t="shared" si="18"/>
        <v>🟢 Muy Cerca (0-5 km)</v>
      </c>
      <c r="AC295" s="2" t="str" cm="1">
        <f t="array" ref="AC295">INDEX(PARADEROS_VALIDOS!$C$2:$C$68,MATCH(MIN(6371*ACOS(COS(RADIANS(Y295))*COS(RADIANS(PARADEROS_VALIDOS!$E$2:$E$68))*COS(RADIANS(PARADEROS_VALIDOS!$F$2:$F$68)-RADIANS(Z295))+SIN(RADIANS(Y295))*SIN(RADIANS(PARADEROS_VALIDOS!$E$2:$E$68)))),6371*ACOS(COS(RADIANS(Y295))*COS(RADIANS(PARADEROS_VALIDOS!$E$2:$E$68))*COS(RADIANS(PARADEROS_VALIDOS!$F$2:$F$68)-RADIANS(Z295))+SIN(RADIANS(Y295))*SIN(RADIANS(PARADEROS_VALIDOS!$E$2:$E$68))),0))</f>
        <v>Paradero Sta. Clara</v>
      </c>
      <c r="AD295" s="2" t="str">
        <f>IFERROR(INDEX(PARADEROS_VALIDOS!$A$2:$A$68,MATCH(AC295,PARADEROS_VALIDOS!$C$2:$C$68,0)),"")</f>
        <v>RUTA 5C</v>
      </c>
      <c r="AE295" s="33" cm="1">
        <f t="array" ref="AE295">ROUND(MIN(6371*ACOS(COS(RADIANS(Y295))*COS(RADIANS(PARADEROS_VALIDOS!$E$2:$E$68))*COS(RADIANS(PARADEROS_VALIDOS!$F$2:$F$68)-RADIANS(Z295))+SIN(RADIANS(Y295))*SIN(RADIANS(PARADEROS_VALIDOS!$E$2:$E$68)))),2)</f>
        <v>1.41</v>
      </c>
      <c r="AF295" s="2" t="str">
        <f t="shared" si="19"/>
        <v>🟡 Cerca (1-3 km)</v>
      </c>
      <c r="AG295" s="2"/>
      <c r="AH295" s="2"/>
      <c r="AI295" s="51">
        <v>-11.997563</v>
      </c>
      <c r="AJ295" s="51">
        <v>-76.900062000000005</v>
      </c>
      <c r="AK295" s="2" t="str">
        <f>IFERROR(VLOOKUP(I295,tdcargo[],2,FALSE),"DESCONOCIDO")</f>
        <v>OPERARIO</v>
      </c>
    </row>
    <row r="296" spans="1:37" x14ac:dyDescent="0.35">
      <c r="A296" s="2" t="s">
        <v>1579</v>
      </c>
      <c r="B296" s="2" t="s">
        <v>1580</v>
      </c>
      <c r="C296" s="2" t="s">
        <v>629</v>
      </c>
      <c r="D296" s="2" t="s">
        <v>295</v>
      </c>
      <c r="E296" s="2">
        <v>34</v>
      </c>
      <c r="F296" s="2" t="s">
        <v>28</v>
      </c>
      <c r="G296" s="2" t="s">
        <v>29</v>
      </c>
      <c r="H296" s="2">
        <v>20508843</v>
      </c>
      <c r="I296" s="2" t="s">
        <v>62</v>
      </c>
      <c r="J296" s="3">
        <v>43741</v>
      </c>
      <c r="K296" s="2" t="s">
        <v>31</v>
      </c>
      <c r="L296" s="2" t="s">
        <v>164</v>
      </c>
      <c r="M296" s="2" t="s">
        <v>165</v>
      </c>
      <c r="N296" s="2" t="s">
        <v>34</v>
      </c>
      <c r="O296" s="2" t="s">
        <v>412</v>
      </c>
      <c r="P296" s="2" t="s">
        <v>66</v>
      </c>
      <c r="Q296" s="2" t="s">
        <v>1581</v>
      </c>
      <c r="R296" s="2">
        <v>15457</v>
      </c>
      <c r="S296" s="2" t="s">
        <v>37</v>
      </c>
      <c r="T296" s="2" t="s">
        <v>37</v>
      </c>
      <c r="U296" s="2" t="s">
        <v>76</v>
      </c>
      <c r="V296" s="3">
        <v>43741</v>
      </c>
      <c r="W296" s="2" t="s">
        <v>48</v>
      </c>
      <c r="X296" s="2" t="str">
        <f t="shared" si="16"/>
        <v>Avenida Circunvalacion, U.V. Unidad Vecinal Huachipa La Capitana, Lurigancho, Lima, Lima, Perú</v>
      </c>
      <c r="Y296" s="22">
        <v>-12.016697000000001</v>
      </c>
      <c r="Z296" s="22">
        <v>-76.923781099999999</v>
      </c>
      <c r="AA296" s="33">
        <f t="shared" si="17"/>
        <v>3.34</v>
      </c>
      <c r="AB296" s="2" t="str">
        <f t="shared" si="18"/>
        <v>🟢 Muy Cerca (0-5 km)</v>
      </c>
      <c r="AC296" s="2" t="str" cm="1">
        <f t="array" ref="AC296">INDEX(PARADEROS_VALIDOS!$C$2:$C$68,MATCH(MIN(6371*ACOS(COS(RADIANS(Y296))*COS(RADIANS(PARADEROS_VALIDOS!$E$2:$E$68))*COS(RADIANS(PARADEROS_VALIDOS!$F$2:$F$68)-RADIANS(Z296))+SIN(RADIANS(Y296))*SIN(RADIANS(PARADEROS_VALIDOS!$E$2:$E$68)))),6371*ACOS(COS(RADIANS(Y296))*COS(RADIANS(PARADEROS_VALIDOS!$E$2:$E$68))*COS(RADIANS(PARADEROS_VALIDOS!$F$2:$F$68)-RADIANS(Z296))+SIN(RADIANS(Y296))*SIN(RADIANS(PARADEROS_VALIDOS!$E$2:$E$68))),0))</f>
        <v>Estadio Huachipa</v>
      </c>
      <c r="AD296" s="2" t="str">
        <f>IFERROR(INDEX(PARADEROS_VALIDOS!$A$2:$A$68,MATCH(AC296,PARADEROS_VALIDOS!$C$2:$C$68,0)),"")</f>
        <v>RUTA 5C</v>
      </c>
      <c r="AE296" s="33" cm="1">
        <f t="array" ref="AE296">ROUND(MIN(6371*ACOS(COS(RADIANS(Y296))*COS(RADIANS(PARADEROS_VALIDOS!$E$2:$E$68))*COS(RADIANS(PARADEROS_VALIDOS!$F$2:$F$68)-RADIANS(Z296))+SIN(RADIANS(Y296))*SIN(RADIANS(PARADEROS_VALIDOS!$E$2:$E$68)))),2)</f>
        <v>0.86</v>
      </c>
      <c r="AF296" s="2" t="str">
        <f t="shared" si="19"/>
        <v>🟢 Muy Cerca (0-1 km)</v>
      </c>
      <c r="AG296" s="2"/>
      <c r="AH296" s="2"/>
      <c r="AI296" s="51">
        <v>-11.997563</v>
      </c>
      <c r="AJ296" s="51">
        <v>-76.900062000000005</v>
      </c>
      <c r="AK296" s="2" t="str">
        <f>IFERROR(VLOOKUP(I296,tdcargo[],2,FALSE),"DESCONOCIDO")</f>
        <v>OPERARIO</v>
      </c>
    </row>
    <row r="297" spans="1:37" x14ac:dyDescent="0.35">
      <c r="A297" s="2" t="s">
        <v>1582</v>
      </c>
      <c r="B297" s="2" t="s">
        <v>1583</v>
      </c>
      <c r="C297" s="2" t="s">
        <v>1584</v>
      </c>
      <c r="D297" s="2" t="s">
        <v>1585</v>
      </c>
      <c r="E297" s="2">
        <v>26</v>
      </c>
      <c r="F297" s="2" t="s">
        <v>28</v>
      </c>
      <c r="G297" s="2" t="s">
        <v>29</v>
      </c>
      <c r="H297" s="2">
        <v>20509017</v>
      </c>
      <c r="I297" s="2" t="s">
        <v>372</v>
      </c>
      <c r="J297" s="3">
        <v>46072</v>
      </c>
      <c r="K297" s="2" t="s">
        <v>31</v>
      </c>
      <c r="L297" s="2" t="s">
        <v>156</v>
      </c>
      <c r="M297" s="2" t="s">
        <v>157</v>
      </c>
      <c r="N297" s="2"/>
      <c r="O297" s="2" t="s">
        <v>1586</v>
      </c>
      <c r="P297" s="2"/>
      <c r="Q297" s="2"/>
      <c r="R297" s="2">
        <v>15457</v>
      </c>
      <c r="S297" s="2" t="s">
        <v>37</v>
      </c>
      <c r="T297" s="2" t="s">
        <v>37</v>
      </c>
      <c r="U297" s="2" t="s">
        <v>37</v>
      </c>
      <c r="V297" s="3">
        <v>46072</v>
      </c>
      <c r="W297" s="2" t="s">
        <v>135</v>
      </c>
      <c r="X297" s="2" t="str">
        <f t="shared" si="16"/>
        <v>Huanuco lt 1 mz b1, Lima, Lima, Lima, Perú</v>
      </c>
      <c r="Y297" s="22">
        <v>-12.0466888</v>
      </c>
      <c r="Z297" s="22">
        <v>-77.043088600000004</v>
      </c>
      <c r="AA297" s="33">
        <f t="shared" si="17"/>
        <v>16.489999999999998</v>
      </c>
      <c r="AB297" s="2" t="str">
        <f t="shared" si="18"/>
        <v>🟠 Moderada (10-20 km)</v>
      </c>
      <c r="AC297" s="2" t="str" cm="1">
        <f t="array" ref="AC297">INDEX(PARADEROS_VALIDOS!$C$2:$C$68,MATCH(MIN(6371*ACOS(COS(RADIANS(Y297))*COS(RADIANS(PARADEROS_VALIDOS!$E$2:$E$68))*COS(RADIANS(PARADEROS_VALIDOS!$F$2:$F$68)-RADIANS(Z297))+SIN(RADIANS(Y297))*SIN(RADIANS(PARADEROS_VALIDOS!$E$2:$E$68)))),6371*ACOS(COS(RADIANS(Y297))*COS(RADIANS(PARADEROS_VALIDOS!$E$2:$E$68))*COS(RADIANS(PARADEROS_VALIDOS!$F$2:$F$68)-RADIANS(Z297))+SIN(RADIANS(Y297))*SIN(RADIANS(PARADEROS_VALIDOS!$E$2:$E$68))),0))</f>
        <v>Paradero Rompemuelle</v>
      </c>
      <c r="AD297" s="2" t="str">
        <f>IFERROR(INDEX(PARADEROS_VALIDOS!$A$2:$A$68,MATCH(AC297,PARADEROS_VALIDOS!$C$2:$C$68,0)),"")</f>
        <v>RUTA 3</v>
      </c>
      <c r="AE297" s="33" cm="1">
        <f t="array" ref="AE297">ROUND(MIN(6371*ACOS(COS(RADIANS(Y297))*COS(RADIANS(PARADEROS_VALIDOS!$E$2:$E$68))*COS(RADIANS(PARADEROS_VALIDOS!$F$2:$F$68)-RADIANS(Z297))+SIN(RADIANS(Y297))*SIN(RADIANS(PARADEROS_VALIDOS!$E$2:$E$68)))),2)</f>
        <v>0</v>
      </c>
      <c r="AF297" s="2" t="str">
        <f t="shared" si="19"/>
        <v>🟢 Muy Cerca (0-1 km)</v>
      </c>
      <c r="AG297" s="2"/>
      <c r="AH297" s="2"/>
      <c r="AI297" s="51">
        <v>-11.997563</v>
      </c>
      <c r="AJ297" s="51">
        <v>-76.900062000000005</v>
      </c>
      <c r="AK297" s="2" t="str">
        <f>IFERROR(VLOOKUP(I297,tdcargo[],2,FALSE),"DESCONOCIDO")</f>
        <v>OPERARIO</v>
      </c>
    </row>
    <row r="298" spans="1:37" x14ac:dyDescent="0.35">
      <c r="A298" s="2" t="s">
        <v>1587</v>
      </c>
      <c r="B298" s="2" t="s">
        <v>1588</v>
      </c>
      <c r="C298" s="2" t="s">
        <v>1589</v>
      </c>
      <c r="D298" s="2" t="s">
        <v>1590</v>
      </c>
      <c r="E298" s="2">
        <v>47</v>
      </c>
      <c r="F298" s="2" t="s">
        <v>28</v>
      </c>
      <c r="G298" s="2" t="s">
        <v>29</v>
      </c>
      <c r="H298" s="2">
        <v>20513891</v>
      </c>
      <c r="I298" s="2" t="s">
        <v>44</v>
      </c>
      <c r="J298" s="3">
        <v>43024</v>
      </c>
      <c r="K298" s="2" t="s">
        <v>31</v>
      </c>
      <c r="L298" s="2" t="s">
        <v>1060</v>
      </c>
      <c r="M298" s="2" t="s">
        <v>281</v>
      </c>
      <c r="N298" s="2" t="s">
        <v>53</v>
      </c>
      <c r="O298" s="2" t="s">
        <v>480</v>
      </c>
      <c r="P298" s="2" t="s">
        <v>36</v>
      </c>
      <c r="Q298" s="2" t="s">
        <v>193</v>
      </c>
      <c r="R298" s="2">
        <v>15457</v>
      </c>
      <c r="S298" s="2" t="s">
        <v>37</v>
      </c>
      <c r="T298" s="2" t="s">
        <v>37</v>
      </c>
      <c r="U298" s="2" t="s">
        <v>76</v>
      </c>
      <c r="V298" s="3">
        <v>43024</v>
      </c>
      <c r="W298" s="2" t="s">
        <v>48</v>
      </c>
      <c r="X298" s="2" t="str">
        <f t="shared" si="16"/>
        <v>Jirón Los Pinos Jicamarca Anexo 8, Lurigancho, Lima, Lima, Perú</v>
      </c>
      <c r="Y298" s="22">
        <v>-11.984597600000001</v>
      </c>
      <c r="Z298" s="22">
        <v>-76.947419199999999</v>
      </c>
      <c r="AA298" s="33">
        <f t="shared" si="17"/>
        <v>5.35</v>
      </c>
      <c r="AB298" s="2" t="str">
        <f t="shared" si="18"/>
        <v>🟡 Cerca (5-10 km)</v>
      </c>
      <c r="AC298" s="2" t="str" cm="1">
        <f t="array" ref="AC298">INDEX(PARADEROS_VALIDOS!$C$2:$C$68,MATCH(MIN(6371*ACOS(COS(RADIANS(Y298))*COS(RADIANS(PARADEROS_VALIDOS!$E$2:$E$68))*COS(RADIANS(PARADEROS_VALIDOS!$F$2:$F$68)-RADIANS(Z298))+SIN(RADIANS(Y298))*SIN(RADIANS(PARADEROS_VALIDOS!$E$2:$E$68)))),6371*ACOS(COS(RADIANS(Y298))*COS(RADIANS(PARADEROS_VALIDOS!$E$2:$E$68))*COS(RADIANS(PARADEROS_VALIDOS!$F$2:$F$68)-RADIANS(Z298))+SIN(RADIANS(Y298))*SIN(RADIANS(PARADEROS_VALIDOS!$E$2:$E$68))),0))</f>
        <v>Estadio Huachipa</v>
      </c>
      <c r="AD298" s="2" t="str">
        <f>IFERROR(INDEX(PARADEROS_VALIDOS!$A$2:$A$68,MATCH(AC298,PARADEROS_VALIDOS!$C$2:$C$68,0)),"")</f>
        <v>RUTA 5C</v>
      </c>
      <c r="AE298" s="33" cm="1">
        <f t="array" ref="AE298">ROUND(MIN(6371*ACOS(COS(RADIANS(Y298))*COS(RADIANS(PARADEROS_VALIDOS!$E$2:$E$68))*COS(RADIANS(PARADEROS_VALIDOS!$F$2:$F$68)-RADIANS(Z298))+SIN(RADIANS(Y298))*SIN(RADIANS(PARADEROS_VALIDOS!$E$2:$E$68)))),2)</f>
        <v>4.71</v>
      </c>
      <c r="AF298" s="2" t="str">
        <f t="shared" si="19"/>
        <v>🟠 Moderada (3-5 km)</v>
      </c>
      <c r="AG298" s="2"/>
      <c r="AH298" s="2"/>
      <c r="AI298" s="51">
        <v>-11.997563</v>
      </c>
      <c r="AJ298" s="51">
        <v>-76.900062000000005</v>
      </c>
      <c r="AK298" s="2" t="str">
        <f>IFERROR(VLOOKUP(I298,tdcargo[],2,FALSE),"DESCONOCIDO")</f>
        <v>OPERARIO</v>
      </c>
    </row>
    <row r="299" spans="1:37" x14ac:dyDescent="0.35">
      <c r="A299" s="2" t="s">
        <v>1591</v>
      </c>
      <c r="B299" s="2" t="s">
        <v>1592</v>
      </c>
      <c r="C299" s="2" t="s">
        <v>1593</v>
      </c>
      <c r="D299" s="2" t="s">
        <v>1594</v>
      </c>
      <c r="E299" s="2">
        <v>42</v>
      </c>
      <c r="F299" s="2" t="s">
        <v>28</v>
      </c>
      <c r="G299" s="2" t="s">
        <v>29</v>
      </c>
      <c r="H299" s="2">
        <v>20508976</v>
      </c>
      <c r="I299" s="2" t="s">
        <v>30</v>
      </c>
      <c r="J299" s="3">
        <v>45989</v>
      </c>
      <c r="K299" s="2" t="s">
        <v>31</v>
      </c>
      <c r="L299" s="2" t="s">
        <v>132</v>
      </c>
      <c r="M299" s="2" t="s">
        <v>133</v>
      </c>
      <c r="N299" s="2" t="s">
        <v>34</v>
      </c>
      <c r="O299" s="2" t="s">
        <v>1595</v>
      </c>
      <c r="P299" s="2" t="s">
        <v>186</v>
      </c>
      <c r="Q299" s="2" t="s">
        <v>1596</v>
      </c>
      <c r="R299" s="2">
        <v>15457</v>
      </c>
      <c r="S299" s="2" t="s">
        <v>37</v>
      </c>
      <c r="T299" s="2" t="s">
        <v>37</v>
      </c>
      <c r="U299" s="2" t="s">
        <v>76</v>
      </c>
      <c r="V299" s="3">
        <v>45989</v>
      </c>
      <c r="W299" s="2" t="s">
        <v>135</v>
      </c>
      <c r="X299" s="2" t="str">
        <f t="shared" si="16"/>
        <v>Avenida Asoc. La Huerta De Nieveria, Urb. Urbanización NIEVERIA, Lurigancho, Lima, Lima, Perú</v>
      </c>
      <c r="Y299" s="22">
        <v>-11.9911121</v>
      </c>
      <c r="Z299" s="22">
        <v>-76.9192903</v>
      </c>
      <c r="AA299" s="33">
        <f t="shared" si="17"/>
        <v>2.21</v>
      </c>
      <c r="AB299" s="2" t="str">
        <f t="shared" si="18"/>
        <v>🟢 Muy Cerca (0-5 km)</v>
      </c>
      <c r="AC299" s="2" t="str" cm="1">
        <f t="array" ref="AC299">INDEX(PARADEROS_VALIDOS!$C$2:$C$68,MATCH(MIN(6371*ACOS(COS(RADIANS(Y299))*COS(RADIANS(PARADEROS_VALIDOS!$E$2:$E$68))*COS(RADIANS(PARADEROS_VALIDOS!$F$2:$F$68)-RADIANS(Z299))+SIN(RADIANS(Y299))*SIN(RADIANS(PARADEROS_VALIDOS!$E$2:$E$68)))),6371*ACOS(COS(RADIANS(Y299))*COS(RADIANS(PARADEROS_VALIDOS!$E$2:$E$68))*COS(RADIANS(PARADEROS_VALIDOS!$F$2:$F$68)-RADIANS(Z299))+SIN(RADIANS(Y299))*SIN(RADIANS(PARADEROS_VALIDOS!$E$2:$E$68))),0))</f>
        <v>Paradero Arco San Antonio</v>
      </c>
      <c r="AD299" s="2" t="str">
        <f>IFERROR(INDEX(PARADEROS_VALIDOS!$A$2:$A$68,MATCH(AC299,PARADEROS_VALIDOS!$C$2:$C$68,0)),"")</f>
        <v>RUTA 2</v>
      </c>
      <c r="AE299" s="33" cm="1">
        <f t="array" ref="AE299">ROUND(MIN(6371*ACOS(COS(RADIANS(Y299))*COS(RADIANS(PARADEROS_VALIDOS!$E$2:$E$68))*COS(RADIANS(PARADEROS_VALIDOS!$F$2:$F$68)-RADIANS(Z299))+SIN(RADIANS(Y299))*SIN(RADIANS(PARADEROS_VALIDOS!$E$2:$E$68)))),2)</f>
        <v>1.78</v>
      </c>
      <c r="AF299" s="2" t="str">
        <f t="shared" si="19"/>
        <v>🟡 Cerca (1-3 km)</v>
      </c>
      <c r="AG299" s="2"/>
      <c r="AH299" s="2"/>
      <c r="AI299" s="51">
        <v>-11.997563</v>
      </c>
      <c r="AJ299" s="51">
        <v>-76.900062000000005</v>
      </c>
      <c r="AK299" s="2" t="str">
        <f>IFERROR(VLOOKUP(I299,tdcargo[],2,FALSE),"DESCONOCIDO")</f>
        <v>OPERARIO</v>
      </c>
    </row>
    <row r="300" spans="1:37" x14ac:dyDescent="0.35">
      <c r="A300" s="2" t="s">
        <v>1597</v>
      </c>
      <c r="B300" s="2" t="s">
        <v>1598</v>
      </c>
      <c r="C300" s="2" t="s">
        <v>343</v>
      </c>
      <c r="D300" s="2" t="s">
        <v>1599</v>
      </c>
      <c r="E300" s="2">
        <v>25</v>
      </c>
      <c r="F300" s="2" t="s">
        <v>28</v>
      </c>
      <c r="G300" s="2" t="s">
        <v>29</v>
      </c>
      <c r="H300" s="2">
        <v>20514981</v>
      </c>
      <c r="I300" s="2" t="s">
        <v>1600</v>
      </c>
      <c r="J300" s="3">
        <v>46027</v>
      </c>
      <c r="K300" s="2" t="s">
        <v>31</v>
      </c>
      <c r="L300" s="2" t="s">
        <v>1206</v>
      </c>
      <c r="M300" s="2" t="s">
        <v>178</v>
      </c>
      <c r="N300" s="2" t="s">
        <v>82</v>
      </c>
      <c r="O300" s="2" t="s">
        <v>1278</v>
      </c>
      <c r="P300" s="2" t="s">
        <v>36</v>
      </c>
      <c r="Q300" s="2" t="s">
        <v>1601</v>
      </c>
      <c r="R300" s="2">
        <v>15093</v>
      </c>
      <c r="S300" s="2" t="s">
        <v>37</v>
      </c>
      <c r="T300" s="2" t="s">
        <v>37</v>
      </c>
      <c r="U300" s="2" t="s">
        <v>1602</v>
      </c>
      <c r="V300" s="3">
        <v>46027</v>
      </c>
      <c r="W300" s="2" t="s">
        <v>135</v>
      </c>
      <c r="X300" s="2" t="str">
        <f t="shared" si="16"/>
        <v>Calle A LEONCIO PRADO, Rimac, Lima, Lima, Perú</v>
      </c>
      <c r="Y300" s="22">
        <v>-12.033325400000001</v>
      </c>
      <c r="Z300" s="22">
        <v>-77.030575900000002</v>
      </c>
      <c r="AA300" s="33">
        <f t="shared" si="17"/>
        <v>14.74</v>
      </c>
      <c r="AB300" s="2" t="str">
        <f t="shared" si="18"/>
        <v>🟠 Moderada (10-20 km)</v>
      </c>
      <c r="AC300" s="2" t="str" cm="1">
        <f t="array" ref="AC300">INDEX(PARADEROS_VALIDOS!$C$2:$C$68,MATCH(MIN(6371*ACOS(COS(RADIANS(Y300))*COS(RADIANS(PARADEROS_VALIDOS!$E$2:$E$68))*COS(RADIANS(PARADEROS_VALIDOS!$F$2:$F$68)-RADIANS(Z300))+SIN(RADIANS(Y300))*SIN(RADIANS(PARADEROS_VALIDOS!$E$2:$E$68)))),6371*ACOS(COS(RADIANS(Y300))*COS(RADIANS(PARADEROS_VALIDOS!$E$2:$E$68))*COS(RADIANS(PARADEROS_VALIDOS!$F$2:$F$68)-RADIANS(Z300))+SIN(RADIANS(Y300))*SIN(RADIANS(PARADEROS_VALIDOS!$E$2:$E$68))),0))</f>
        <v>Paradero Mercado Las Flores</v>
      </c>
      <c r="AD300" s="2" t="str">
        <f>IFERROR(INDEX(PARADEROS_VALIDOS!$A$2:$A$68,MATCH(AC300,PARADEROS_VALIDOS!$C$2:$C$68,0)),"")</f>
        <v>RUTA 8</v>
      </c>
      <c r="AE300" s="33" cm="1">
        <f t="array" ref="AE300">ROUND(MIN(6371*ACOS(COS(RADIANS(Y300))*COS(RADIANS(PARADEROS_VALIDOS!$E$2:$E$68))*COS(RADIANS(PARADEROS_VALIDOS!$F$2:$F$68)-RADIANS(Z300))+SIN(RADIANS(Y300))*SIN(RADIANS(PARADEROS_VALIDOS!$E$2:$E$68)))),2)</f>
        <v>0.83</v>
      </c>
      <c r="AF300" s="2" t="str">
        <f t="shared" si="19"/>
        <v>🟢 Muy Cerca (0-1 km)</v>
      </c>
      <c r="AG300" s="2"/>
      <c r="AH300" s="2"/>
      <c r="AI300" s="51">
        <v>-11.997563</v>
      </c>
      <c r="AJ300" s="51">
        <v>-76.900062000000005</v>
      </c>
      <c r="AK300" s="2" t="str">
        <f>IFERROR(VLOOKUP(I300,tdcargo[],2,FALSE),"DESCONOCIDO")</f>
        <v>STAFF</v>
      </c>
    </row>
    <row r="301" spans="1:37" x14ac:dyDescent="0.35">
      <c r="A301" s="2" t="s">
        <v>1603</v>
      </c>
      <c r="B301" s="2" t="s">
        <v>1604</v>
      </c>
      <c r="C301" s="2" t="s">
        <v>1605</v>
      </c>
      <c r="D301" s="2" t="s">
        <v>1606</v>
      </c>
      <c r="E301" s="2">
        <v>46</v>
      </c>
      <c r="F301" s="2" t="s">
        <v>28</v>
      </c>
      <c r="G301" s="2" t="s">
        <v>29</v>
      </c>
      <c r="H301" s="2">
        <v>20508734</v>
      </c>
      <c r="I301" s="2" t="s">
        <v>62</v>
      </c>
      <c r="J301" s="3">
        <v>43061</v>
      </c>
      <c r="K301" s="2" t="s">
        <v>31</v>
      </c>
      <c r="L301" s="2" t="s">
        <v>100</v>
      </c>
      <c r="M301" s="2" t="s">
        <v>101</v>
      </c>
      <c r="N301" s="2" t="s">
        <v>36</v>
      </c>
      <c r="O301" s="2" t="s">
        <v>1607</v>
      </c>
      <c r="P301" s="2" t="s">
        <v>88</v>
      </c>
      <c r="Q301" s="2" t="s">
        <v>1545</v>
      </c>
      <c r="R301" s="2">
        <v>15004</v>
      </c>
      <c r="S301" s="2" t="s">
        <v>37</v>
      </c>
      <c r="T301" s="2" t="s">
        <v>37</v>
      </c>
      <c r="U301" s="2" t="s">
        <v>57</v>
      </c>
      <c r="V301" s="3">
        <v>43061</v>
      </c>
      <c r="W301" s="2" t="s">
        <v>48</v>
      </c>
      <c r="X301" s="2" t="str">
        <f t="shared" si="16"/>
        <v>Horacios Zevallos, A.H. Asentamiento Humano Horacio Zevallos Gamez, Ate, Lima, Lima, Perú</v>
      </c>
      <c r="Y301" s="22">
        <v>-12.007734599999999</v>
      </c>
      <c r="Z301" s="22">
        <v>-76.843954199999999</v>
      </c>
      <c r="AA301" s="33">
        <f t="shared" si="17"/>
        <v>6.21</v>
      </c>
      <c r="AB301" s="2" t="str">
        <f t="shared" si="18"/>
        <v>🟡 Cerca (5-10 km)</v>
      </c>
      <c r="AC301" s="2" t="str" cm="1">
        <f t="array" ref="AC301">INDEX(PARADEROS_VALIDOS!$C$2:$C$68,MATCH(MIN(6371*ACOS(COS(RADIANS(Y301))*COS(RADIANS(PARADEROS_VALIDOS!$E$2:$E$68))*COS(RADIANS(PARADEROS_VALIDOS!$F$2:$F$68)-RADIANS(Z301))+SIN(RADIANS(Y301))*SIN(RADIANS(PARADEROS_VALIDOS!$E$2:$E$68)))),6371*ACOS(COS(RADIANS(Y301))*COS(RADIANS(PARADEROS_VALIDOS!$E$2:$E$68))*COS(RADIANS(PARADEROS_VALIDOS!$F$2:$F$68)-RADIANS(Z301))+SIN(RADIANS(Y301))*SIN(RADIANS(PARADEROS_VALIDOS!$E$2:$E$68))),0))</f>
        <v>Entrada Horacio</v>
      </c>
      <c r="AD301" s="2" t="str">
        <f>IFERROR(INDEX(PARADEROS_VALIDOS!$A$2:$A$68,MATCH(AC301,PARADEROS_VALIDOS!$C$2:$C$68,0)),"")</f>
        <v>RUTA 5B</v>
      </c>
      <c r="AE301" s="33" cm="1">
        <f t="array" ref="AE301">ROUND(MIN(6371*ACOS(COS(RADIANS(Y301))*COS(RADIANS(PARADEROS_VALIDOS!$E$2:$E$68))*COS(RADIANS(PARADEROS_VALIDOS!$F$2:$F$68)-RADIANS(Z301))+SIN(RADIANS(Y301))*SIN(RADIANS(PARADEROS_VALIDOS!$E$2:$E$68)))),2)</f>
        <v>0.22</v>
      </c>
      <c r="AF301" s="2" t="str">
        <f t="shared" si="19"/>
        <v>🟢 Muy Cerca (0-1 km)</v>
      </c>
      <c r="AG301" s="2"/>
      <c r="AH301" s="2"/>
      <c r="AI301" s="51">
        <v>-11.997563</v>
      </c>
      <c r="AJ301" s="51">
        <v>-76.900062000000005</v>
      </c>
      <c r="AK301" s="2" t="str">
        <f>IFERROR(VLOOKUP(I301,tdcargo[],2,FALSE),"DESCONOCIDO")</f>
        <v>OPERARIO</v>
      </c>
    </row>
    <row r="302" spans="1:37" x14ac:dyDescent="0.35">
      <c r="A302" s="2" t="s">
        <v>1608</v>
      </c>
      <c r="B302" s="2" t="s">
        <v>1142</v>
      </c>
      <c r="C302" s="2" t="s">
        <v>969</v>
      </c>
      <c r="D302" s="2" t="s">
        <v>786</v>
      </c>
      <c r="E302" s="2">
        <v>39</v>
      </c>
      <c r="F302" s="2" t="s">
        <v>28</v>
      </c>
      <c r="G302" s="2" t="s">
        <v>29</v>
      </c>
      <c r="H302" s="2">
        <v>20508838</v>
      </c>
      <c r="I302" s="2" t="s">
        <v>44</v>
      </c>
      <c r="J302" s="3">
        <v>43108</v>
      </c>
      <c r="K302" s="2" t="s">
        <v>31</v>
      </c>
      <c r="L302" s="2" t="s">
        <v>108</v>
      </c>
      <c r="M302" s="2" t="s">
        <v>109</v>
      </c>
      <c r="N302" s="2" t="s">
        <v>36</v>
      </c>
      <c r="O302" s="2" t="s">
        <v>1609</v>
      </c>
      <c r="P302" s="2" t="s">
        <v>186</v>
      </c>
      <c r="Q302" s="2" t="s">
        <v>1609</v>
      </c>
      <c r="R302" s="2">
        <v>15457</v>
      </c>
      <c r="S302" s="2" t="s">
        <v>37</v>
      </c>
      <c r="T302" s="2" t="s">
        <v>37</v>
      </c>
      <c r="U302" s="2" t="s">
        <v>76</v>
      </c>
      <c r="V302" s="3">
        <v>43108</v>
      </c>
      <c r="W302" s="2" t="s">
        <v>48</v>
      </c>
      <c r="X302" s="2" t="str">
        <f t="shared" si="16"/>
        <v>Nieverica, Urb. Urbanización Nieverica, Lurigancho, Lima, Lima, Perú</v>
      </c>
      <c r="Y302" s="22">
        <v>-11.9293417</v>
      </c>
      <c r="Z302" s="22">
        <v>-76.990525099999999</v>
      </c>
      <c r="AA302" s="33">
        <f t="shared" si="17"/>
        <v>12.43</v>
      </c>
      <c r="AB302" s="2" t="str">
        <f t="shared" si="18"/>
        <v>🟠 Moderada (10-20 km)</v>
      </c>
      <c r="AC302" s="2" t="str" cm="1">
        <f t="array" ref="AC302">INDEX(PARADEROS_VALIDOS!$C$2:$C$68,MATCH(MIN(6371*ACOS(COS(RADIANS(Y302))*COS(RADIANS(PARADEROS_VALIDOS!$E$2:$E$68))*COS(RADIANS(PARADEROS_VALIDOS!$F$2:$F$68)-RADIANS(Z302))+SIN(RADIANS(Y302))*SIN(RADIANS(PARADEROS_VALIDOS!$E$2:$E$68)))),6371*ACOS(COS(RADIANS(Y302))*COS(RADIANS(PARADEROS_VALIDOS!$E$2:$E$68))*COS(RADIANS(PARADEROS_VALIDOS!$F$2:$F$68)-RADIANS(Z302))+SIN(RADIANS(Y302))*SIN(RADIANS(PARADEROS_VALIDOS!$E$2:$E$68))),0))</f>
        <v>Paradero Acho</v>
      </c>
      <c r="AD302" s="2" t="str">
        <f>IFERROR(INDEX(PARADEROS_VALIDOS!$A$2:$A$68,MATCH(AC302,PARADEROS_VALIDOS!$C$2:$C$68,0)),"")</f>
        <v>RUTA 8</v>
      </c>
      <c r="AE302" s="33" cm="1">
        <f t="array" ref="AE302">ROUND(MIN(6371*ACOS(COS(RADIANS(Y302))*COS(RADIANS(PARADEROS_VALIDOS!$E$2:$E$68))*COS(RADIANS(PARADEROS_VALIDOS!$F$2:$F$68)-RADIANS(Z302))+SIN(RADIANS(Y302))*SIN(RADIANS(PARADEROS_VALIDOS!$E$2:$E$68)))),2)</f>
        <v>5</v>
      </c>
      <c r="AF302" s="2" t="str">
        <f t="shared" si="19"/>
        <v>🟠 Moderada (3-5 km)</v>
      </c>
      <c r="AG302" s="2"/>
      <c r="AH302" s="2"/>
      <c r="AI302" s="51">
        <v>-11.997563</v>
      </c>
      <c r="AJ302" s="51">
        <v>-76.900062000000005</v>
      </c>
      <c r="AK302" s="2" t="str">
        <f>IFERROR(VLOOKUP(I302,tdcargo[],2,FALSE),"DESCONOCIDO")</f>
        <v>OPERARIO</v>
      </c>
    </row>
    <row r="303" spans="1:37" x14ac:dyDescent="0.35">
      <c r="A303" s="2" t="s">
        <v>1610</v>
      </c>
      <c r="B303" s="2" t="s">
        <v>628</v>
      </c>
      <c r="C303" s="2" t="s">
        <v>1611</v>
      </c>
      <c r="D303" s="2" t="s">
        <v>525</v>
      </c>
      <c r="E303" s="2">
        <v>23</v>
      </c>
      <c r="F303" s="2" t="s">
        <v>28</v>
      </c>
      <c r="G303" s="2" t="s">
        <v>29</v>
      </c>
      <c r="H303" s="2">
        <v>20508753</v>
      </c>
      <c r="I303" s="2" t="s">
        <v>30</v>
      </c>
      <c r="J303" s="3">
        <v>45187</v>
      </c>
      <c r="K303" s="2" t="s">
        <v>31</v>
      </c>
      <c r="L303" s="2" t="s">
        <v>100</v>
      </c>
      <c r="M303" s="2" t="s">
        <v>101</v>
      </c>
      <c r="N303" s="2" t="s">
        <v>1612</v>
      </c>
      <c r="O303" s="2" t="s">
        <v>166</v>
      </c>
      <c r="P303" s="2" t="s">
        <v>36</v>
      </c>
      <c r="Q303" s="2" t="s">
        <v>1613</v>
      </c>
      <c r="R303" s="2">
        <v>15457</v>
      </c>
      <c r="S303" s="2" t="s">
        <v>37</v>
      </c>
      <c r="T303" s="2" t="s">
        <v>37</v>
      </c>
      <c r="U303" s="2" t="s">
        <v>76</v>
      </c>
      <c r="V303" s="3">
        <v>46082</v>
      </c>
      <c r="W303" s="2" t="s">
        <v>39</v>
      </c>
      <c r="X303" s="2" t="str">
        <f t="shared" si="16"/>
        <v>Parque La Campiña Sector A, Lurigancho, Lima, Lima, Perú</v>
      </c>
      <c r="Y303" s="22">
        <v>-11.9645346</v>
      </c>
      <c r="Z303" s="22">
        <v>-77.007865499999994</v>
      </c>
      <c r="AA303" s="33">
        <f t="shared" si="17"/>
        <v>12.29</v>
      </c>
      <c r="AB303" s="2" t="str">
        <f t="shared" si="18"/>
        <v>🟠 Moderada (10-20 km)</v>
      </c>
      <c r="AC303" s="2" t="str" cm="1">
        <f t="array" ref="AC303">INDEX(PARADEROS_VALIDOS!$C$2:$C$68,MATCH(MIN(6371*ACOS(COS(RADIANS(Y303))*COS(RADIANS(PARADEROS_VALIDOS!$E$2:$E$68))*COS(RADIANS(PARADEROS_VALIDOS!$F$2:$F$68)-RADIANS(Z303))+SIN(RADIANS(Y303))*SIN(RADIANS(PARADEROS_VALIDOS!$E$2:$E$68)))),6371*ACOS(COS(RADIANS(Y303))*COS(RADIANS(PARADEROS_VALIDOS!$E$2:$E$68))*COS(RADIANS(PARADEROS_VALIDOS!$F$2:$F$68)-RADIANS(Z303))+SIN(RADIANS(Y303))*SIN(RADIANS(PARADEROS_VALIDOS!$E$2:$E$68))),0))</f>
        <v>Paradero Acho</v>
      </c>
      <c r="AD303" s="2" t="str">
        <f>IFERROR(INDEX(PARADEROS_VALIDOS!$A$2:$A$68,MATCH(AC303,PARADEROS_VALIDOS!$C$2:$C$68,0)),"")</f>
        <v>RUTA 8</v>
      </c>
      <c r="AE303" s="33" cm="1">
        <f t="array" ref="AE303">ROUND(MIN(6371*ACOS(COS(RADIANS(Y303))*COS(RADIANS(PARADEROS_VALIDOS!$E$2:$E$68))*COS(RADIANS(PARADEROS_VALIDOS!$F$2:$F$68)-RADIANS(Z303))+SIN(RADIANS(Y303))*SIN(RADIANS(PARADEROS_VALIDOS!$E$2:$E$68)))),2)</f>
        <v>0.96</v>
      </c>
      <c r="AF303" s="2" t="str">
        <f t="shared" si="19"/>
        <v>🟢 Muy Cerca (0-1 km)</v>
      </c>
      <c r="AG303" s="2"/>
      <c r="AH303" s="2"/>
      <c r="AI303" s="51">
        <v>-11.997563</v>
      </c>
      <c r="AJ303" s="51">
        <v>-76.900062000000005</v>
      </c>
      <c r="AK303" s="2" t="str">
        <f>IFERROR(VLOOKUP(I303,tdcargo[],2,FALSE),"DESCONOCIDO")</f>
        <v>OPERARIO</v>
      </c>
    </row>
    <row r="304" spans="1:37" x14ac:dyDescent="0.35">
      <c r="A304" s="2" t="s">
        <v>1614</v>
      </c>
      <c r="B304" s="2" t="s">
        <v>388</v>
      </c>
      <c r="C304" s="2" t="s">
        <v>519</v>
      </c>
      <c r="D304" s="2" t="s">
        <v>363</v>
      </c>
      <c r="E304" s="2">
        <v>40</v>
      </c>
      <c r="F304" s="2" t="s">
        <v>28</v>
      </c>
      <c r="G304" s="2" t="s">
        <v>29</v>
      </c>
      <c r="H304" s="2">
        <v>20508768</v>
      </c>
      <c r="I304" s="2" t="s">
        <v>30</v>
      </c>
      <c r="J304" s="3">
        <v>45583</v>
      </c>
      <c r="K304" s="2" t="s">
        <v>31</v>
      </c>
      <c r="L304" s="2" t="s">
        <v>100</v>
      </c>
      <c r="M304" s="2" t="s">
        <v>101</v>
      </c>
      <c r="N304" s="2" t="s">
        <v>82</v>
      </c>
      <c r="O304" s="2" t="s">
        <v>644</v>
      </c>
      <c r="P304" s="2" t="s">
        <v>36</v>
      </c>
      <c r="Q304" s="2" t="s">
        <v>1615</v>
      </c>
      <c r="R304" s="2">
        <v>15457</v>
      </c>
      <c r="S304" s="2" t="s">
        <v>37</v>
      </c>
      <c r="T304" s="2" t="s">
        <v>37</v>
      </c>
      <c r="U304" s="2" t="s">
        <v>76</v>
      </c>
      <c r="V304" s="3">
        <v>45583</v>
      </c>
      <c r="W304" s="2" t="s">
        <v>48</v>
      </c>
      <c r="X304" s="2" t="str">
        <f t="shared" si="16"/>
        <v>Calle Los Girasoles Proyecto 2000 Jicamarca Anexo 8|, Lurigancho, Lima, Lima, Perú</v>
      </c>
      <c r="Y304" s="22">
        <v>-11.9855023</v>
      </c>
      <c r="Z304" s="22">
        <v>-76.9465608</v>
      </c>
      <c r="AA304" s="33">
        <f t="shared" si="17"/>
        <v>5.23</v>
      </c>
      <c r="AB304" s="2" t="str">
        <f t="shared" si="18"/>
        <v>🟡 Cerca (5-10 km)</v>
      </c>
      <c r="AC304" s="2" t="str" cm="1">
        <f t="array" ref="AC304">INDEX(PARADEROS_VALIDOS!$C$2:$C$68,MATCH(MIN(6371*ACOS(COS(RADIANS(Y304))*COS(RADIANS(PARADEROS_VALIDOS!$E$2:$E$68))*COS(RADIANS(PARADEROS_VALIDOS!$F$2:$F$68)-RADIANS(Z304))+SIN(RADIANS(Y304))*SIN(RADIANS(PARADEROS_VALIDOS!$E$2:$E$68)))),6371*ACOS(COS(RADIANS(Y304))*COS(RADIANS(PARADEROS_VALIDOS!$E$2:$E$68))*COS(RADIANS(PARADEROS_VALIDOS!$F$2:$F$68)-RADIANS(Z304))+SIN(RADIANS(Y304))*SIN(RADIANS(PARADEROS_VALIDOS!$E$2:$E$68))),0))</f>
        <v>Estadio Huachipa</v>
      </c>
      <c r="AD304" s="2" t="str">
        <f>IFERROR(INDEX(PARADEROS_VALIDOS!$A$2:$A$68,MATCH(AC304,PARADEROS_VALIDOS!$C$2:$C$68,0)),"")</f>
        <v>RUTA 5C</v>
      </c>
      <c r="AE304" s="33" cm="1">
        <f t="array" ref="AE304">ROUND(MIN(6371*ACOS(COS(RADIANS(Y304))*COS(RADIANS(PARADEROS_VALIDOS!$E$2:$E$68))*COS(RADIANS(PARADEROS_VALIDOS!$F$2:$F$68)-RADIANS(Z304))+SIN(RADIANS(Y304))*SIN(RADIANS(PARADEROS_VALIDOS!$E$2:$E$68)))),2)</f>
        <v>4.57</v>
      </c>
      <c r="AF304" s="2" t="str">
        <f t="shared" si="19"/>
        <v>🟠 Moderada (3-5 km)</v>
      </c>
      <c r="AG304" s="2"/>
      <c r="AH304" s="2"/>
      <c r="AI304" s="51">
        <v>-11.997563</v>
      </c>
      <c r="AJ304" s="51">
        <v>-76.900062000000005</v>
      </c>
      <c r="AK304" s="2" t="str">
        <f>IFERROR(VLOOKUP(I304,tdcargo[],2,FALSE),"DESCONOCIDO")</f>
        <v>OPERARIO</v>
      </c>
    </row>
    <row r="305" spans="1:37" x14ac:dyDescent="0.35">
      <c r="A305" s="2" t="s">
        <v>1616</v>
      </c>
      <c r="B305" s="2" t="s">
        <v>1617</v>
      </c>
      <c r="C305" s="2" t="s">
        <v>1128</v>
      </c>
      <c r="D305" s="2" t="s">
        <v>1618</v>
      </c>
      <c r="E305" s="2">
        <v>26</v>
      </c>
      <c r="F305" s="2" t="s">
        <v>28</v>
      </c>
      <c r="G305" s="2" t="s">
        <v>29</v>
      </c>
      <c r="H305" s="2">
        <v>20508789</v>
      </c>
      <c r="I305" s="2" t="s">
        <v>30</v>
      </c>
      <c r="J305" s="3">
        <v>45239</v>
      </c>
      <c r="K305" s="2" t="s">
        <v>31</v>
      </c>
      <c r="L305" s="2" t="s">
        <v>72</v>
      </c>
      <c r="M305" s="2" t="s">
        <v>73</v>
      </c>
      <c r="N305" s="2" t="s">
        <v>82</v>
      </c>
      <c r="O305" s="2" t="s">
        <v>149</v>
      </c>
      <c r="P305" s="2" t="s">
        <v>36</v>
      </c>
      <c r="Q305" s="2" t="s">
        <v>1619</v>
      </c>
      <c r="R305" s="2">
        <v>15401</v>
      </c>
      <c r="S305" s="2" t="s">
        <v>37</v>
      </c>
      <c r="T305" s="2" t="s">
        <v>37</v>
      </c>
      <c r="U305" s="2" t="s">
        <v>38</v>
      </c>
      <c r="V305" s="3">
        <v>45239</v>
      </c>
      <c r="W305" s="2" t="s">
        <v>48</v>
      </c>
      <c r="X305" s="2" t="str">
        <f t="shared" si="16"/>
        <v>Calle Los Jazmines Calle 8 - Campoy, San Juan De Lurigancho, Lima, Lima, Perú</v>
      </c>
      <c r="Y305" s="22">
        <v>-12.018777399999999</v>
      </c>
      <c r="Z305" s="22">
        <v>-76.960937599999994</v>
      </c>
      <c r="AA305" s="33">
        <f t="shared" si="17"/>
        <v>7.03</v>
      </c>
      <c r="AB305" s="2" t="str">
        <f t="shared" si="18"/>
        <v>🟡 Cerca (5-10 km)</v>
      </c>
      <c r="AC305" s="2" t="str" cm="1">
        <f t="array" ref="AC305">INDEX(PARADEROS_VALIDOS!$C$2:$C$68,MATCH(MIN(6371*ACOS(COS(RADIANS(Y305))*COS(RADIANS(PARADEROS_VALIDOS!$E$2:$E$68))*COS(RADIANS(PARADEROS_VALIDOS!$F$2:$F$68)-RADIANS(Z305))+SIN(RADIANS(Y305))*SIN(RADIANS(PARADEROS_VALIDOS!$E$2:$E$68)))),6371*ACOS(COS(RADIANS(Y305))*COS(RADIANS(PARADEROS_VALIDOS!$E$2:$E$68))*COS(RADIANS(PARADEROS_VALIDOS!$F$2:$F$68)-RADIANS(Z305))+SIN(RADIANS(Y305))*SIN(RADIANS(PARADEROS_VALIDOS!$E$2:$E$68))),0))</f>
        <v>Paradero Bayóvar</v>
      </c>
      <c r="AD305" s="2" t="str">
        <f>IFERROR(INDEX(PARADEROS_VALIDOS!$A$2:$A$68,MATCH(AC305,PARADEROS_VALIDOS!$C$2:$C$68,0)),"")</f>
        <v>RUTA 6A</v>
      </c>
      <c r="AE305" s="33" cm="1">
        <f t="array" ref="AE305">ROUND(MIN(6371*ACOS(COS(RADIANS(Y305))*COS(RADIANS(PARADEROS_VALIDOS!$E$2:$E$68))*COS(RADIANS(PARADEROS_VALIDOS!$F$2:$F$68)-RADIANS(Z305))+SIN(RADIANS(Y305))*SIN(RADIANS(PARADEROS_VALIDOS!$E$2:$E$68)))),2)</f>
        <v>1.26</v>
      </c>
      <c r="AF305" s="2" t="str">
        <f t="shared" si="19"/>
        <v>🟡 Cerca (1-3 km)</v>
      </c>
      <c r="AG305" s="2"/>
      <c r="AH305" s="2"/>
      <c r="AI305" s="51">
        <v>-11.997563</v>
      </c>
      <c r="AJ305" s="51">
        <v>-76.900062000000005</v>
      </c>
      <c r="AK305" s="2" t="str">
        <f>IFERROR(VLOOKUP(I305,tdcargo[],2,FALSE),"DESCONOCIDO")</f>
        <v>OPERARIO</v>
      </c>
    </row>
    <row r="306" spans="1:37" x14ac:dyDescent="0.35">
      <c r="A306" s="2" t="s">
        <v>1620</v>
      </c>
      <c r="B306" s="2" t="s">
        <v>1621</v>
      </c>
      <c r="C306" s="2" t="s">
        <v>265</v>
      </c>
      <c r="D306" s="2" t="s">
        <v>219</v>
      </c>
      <c r="E306" s="2">
        <v>26</v>
      </c>
      <c r="F306" s="2" t="s">
        <v>28</v>
      </c>
      <c r="G306" s="2" t="s">
        <v>29</v>
      </c>
      <c r="H306" s="2">
        <v>20508994</v>
      </c>
      <c r="I306" s="2" t="s">
        <v>30</v>
      </c>
      <c r="J306" s="3">
        <v>45544</v>
      </c>
      <c r="K306" s="2" t="s">
        <v>31</v>
      </c>
      <c r="L306" s="2" t="s">
        <v>63</v>
      </c>
      <c r="M306" s="2" t="s">
        <v>64</v>
      </c>
      <c r="N306" s="2" t="s">
        <v>36</v>
      </c>
      <c r="O306" s="2">
        <v>0</v>
      </c>
      <c r="P306" s="2" t="s">
        <v>36</v>
      </c>
      <c r="Q306" s="2" t="s">
        <v>1622</v>
      </c>
      <c r="R306" s="2">
        <v>15501</v>
      </c>
      <c r="S306" s="2" t="s">
        <v>37</v>
      </c>
      <c r="T306" s="2" t="s">
        <v>195</v>
      </c>
      <c r="U306" s="2" t="s">
        <v>1623</v>
      </c>
      <c r="V306" s="3">
        <v>46082</v>
      </c>
      <c r="W306" s="2" t="s">
        <v>39</v>
      </c>
      <c r="X306" s="2" t="str">
        <f t="shared" si="16"/>
        <v>0 Asoc Bello Horizonte, Santa Eulalia, Huarochiri, Lima, Perú</v>
      </c>
      <c r="Y306" s="22">
        <v>-11.8552874</v>
      </c>
      <c r="Z306" s="22">
        <v>-76.652822499999999</v>
      </c>
      <c r="AA306" s="33">
        <f t="shared" si="17"/>
        <v>31.21</v>
      </c>
      <c r="AB306" s="2" t="str">
        <f t="shared" si="18"/>
        <v>🔴 Lejos (&gt;20 km)</v>
      </c>
      <c r="AC306" s="2" t="str" cm="1">
        <f t="array" ref="AC306">INDEX(PARADEROS_VALIDOS!$C$2:$C$68,MATCH(MIN(6371*ACOS(COS(RADIANS(Y306))*COS(RADIANS(PARADEROS_VALIDOS!$E$2:$E$68))*COS(RADIANS(PARADEROS_VALIDOS!$F$2:$F$68)-RADIANS(Z306))+SIN(RADIANS(Y306))*SIN(RADIANS(PARADEROS_VALIDOS!$E$2:$E$68)))),6371*ACOS(COS(RADIANS(Y306))*COS(RADIANS(PARADEROS_VALIDOS!$E$2:$E$68))*COS(RADIANS(PARADEROS_VALIDOS!$F$2:$F$68)-RADIANS(Z306))+SIN(RADIANS(Y306))*SIN(RADIANS(PARADEROS_VALIDOS!$E$2:$E$68))),0))</f>
        <v>Paradero Girasoles - Chaclacayo</v>
      </c>
      <c r="AD306" s="2" t="str">
        <f>IFERROR(INDEX(PARADEROS_VALIDOS!$A$2:$A$68,MATCH(AC306,PARADEROS_VALIDOS!$C$2:$C$68,0)),"")</f>
        <v>RUTA 5A</v>
      </c>
      <c r="AE306" s="33" cm="1">
        <f t="array" ref="AE306">ROUND(MIN(6371*ACOS(COS(RADIANS(Y306))*COS(RADIANS(PARADEROS_VALIDOS!$E$2:$E$68))*COS(RADIANS(PARADEROS_VALIDOS!$F$2:$F$68)-RADIANS(Z306))+SIN(RADIANS(Y306))*SIN(RADIANS(PARADEROS_VALIDOS!$E$2:$E$68)))),2)</f>
        <v>18.739999999999998</v>
      </c>
      <c r="AF306" s="2" t="str">
        <f t="shared" si="19"/>
        <v>🔴 Lejos (&gt;5 km)</v>
      </c>
      <c r="AG306" s="2"/>
      <c r="AH306" s="2"/>
      <c r="AI306" s="51">
        <v>-11.997563</v>
      </c>
      <c r="AJ306" s="51">
        <v>-76.900062000000005</v>
      </c>
      <c r="AK306" s="2" t="str">
        <f>IFERROR(VLOOKUP(I306,tdcargo[],2,FALSE),"DESCONOCIDO")</f>
        <v>OPERARIO</v>
      </c>
    </row>
    <row r="307" spans="1:37" x14ac:dyDescent="0.35">
      <c r="A307" s="2" t="s">
        <v>101</v>
      </c>
      <c r="B307" s="2" t="s">
        <v>1624</v>
      </c>
      <c r="C307" s="2" t="s">
        <v>1625</v>
      </c>
      <c r="D307" s="2" t="s">
        <v>462</v>
      </c>
      <c r="E307" s="2">
        <v>45</v>
      </c>
      <c r="F307" s="2" t="s">
        <v>28</v>
      </c>
      <c r="G307" s="2" t="s">
        <v>29</v>
      </c>
      <c r="H307" s="2">
        <v>20508782</v>
      </c>
      <c r="I307" s="2" t="s">
        <v>416</v>
      </c>
      <c r="J307" s="3">
        <v>45789</v>
      </c>
      <c r="K307" s="2" t="s">
        <v>31</v>
      </c>
      <c r="L307" s="2" t="s">
        <v>1064</v>
      </c>
      <c r="M307" s="2" t="s">
        <v>1065</v>
      </c>
      <c r="N307" s="2" t="s">
        <v>34</v>
      </c>
      <c r="O307" s="2" t="s">
        <v>1626</v>
      </c>
      <c r="P307" s="2" t="s">
        <v>36</v>
      </c>
      <c r="Q307" s="2" t="s">
        <v>1627</v>
      </c>
      <c r="R307" s="2">
        <v>15101</v>
      </c>
      <c r="S307" s="2" t="s">
        <v>37</v>
      </c>
      <c r="T307" s="2" t="s">
        <v>37</v>
      </c>
      <c r="U307" s="2" t="s">
        <v>210</v>
      </c>
      <c r="V307" s="3">
        <v>45789</v>
      </c>
      <c r="W307" s="2" t="s">
        <v>39</v>
      </c>
      <c r="X307" s="2" t="str">
        <f t="shared" si="16"/>
        <v>Avenida San Diego De Alcala Condominio San Diego De Alcala, San Martin De Porres, Lima, Lima, Perú</v>
      </c>
      <c r="Y307" s="22">
        <v>-11.9538514</v>
      </c>
      <c r="Z307" s="22">
        <v>-77.0909312</v>
      </c>
      <c r="AA307" s="33">
        <f t="shared" si="17"/>
        <v>21.32</v>
      </c>
      <c r="AB307" s="2" t="str">
        <f t="shared" si="18"/>
        <v>🔴 Lejos (&gt;20 km)</v>
      </c>
      <c r="AC307" s="2" t="str" cm="1">
        <f t="array" ref="AC307">INDEX(PARADEROS_VALIDOS!$C$2:$C$68,MATCH(MIN(6371*ACOS(COS(RADIANS(Y307))*COS(RADIANS(PARADEROS_VALIDOS!$E$2:$E$68))*COS(RADIANS(PARADEROS_VALIDOS!$F$2:$F$68)-RADIANS(Z307))+SIN(RADIANS(Y307))*SIN(RADIANS(PARADEROS_VALIDOS!$E$2:$E$68)))),6371*ACOS(COS(RADIANS(Y307))*COS(RADIANS(PARADEROS_VALIDOS!$E$2:$E$68))*COS(RADIANS(PARADEROS_VALIDOS!$F$2:$F$68)-RADIANS(Z307))+SIN(RADIANS(Y307))*SIN(RADIANS(PARADEROS_VALIDOS!$E$2:$E$68))),0))</f>
        <v>Paradero Ferretería</v>
      </c>
      <c r="AD307" s="2" t="str">
        <f>IFERROR(INDEX(PARADEROS_VALIDOS!$A$2:$A$68,MATCH(AC307,PARADEROS_VALIDOS!$C$2:$C$68,0)),"")</f>
        <v>RUTA 1</v>
      </c>
      <c r="AE307" s="33" cm="1">
        <f t="array" ref="AE307">ROUND(MIN(6371*ACOS(COS(RADIANS(Y307))*COS(RADIANS(PARADEROS_VALIDOS!$E$2:$E$68))*COS(RADIANS(PARADEROS_VALIDOS!$F$2:$F$68)-RADIANS(Z307))+SIN(RADIANS(Y307))*SIN(RADIANS(PARADEROS_VALIDOS!$E$2:$E$68)))),2)</f>
        <v>1.64</v>
      </c>
      <c r="AF307" s="2" t="str">
        <f t="shared" si="19"/>
        <v>🟡 Cerca (1-3 km)</v>
      </c>
      <c r="AG307" s="2"/>
      <c r="AH307" s="2"/>
      <c r="AI307" s="51">
        <v>-11.997563</v>
      </c>
      <c r="AJ307" s="51">
        <v>-76.900062000000005</v>
      </c>
      <c r="AK307" s="2" t="str">
        <f>IFERROR(VLOOKUP(I307,tdcargo[],2,FALSE),"DESCONOCIDO")</f>
        <v>STAFF</v>
      </c>
    </row>
    <row r="308" spans="1:37" x14ac:dyDescent="0.35">
      <c r="A308" s="2" t="s">
        <v>1628</v>
      </c>
      <c r="B308" s="2" t="s">
        <v>1629</v>
      </c>
      <c r="C308" s="2" t="s">
        <v>1630</v>
      </c>
      <c r="D308" s="2" t="s">
        <v>1631</v>
      </c>
      <c r="E308" s="2">
        <v>31</v>
      </c>
      <c r="F308" s="2" t="s">
        <v>28</v>
      </c>
      <c r="G308" s="2" t="s">
        <v>29</v>
      </c>
      <c r="H308" s="2">
        <v>20508922</v>
      </c>
      <c r="I308" s="2" t="s">
        <v>30</v>
      </c>
      <c r="J308" s="3">
        <v>46034</v>
      </c>
      <c r="K308" s="2" t="s">
        <v>31</v>
      </c>
      <c r="L308" s="2" t="s">
        <v>32</v>
      </c>
      <c r="M308" s="2" t="s">
        <v>33</v>
      </c>
      <c r="N308" s="2" t="s">
        <v>34</v>
      </c>
      <c r="O308" s="2" t="s">
        <v>1632</v>
      </c>
      <c r="P308" s="2" t="s">
        <v>36</v>
      </c>
      <c r="Q308" s="2"/>
      <c r="R308" s="2">
        <v>15004</v>
      </c>
      <c r="S308" s="2" t="s">
        <v>37</v>
      </c>
      <c r="T308" s="2" t="s">
        <v>37</v>
      </c>
      <c r="U308" s="2" t="s">
        <v>57</v>
      </c>
      <c r="V308" s="3">
        <v>46034</v>
      </c>
      <c r="W308" s="2" t="s">
        <v>135</v>
      </c>
      <c r="X308" s="2" t="str">
        <f t="shared" si="16"/>
        <v>Avenida San Francisco Pariac, Ate, Lima, Lima, Perú</v>
      </c>
      <c r="Y308" s="22">
        <v>-12.023711</v>
      </c>
      <c r="Z308" s="22">
        <v>-76.894016899999997</v>
      </c>
      <c r="AA308" s="33">
        <f t="shared" si="17"/>
        <v>2.98</v>
      </c>
      <c r="AB308" s="2" t="str">
        <f t="shared" si="18"/>
        <v>🟢 Muy Cerca (0-5 km)</v>
      </c>
      <c r="AC308" s="2" t="str" cm="1">
        <f t="array" ref="AC308">INDEX(PARADEROS_VALIDOS!$C$2:$C$68,MATCH(MIN(6371*ACOS(COS(RADIANS(Y308))*COS(RADIANS(PARADEROS_VALIDOS!$E$2:$E$68))*COS(RADIANS(PARADEROS_VALIDOS!$F$2:$F$68)-RADIANS(Z308))+SIN(RADIANS(Y308))*SIN(RADIANS(PARADEROS_VALIDOS!$E$2:$E$68)))),6371*ACOS(COS(RADIANS(Y308))*COS(RADIANS(PARADEROS_VALIDOS!$E$2:$E$68))*COS(RADIANS(PARADEROS_VALIDOS!$F$2:$F$68)-RADIANS(Z308))+SIN(RADIANS(Y308))*SIN(RADIANS(PARADEROS_VALIDOS!$E$2:$E$68))),0))</f>
        <v>Paradero Sta. Clara</v>
      </c>
      <c r="AD308" s="2" t="str">
        <f>IFERROR(INDEX(PARADEROS_VALIDOS!$A$2:$A$68,MATCH(AC308,PARADEROS_VALIDOS!$C$2:$C$68,0)),"")</f>
        <v>RUTA 5C</v>
      </c>
      <c r="AE308" s="33" cm="1">
        <f t="array" ref="AE308">ROUND(MIN(6371*ACOS(COS(RADIANS(Y308))*COS(RADIANS(PARADEROS_VALIDOS!$E$2:$E$68))*COS(RADIANS(PARADEROS_VALIDOS!$F$2:$F$68)-RADIANS(Z308))+SIN(RADIANS(Y308))*SIN(RADIANS(PARADEROS_VALIDOS!$E$2:$E$68)))),2)</f>
        <v>1.37</v>
      </c>
      <c r="AF308" s="2" t="str">
        <f t="shared" si="19"/>
        <v>🟡 Cerca (1-3 km)</v>
      </c>
      <c r="AG308" s="2"/>
      <c r="AH308" s="2"/>
      <c r="AI308" s="51">
        <v>-11.997563</v>
      </c>
      <c r="AJ308" s="51">
        <v>-76.900062000000005</v>
      </c>
      <c r="AK308" s="2" t="str">
        <f>IFERROR(VLOOKUP(I308,tdcargo[],2,FALSE),"DESCONOCIDO")</f>
        <v>OPERARIO</v>
      </c>
    </row>
    <row r="309" spans="1:37" x14ac:dyDescent="0.35">
      <c r="A309" s="2" t="s">
        <v>1633</v>
      </c>
      <c r="B309" s="2" t="s">
        <v>1634</v>
      </c>
      <c r="C309" s="2" t="s">
        <v>87</v>
      </c>
      <c r="D309" s="2" t="s">
        <v>531</v>
      </c>
      <c r="E309" s="2">
        <v>37</v>
      </c>
      <c r="F309" s="2" t="s">
        <v>28</v>
      </c>
      <c r="G309" s="2" t="s">
        <v>29</v>
      </c>
      <c r="H309" s="2">
        <v>20515993</v>
      </c>
      <c r="I309" s="2" t="s">
        <v>307</v>
      </c>
      <c r="J309" s="3">
        <v>42933</v>
      </c>
      <c r="K309" s="2" t="s">
        <v>31</v>
      </c>
      <c r="L309" s="2" t="s">
        <v>164</v>
      </c>
      <c r="M309" s="2" t="s">
        <v>165</v>
      </c>
      <c r="N309" s="2" t="s">
        <v>148</v>
      </c>
      <c r="O309" s="2" t="s">
        <v>1635</v>
      </c>
      <c r="P309" s="2" t="s">
        <v>36</v>
      </c>
      <c r="Q309" s="2" t="s">
        <v>1636</v>
      </c>
      <c r="R309" s="2">
        <v>15401</v>
      </c>
      <c r="S309" s="2" t="s">
        <v>37</v>
      </c>
      <c r="T309" s="2" t="s">
        <v>37</v>
      </c>
      <c r="U309" s="2" t="s">
        <v>38</v>
      </c>
      <c r="V309" s="3">
        <v>42933</v>
      </c>
      <c r="W309" s="2" t="s">
        <v>48</v>
      </c>
      <c r="X309" s="2" t="str">
        <f t="shared" si="16"/>
        <v>Pasaje Bayobar I, San Juan De Lurigancho, Lima, Lima, Perú</v>
      </c>
      <c r="Y309" s="22">
        <v>-11.9647687</v>
      </c>
      <c r="Z309" s="22">
        <v>-76.977665000000002</v>
      </c>
      <c r="AA309" s="33">
        <f t="shared" si="17"/>
        <v>9.1999999999999993</v>
      </c>
      <c r="AB309" s="2" t="str">
        <f t="shared" si="18"/>
        <v>🟡 Cerca (5-10 km)</v>
      </c>
      <c r="AC309" s="2" t="str" cm="1">
        <f t="array" ref="AC309">INDEX(PARADEROS_VALIDOS!$C$2:$C$68,MATCH(MIN(6371*ACOS(COS(RADIANS(Y309))*COS(RADIANS(PARADEROS_VALIDOS!$E$2:$E$68))*COS(RADIANS(PARADEROS_VALIDOS!$F$2:$F$68)-RADIANS(Z309))+SIN(RADIANS(Y309))*SIN(RADIANS(PARADEROS_VALIDOS!$E$2:$E$68)))),6371*ACOS(COS(RADIANS(Y309))*COS(RADIANS(PARADEROS_VALIDOS!$E$2:$E$68))*COS(RADIANS(PARADEROS_VALIDOS!$F$2:$F$68)-RADIANS(Z309))+SIN(RADIANS(Y309))*SIN(RADIANS(PARADEROS_VALIDOS!$E$2:$E$68))),0))</f>
        <v>Paradero San Martin</v>
      </c>
      <c r="AD309" s="2" t="str">
        <f>IFERROR(INDEX(PARADEROS_VALIDOS!$A$2:$A$68,MATCH(AC309,PARADEROS_VALIDOS!$C$2:$C$68,0)),"")</f>
        <v>RUTA 6A</v>
      </c>
      <c r="AE309" s="33" cm="1">
        <f t="array" ref="AE309">ROUND(MIN(6371*ACOS(COS(RADIANS(Y309))*COS(RADIANS(PARADEROS_VALIDOS!$E$2:$E$68))*COS(RADIANS(PARADEROS_VALIDOS!$F$2:$F$68)-RADIANS(Z309))+SIN(RADIANS(Y309))*SIN(RADIANS(PARADEROS_VALIDOS!$E$2:$E$68)))),2)</f>
        <v>2.7</v>
      </c>
      <c r="AF309" s="2" t="str">
        <f t="shared" si="19"/>
        <v>🟡 Cerca (1-3 km)</v>
      </c>
      <c r="AG309" s="2"/>
      <c r="AH309" s="2"/>
      <c r="AI309" s="51">
        <v>-11.997563</v>
      </c>
      <c r="AJ309" s="51">
        <v>-76.900062000000005</v>
      </c>
      <c r="AK309" s="2" t="str">
        <f>IFERROR(VLOOKUP(I309,tdcargo[],2,FALSE),"DESCONOCIDO")</f>
        <v>OPERARIO</v>
      </c>
    </row>
    <row r="310" spans="1:37" x14ac:dyDescent="0.35">
      <c r="A310" s="2" t="s">
        <v>1637</v>
      </c>
      <c r="B310" s="2" t="s">
        <v>1638</v>
      </c>
      <c r="C310" s="2" t="s">
        <v>1639</v>
      </c>
      <c r="D310" s="2" t="s">
        <v>1640</v>
      </c>
      <c r="E310" s="2">
        <v>46</v>
      </c>
      <c r="F310" s="2" t="s">
        <v>28</v>
      </c>
      <c r="G310" s="2" t="s">
        <v>29</v>
      </c>
      <c r="H310" s="2">
        <v>20508889</v>
      </c>
      <c r="I310" s="2" t="s">
        <v>62</v>
      </c>
      <c r="J310" s="3">
        <v>43468</v>
      </c>
      <c r="K310" s="2" t="s">
        <v>31</v>
      </c>
      <c r="L310" s="2" t="s">
        <v>32</v>
      </c>
      <c r="M310" s="2" t="s">
        <v>33</v>
      </c>
      <c r="N310" s="2" t="s">
        <v>36</v>
      </c>
      <c r="O310" s="2" t="s">
        <v>1641</v>
      </c>
      <c r="P310" s="2" t="s">
        <v>88</v>
      </c>
      <c r="Q310" s="2" t="s">
        <v>705</v>
      </c>
      <c r="R310" s="2">
        <v>15004</v>
      </c>
      <c r="S310" s="2" t="s">
        <v>37</v>
      </c>
      <c r="T310" s="2" t="s">
        <v>37</v>
      </c>
      <c r="U310" s="2" t="s">
        <v>57</v>
      </c>
      <c r="V310" s="3">
        <v>43468</v>
      </c>
      <c r="W310" s="2" t="s">
        <v>48</v>
      </c>
      <c r="X310" s="2" t="str">
        <f t="shared" si="16"/>
        <v>Zn Ucv 121 Lt 37, A.H. Asentamiento Humano Huaycan, Ate, Lima, Lima, Perú</v>
      </c>
      <c r="Y310" s="22">
        <v>-12.010156800000001</v>
      </c>
      <c r="Z310" s="22">
        <v>-76.827906400000003</v>
      </c>
      <c r="AA310" s="33">
        <f t="shared" si="17"/>
        <v>7.97</v>
      </c>
      <c r="AB310" s="2" t="str">
        <f t="shared" si="18"/>
        <v>🟡 Cerca (5-10 km)</v>
      </c>
      <c r="AC310" s="2" t="str" cm="1">
        <f t="array" ref="AC310">INDEX(PARADEROS_VALIDOS!$C$2:$C$68,MATCH(MIN(6371*ACOS(COS(RADIANS(Y310))*COS(RADIANS(PARADEROS_VALIDOS!$E$2:$E$68))*COS(RADIANS(PARADEROS_VALIDOS!$F$2:$F$68)-RADIANS(Z310))+SIN(RADIANS(Y310))*SIN(RADIANS(PARADEROS_VALIDOS!$E$2:$E$68)))),6371*ACOS(COS(RADIANS(Y310))*COS(RADIANS(PARADEROS_VALIDOS!$E$2:$E$68))*COS(RADIANS(PARADEROS_VALIDOS!$F$2:$F$68)-RADIANS(Z310))+SIN(RADIANS(Y310))*SIN(RADIANS(PARADEROS_VALIDOS!$E$2:$E$68))),0))</f>
        <v>Entrada Horacio</v>
      </c>
      <c r="AD310" s="2" t="str">
        <f>IFERROR(INDEX(PARADEROS_VALIDOS!$A$2:$A$68,MATCH(AC310,PARADEROS_VALIDOS!$C$2:$C$68,0)),"")</f>
        <v>RUTA 5B</v>
      </c>
      <c r="AE310" s="33" cm="1">
        <f t="array" ref="AE310">ROUND(MIN(6371*ACOS(COS(RADIANS(Y310))*COS(RADIANS(PARADEROS_VALIDOS!$E$2:$E$68))*COS(RADIANS(PARADEROS_VALIDOS!$F$2:$F$68)-RADIANS(Z310))+SIN(RADIANS(Y310))*SIN(RADIANS(PARADEROS_VALIDOS!$E$2:$E$68)))),2)</f>
        <v>1.55</v>
      </c>
      <c r="AF310" s="2" t="str">
        <f t="shared" si="19"/>
        <v>🟡 Cerca (1-3 km)</v>
      </c>
      <c r="AG310" s="2"/>
      <c r="AH310" s="2"/>
      <c r="AI310" s="51">
        <v>-11.997563</v>
      </c>
      <c r="AJ310" s="51">
        <v>-76.900062000000005</v>
      </c>
      <c r="AK310" s="2" t="str">
        <f>IFERROR(VLOOKUP(I310,tdcargo[],2,FALSE),"DESCONOCIDO")</f>
        <v>OPERARIO</v>
      </c>
    </row>
    <row r="311" spans="1:37" x14ac:dyDescent="0.35">
      <c r="A311" s="2" t="s">
        <v>1642</v>
      </c>
      <c r="B311" s="2" t="s">
        <v>1643</v>
      </c>
      <c r="C311" s="2" t="s">
        <v>1644</v>
      </c>
      <c r="D311" s="2" t="s">
        <v>1645</v>
      </c>
      <c r="E311" s="2">
        <v>22</v>
      </c>
      <c r="F311" s="2" t="s">
        <v>28</v>
      </c>
      <c r="G311" s="2" t="s">
        <v>29</v>
      </c>
      <c r="H311" s="2">
        <v>20508944</v>
      </c>
      <c r="I311" s="2" t="s">
        <v>30</v>
      </c>
      <c r="J311" s="3">
        <v>46034</v>
      </c>
      <c r="K311" s="2" t="s">
        <v>31</v>
      </c>
      <c r="L311" s="2" t="s">
        <v>32</v>
      </c>
      <c r="M311" s="2" t="s">
        <v>33</v>
      </c>
      <c r="N311" s="2" t="s">
        <v>82</v>
      </c>
      <c r="O311" s="2" t="s">
        <v>480</v>
      </c>
      <c r="P311" s="2" t="s">
        <v>36</v>
      </c>
      <c r="Q311" s="2"/>
      <c r="R311" s="2">
        <v>15457</v>
      </c>
      <c r="S311" s="2" t="s">
        <v>37</v>
      </c>
      <c r="T311" s="2" t="s">
        <v>37</v>
      </c>
      <c r="U311" s="2" t="s">
        <v>76</v>
      </c>
      <c r="V311" s="3">
        <v>46034</v>
      </c>
      <c r="W311" s="2" t="s">
        <v>135</v>
      </c>
      <c r="X311" s="2" t="str">
        <f t="shared" si="16"/>
        <v>Calle Los Pinos, Lurigancho, Lima, Lima, Perú</v>
      </c>
      <c r="Y311" s="22">
        <v>-11.9931559</v>
      </c>
      <c r="Z311" s="22">
        <v>-76.866855900000004</v>
      </c>
      <c r="AA311" s="33">
        <f t="shared" si="17"/>
        <v>3.64</v>
      </c>
      <c r="AB311" s="2" t="str">
        <f t="shared" si="18"/>
        <v>🟢 Muy Cerca (0-5 km)</v>
      </c>
      <c r="AC311" s="2" t="str" cm="1">
        <f t="array" ref="AC311">INDEX(PARADEROS_VALIDOS!$C$2:$C$68,MATCH(MIN(6371*ACOS(COS(RADIANS(Y311))*COS(RADIANS(PARADEROS_VALIDOS!$E$2:$E$68))*COS(RADIANS(PARADEROS_VALIDOS!$F$2:$F$68)-RADIANS(Z311))+SIN(RADIANS(Y311))*SIN(RADIANS(PARADEROS_VALIDOS!$E$2:$E$68)))),6371*ACOS(COS(RADIANS(Y311))*COS(RADIANS(PARADEROS_VALIDOS!$E$2:$E$68))*COS(RADIANS(PARADEROS_VALIDOS!$F$2:$F$68)-RADIANS(Z311))+SIN(RADIANS(Y311))*SIN(RADIANS(PARADEROS_VALIDOS!$E$2:$E$68))),0))</f>
        <v>Paradero Gloria Grande</v>
      </c>
      <c r="AD311" s="2" t="str">
        <f>IFERROR(INDEX(PARADEROS_VALIDOS!$A$2:$A$68,MATCH(AC311,PARADEROS_VALIDOS!$C$2:$C$68,0)),"")</f>
        <v>RUTA 5B</v>
      </c>
      <c r="AE311" s="33" cm="1">
        <f t="array" ref="AE311">ROUND(MIN(6371*ACOS(COS(RADIANS(Y311))*COS(RADIANS(PARADEROS_VALIDOS!$E$2:$E$68))*COS(RADIANS(PARADEROS_VALIDOS!$F$2:$F$68)-RADIANS(Z311))+SIN(RADIANS(Y311))*SIN(RADIANS(PARADEROS_VALIDOS!$E$2:$E$68)))),2)</f>
        <v>2.2999999999999998</v>
      </c>
      <c r="AF311" s="2" t="str">
        <f t="shared" si="19"/>
        <v>🟡 Cerca (1-3 km)</v>
      </c>
      <c r="AG311" s="2"/>
      <c r="AH311" s="2"/>
      <c r="AI311" s="51">
        <v>-11.997563</v>
      </c>
      <c r="AJ311" s="51">
        <v>-76.900062000000005</v>
      </c>
      <c r="AK311" s="2" t="str">
        <f>IFERROR(VLOOKUP(I311,tdcargo[],2,FALSE),"DESCONOCIDO")</f>
        <v>OPERARIO</v>
      </c>
    </row>
    <row r="312" spans="1:37" x14ac:dyDescent="0.35">
      <c r="A312" s="2" t="s">
        <v>1646</v>
      </c>
      <c r="B312" s="2" t="s">
        <v>1647</v>
      </c>
      <c r="C312" s="2" t="s">
        <v>1648</v>
      </c>
      <c r="D312" s="2" t="s">
        <v>1649</v>
      </c>
      <c r="E312" s="2">
        <v>27</v>
      </c>
      <c r="F312" s="2" t="s">
        <v>28</v>
      </c>
      <c r="G312" s="2" t="s">
        <v>29</v>
      </c>
      <c r="H312" s="2">
        <v>20508727</v>
      </c>
      <c r="I312" s="2" t="s">
        <v>123</v>
      </c>
      <c r="J312" s="3">
        <v>45950</v>
      </c>
      <c r="K312" s="2" t="s">
        <v>31</v>
      </c>
      <c r="L312" s="2" t="s">
        <v>1650</v>
      </c>
      <c r="M312" s="2" t="s">
        <v>340</v>
      </c>
      <c r="N312" s="2" t="s">
        <v>82</v>
      </c>
      <c r="O312" s="2" t="s">
        <v>1651</v>
      </c>
      <c r="P312" s="2" t="s">
        <v>36</v>
      </c>
      <c r="Q312" s="2" t="s">
        <v>1652</v>
      </c>
      <c r="R312" s="2">
        <v>15093</v>
      </c>
      <c r="S312" s="2" t="s">
        <v>37</v>
      </c>
      <c r="T312" s="2" t="s">
        <v>37</v>
      </c>
      <c r="U312" s="2" t="s">
        <v>1602</v>
      </c>
      <c r="V312" s="3">
        <v>45950</v>
      </c>
      <c r="W312" s="2" t="s">
        <v>39</v>
      </c>
      <c r="X312" s="2" t="str">
        <f t="shared" si="16"/>
        <v>Calle Los Cabildantes Villa Fatima, Rimac, Lima, Lima, Perú</v>
      </c>
      <c r="Y312" s="22">
        <v>-12.0344012</v>
      </c>
      <c r="Z312" s="22">
        <v>-77.0228587</v>
      </c>
      <c r="AA312" s="33">
        <f t="shared" si="17"/>
        <v>13.97</v>
      </c>
      <c r="AB312" s="2" t="str">
        <f t="shared" si="18"/>
        <v>🟠 Moderada (10-20 km)</v>
      </c>
      <c r="AC312" s="2" t="str" cm="1">
        <f t="array" ref="AC312">INDEX(PARADEROS_VALIDOS!$C$2:$C$68,MATCH(MIN(6371*ACOS(COS(RADIANS(Y312))*COS(RADIANS(PARADEROS_VALIDOS!$E$2:$E$68))*COS(RADIANS(PARADEROS_VALIDOS!$F$2:$F$68)-RADIANS(Z312))+SIN(RADIANS(Y312))*SIN(RADIANS(PARADEROS_VALIDOS!$E$2:$E$68)))),6371*ACOS(COS(RADIANS(Y312))*COS(RADIANS(PARADEROS_VALIDOS!$E$2:$E$68))*COS(RADIANS(PARADEROS_VALIDOS!$F$2:$F$68)-RADIANS(Z312))+SIN(RADIANS(Y312))*SIN(RADIANS(PARADEROS_VALIDOS!$E$2:$E$68))),0))</f>
        <v>Paradero Mercado Las Flores</v>
      </c>
      <c r="AD312" s="2" t="str">
        <f>IFERROR(INDEX(PARADEROS_VALIDOS!$A$2:$A$68,MATCH(AC312,PARADEROS_VALIDOS!$C$2:$C$68,0)),"")</f>
        <v>RUTA 8</v>
      </c>
      <c r="AE312" s="33" cm="1">
        <f t="array" ref="AE312">ROUND(MIN(6371*ACOS(COS(RADIANS(Y312))*COS(RADIANS(PARADEROS_VALIDOS!$E$2:$E$68))*COS(RADIANS(PARADEROS_VALIDOS!$F$2:$F$68)-RADIANS(Z312))+SIN(RADIANS(Y312))*SIN(RADIANS(PARADEROS_VALIDOS!$E$2:$E$68)))),2)</f>
        <v>1.1200000000000001</v>
      </c>
      <c r="AF312" s="2" t="str">
        <f t="shared" si="19"/>
        <v>🟡 Cerca (1-3 km)</v>
      </c>
      <c r="AG312" s="2"/>
      <c r="AH312" s="2"/>
      <c r="AI312" s="51">
        <v>-11.997563</v>
      </c>
      <c r="AJ312" s="51">
        <v>-76.900062000000005</v>
      </c>
      <c r="AK312" s="2" t="str">
        <f>IFERROR(VLOOKUP(I312,tdcargo[],2,FALSE),"DESCONOCIDO")</f>
        <v>STAFF</v>
      </c>
    </row>
    <row r="313" spans="1:37" x14ac:dyDescent="0.35">
      <c r="A313" s="2" t="s">
        <v>1653</v>
      </c>
      <c r="B313" s="2" t="s">
        <v>1654</v>
      </c>
      <c r="C313" s="2" t="s">
        <v>1540</v>
      </c>
      <c r="D313" s="2" t="s">
        <v>1655</v>
      </c>
      <c r="E313" s="2">
        <v>26</v>
      </c>
      <c r="F313" s="2" t="s">
        <v>28</v>
      </c>
      <c r="G313" s="2" t="s">
        <v>29</v>
      </c>
      <c r="H313" s="2">
        <v>20512340</v>
      </c>
      <c r="I313" s="2" t="s">
        <v>30</v>
      </c>
      <c r="J313" s="3">
        <v>46097</v>
      </c>
      <c r="K313" s="2" t="s">
        <v>31</v>
      </c>
      <c r="L313" s="2" t="s">
        <v>108</v>
      </c>
      <c r="M313" s="2" t="s">
        <v>109</v>
      </c>
      <c r="N313" s="2" t="s">
        <v>36</v>
      </c>
      <c r="O313" s="2" t="s">
        <v>1656</v>
      </c>
      <c r="P313" s="2" t="s">
        <v>36</v>
      </c>
      <c r="Q313" s="2" t="s">
        <v>1657</v>
      </c>
      <c r="R313" s="2">
        <v>15007</v>
      </c>
      <c r="S313" s="2" t="s">
        <v>37</v>
      </c>
      <c r="T313" s="2" t="s">
        <v>37</v>
      </c>
      <c r="U313" s="2" t="s">
        <v>367</v>
      </c>
      <c r="V313" s="3">
        <v>46097</v>
      </c>
      <c r="W313" s="2" t="s">
        <v>135</v>
      </c>
      <c r="X313" s="2" t="str">
        <f t="shared" si="16"/>
        <v>Av. Huancaray 241 SAN MARCOS, Santa Anita, Lima, Lima, Perú</v>
      </c>
      <c r="Y313" s="22">
        <v>-12.0431031</v>
      </c>
      <c r="Z313" s="22">
        <v>-76.967702700000004</v>
      </c>
      <c r="AA313" s="33">
        <f t="shared" si="17"/>
        <v>8.93</v>
      </c>
      <c r="AB313" s="2" t="str">
        <f t="shared" si="18"/>
        <v>🟡 Cerca (5-10 km)</v>
      </c>
      <c r="AC313" s="2" t="str" cm="1">
        <f t="array" ref="AC313">INDEX(PARADEROS_VALIDOS!$C$2:$C$68,MATCH(MIN(6371*ACOS(COS(RADIANS(Y313))*COS(RADIANS(PARADEROS_VALIDOS!$E$2:$E$68))*COS(RADIANS(PARADEROS_VALIDOS!$F$2:$F$68)-RADIANS(Z313))+SIN(RADIANS(Y313))*SIN(RADIANS(PARADEROS_VALIDOS!$E$2:$E$68)))),6371*ACOS(COS(RADIANS(Y313))*COS(RADIANS(PARADEROS_VALIDOS!$E$2:$E$68))*COS(RADIANS(PARADEROS_VALIDOS!$F$2:$F$68)-RADIANS(Z313))+SIN(RADIANS(Y313))*SIN(RADIANS(PARADEROS_VALIDOS!$E$2:$E$68))),0))</f>
        <v>Municipalidad de Santa Anita</v>
      </c>
      <c r="AD313" s="2" t="str">
        <f>IFERROR(INDEX(PARADEROS_VALIDOS!$A$2:$A$68,MATCH(AC313,PARADEROS_VALIDOS!$C$2:$C$68,0)),"")</f>
        <v>RUTA 4A</v>
      </c>
      <c r="AE313" s="33" cm="1">
        <f t="array" ref="AE313">ROUND(MIN(6371*ACOS(COS(RADIANS(Y313))*COS(RADIANS(PARADEROS_VALIDOS!$E$2:$E$68))*COS(RADIANS(PARADEROS_VALIDOS!$F$2:$F$68)-RADIANS(Z313))+SIN(RADIANS(Y313))*SIN(RADIANS(PARADEROS_VALIDOS!$E$2:$E$68)))),2)</f>
        <v>0.28999999999999998</v>
      </c>
      <c r="AF313" s="2" t="str">
        <f t="shared" si="19"/>
        <v>🟢 Muy Cerca (0-1 km)</v>
      </c>
      <c r="AG313" s="2"/>
      <c r="AH313" s="2"/>
      <c r="AI313" s="51">
        <v>-11.997563</v>
      </c>
      <c r="AJ313" s="51">
        <v>-76.900062000000005</v>
      </c>
      <c r="AK313" s="2" t="str">
        <f>IFERROR(VLOOKUP(I313,tdcargo[],2,FALSE),"DESCONOCIDO")</f>
        <v>OPERARIO</v>
      </c>
    </row>
    <row r="314" spans="1:37" x14ac:dyDescent="0.35">
      <c r="A314" s="2" t="s">
        <v>1658</v>
      </c>
      <c r="B314" s="2" t="s">
        <v>928</v>
      </c>
      <c r="C314" s="2" t="s">
        <v>1503</v>
      </c>
      <c r="D314" s="2" t="s">
        <v>1256</v>
      </c>
      <c r="E314" s="2">
        <v>41</v>
      </c>
      <c r="F314" s="2" t="s">
        <v>28</v>
      </c>
      <c r="G314" s="2" t="s">
        <v>29</v>
      </c>
      <c r="H314" s="2">
        <v>20509025</v>
      </c>
      <c r="I314" s="2" t="s">
        <v>372</v>
      </c>
      <c r="J314" s="3">
        <v>42894</v>
      </c>
      <c r="K314" s="2" t="s">
        <v>31</v>
      </c>
      <c r="L314" s="2" t="s">
        <v>373</v>
      </c>
      <c r="M314" s="2" t="s">
        <v>374</v>
      </c>
      <c r="N314" s="2" t="s">
        <v>82</v>
      </c>
      <c r="O314" s="2" t="s">
        <v>1659</v>
      </c>
      <c r="P314" s="2" t="s">
        <v>36</v>
      </c>
      <c r="Q314" s="2" t="s">
        <v>46</v>
      </c>
      <c r="R314" s="2">
        <v>15007</v>
      </c>
      <c r="S314" s="2" t="s">
        <v>37</v>
      </c>
      <c r="T314" s="2" t="s">
        <v>37</v>
      </c>
      <c r="U314" s="2" t="s">
        <v>367</v>
      </c>
      <c r="V314" s="3">
        <v>42894</v>
      </c>
      <c r="W314" s="2" t="s">
        <v>48</v>
      </c>
      <c r="X314" s="2" t="str">
        <f t="shared" si="16"/>
        <v>Calle Los Paujiles, Santa Anita, Lima, Lima, Perú</v>
      </c>
      <c r="Y314" s="22">
        <v>-12.0466484</v>
      </c>
      <c r="Z314" s="22">
        <v>-76.966379399999994</v>
      </c>
      <c r="AA314" s="33">
        <f t="shared" si="17"/>
        <v>9.0399999999999991</v>
      </c>
      <c r="AB314" s="2" t="str">
        <f t="shared" si="18"/>
        <v>🟡 Cerca (5-10 km)</v>
      </c>
      <c r="AC314" s="2" t="str" cm="1">
        <f t="array" ref="AC314">INDEX(PARADEROS_VALIDOS!$C$2:$C$68,MATCH(MIN(6371*ACOS(COS(RADIANS(Y314))*COS(RADIANS(PARADEROS_VALIDOS!$E$2:$E$68))*COS(RADIANS(PARADEROS_VALIDOS!$F$2:$F$68)-RADIANS(Z314))+SIN(RADIANS(Y314))*SIN(RADIANS(PARADEROS_VALIDOS!$E$2:$E$68)))),6371*ACOS(COS(RADIANS(Y314))*COS(RADIANS(PARADEROS_VALIDOS!$E$2:$E$68))*COS(RADIANS(PARADEROS_VALIDOS!$F$2:$F$68)-RADIANS(Z314))+SIN(RADIANS(Y314))*SIN(RADIANS(PARADEROS_VALIDOS!$E$2:$E$68))),0))</f>
        <v>Municipalidad de Santa Anita</v>
      </c>
      <c r="AD314" s="2" t="str">
        <f>IFERROR(INDEX(PARADEROS_VALIDOS!$A$2:$A$68,MATCH(AC314,PARADEROS_VALIDOS!$C$2:$C$68,0)),"")</f>
        <v>RUTA 4A</v>
      </c>
      <c r="AE314" s="33" cm="1">
        <f t="array" ref="AE314">ROUND(MIN(6371*ACOS(COS(RADIANS(Y314))*COS(RADIANS(PARADEROS_VALIDOS!$E$2:$E$68))*COS(RADIANS(PARADEROS_VALIDOS!$F$2:$F$68)-RADIANS(Z314))+SIN(RADIANS(Y314))*SIN(RADIANS(PARADEROS_VALIDOS!$E$2:$E$68)))),2)</f>
        <v>0.56999999999999995</v>
      </c>
      <c r="AF314" s="2" t="str">
        <f t="shared" si="19"/>
        <v>🟢 Muy Cerca (0-1 km)</v>
      </c>
      <c r="AG314" s="2"/>
      <c r="AH314" s="2"/>
      <c r="AI314" s="51">
        <v>-11.997563</v>
      </c>
      <c r="AJ314" s="51">
        <v>-76.900062000000005</v>
      </c>
      <c r="AK314" s="2" t="str">
        <f>IFERROR(VLOOKUP(I314,tdcargo[],2,FALSE),"DESCONOCIDO")</f>
        <v>OPERARIO</v>
      </c>
    </row>
    <row r="315" spans="1:37" x14ac:dyDescent="0.35">
      <c r="A315" s="2" t="s">
        <v>1660</v>
      </c>
      <c r="B315" s="2" t="s">
        <v>1661</v>
      </c>
      <c r="C315" s="2" t="s">
        <v>230</v>
      </c>
      <c r="D315" s="2" t="s">
        <v>138</v>
      </c>
      <c r="E315" s="2">
        <v>28</v>
      </c>
      <c r="F315" s="2" t="s">
        <v>28</v>
      </c>
      <c r="G315" s="2" t="s">
        <v>29</v>
      </c>
      <c r="H315" s="2">
        <v>20508861</v>
      </c>
      <c r="I315" s="2" t="s">
        <v>30</v>
      </c>
      <c r="J315" s="3">
        <v>45187</v>
      </c>
      <c r="K315" s="2" t="s">
        <v>31</v>
      </c>
      <c r="L315" s="2" t="s">
        <v>164</v>
      </c>
      <c r="M315" s="2" t="s">
        <v>165</v>
      </c>
      <c r="N315" s="2" t="s">
        <v>53</v>
      </c>
      <c r="O315" s="2" t="s">
        <v>873</v>
      </c>
      <c r="P315" s="2" t="s">
        <v>36</v>
      </c>
      <c r="Q315" s="2" t="s">
        <v>1662</v>
      </c>
      <c r="R315" s="2">
        <v>15457</v>
      </c>
      <c r="S315" s="2" t="s">
        <v>37</v>
      </c>
      <c r="T315" s="2" t="s">
        <v>37</v>
      </c>
      <c r="U315" s="2" t="s">
        <v>76</v>
      </c>
      <c r="V315" s="3">
        <v>45187</v>
      </c>
      <c r="W315" s="2" t="s">
        <v>48</v>
      </c>
      <c r="X315" s="2" t="str">
        <f t="shared" si="16"/>
        <v>Jirón Callao Chosica Alta, Lurigancho, Lima, Lima, Perú</v>
      </c>
      <c r="Y315" s="22">
        <v>-11.936982</v>
      </c>
      <c r="Z315" s="22">
        <v>-76.694113599999994</v>
      </c>
      <c r="AA315" s="33">
        <f t="shared" si="17"/>
        <v>23.39</v>
      </c>
      <c r="AB315" s="2" t="str">
        <f t="shared" si="18"/>
        <v>🔴 Lejos (&gt;20 km)</v>
      </c>
      <c r="AC315" s="2" t="str" cm="1">
        <f t="array" ref="AC315">INDEX(PARADEROS_VALIDOS!$C$2:$C$68,MATCH(MIN(6371*ACOS(COS(RADIANS(Y315))*COS(RADIANS(PARADEROS_VALIDOS!$E$2:$E$68))*COS(RADIANS(PARADEROS_VALIDOS!$F$2:$F$68)-RADIANS(Z315))+SIN(RADIANS(Y315))*SIN(RADIANS(PARADEROS_VALIDOS!$E$2:$E$68)))),6371*ACOS(COS(RADIANS(Y315))*COS(RADIANS(PARADEROS_VALIDOS!$E$2:$E$68))*COS(RADIANS(PARADEROS_VALIDOS!$F$2:$F$68)-RADIANS(Z315))+SIN(RADIANS(Y315))*SIN(RADIANS(PARADEROS_VALIDOS!$E$2:$E$68))),0))</f>
        <v>Paradero Girasoles - Chaclacayo</v>
      </c>
      <c r="AD315" s="2" t="str">
        <f>IFERROR(INDEX(PARADEROS_VALIDOS!$A$2:$A$68,MATCH(AC315,PARADEROS_VALIDOS!$C$2:$C$68,0)),"")</f>
        <v>RUTA 5A</v>
      </c>
      <c r="AE315" s="33" cm="1">
        <f t="array" ref="AE315">ROUND(MIN(6371*ACOS(COS(RADIANS(Y315))*COS(RADIANS(PARADEROS_VALIDOS!$E$2:$E$68))*COS(RADIANS(PARADEROS_VALIDOS!$F$2:$F$68)-RADIANS(Z315))+SIN(RADIANS(Y315))*SIN(RADIANS(PARADEROS_VALIDOS!$E$2:$E$68)))),2)</f>
        <v>9.59</v>
      </c>
      <c r="AF315" s="2" t="str">
        <f t="shared" si="19"/>
        <v>🔴 Lejos (&gt;5 km)</v>
      </c>
      <c r="AG315" s="2"/>
      <c r="AH315" s="2"/>
      <c r="AI315" s="51">
        <v>-11.997563</v>
      </c>
      <c r="AJ315" s="51">
        <v>-76.900062000000005</v>
      </c>
      <c r="AK315" s="2" t="str">
        <f>IFERROR(VLOOKUP(I315,tdcargo[],2,FALSE),"DESCONOCIDO")</f>
        <v>OPERARIO</v>
      </c>
    </row>
    <row r="316" spans="1:37" x14ac:dyDescent="0.35">
      <c r="A316" s="2" t="s">
        <v>157</v>
      </c>
      <c r="B316" s="2" t="s">
        <v>1663</v>
      </c>
      <c r="C316" s="2" t="s">
        <v>451</v>
      </c>
      <c r="D316" s="2" t="s">
        <v>550</v>
      </c>
      <c r="E316" s="2">
        <v>33</v>
      </c>
      <c r="F316" s="2" t="s">
        <v>28</v>
      </c>
      <c r="G316" s="2" t="s">
        <v>29</v>
      </c>
      <c r="H316" s="2">
        <v>20513945</v>
      </c>
      <c r="I316" s="2" t="s">
        <v>378</v>
      </c>
      <c r="J316" s="3">
        <v>45796</v>
      </c>
      <c r="K316" s="2" t="s">
        <v>31</v>
      </c>
      <c r="L316" s="2" t="s">
        <v>379</v>
      </c>
      <c r="M316" s="2" t="s">
        <v>380</v>
      </c>
      <c r="N316" s="2" t="s">
        <v>36</v>
      </c>
      <c r="O316" s="2" t="s">
        <v>1664</v>
      </c>
      <c r="P316" s="2" t="s">
        <v>36</v>
      </c>
      <c r="Q316" s="2" t="s">
        <v>1665</v>
      </c>
      <c r="R316" s="2">
        <v>15401</v>
      </c>
      <c r="S316" s="2" t="s">
        <v>37</v>
      </c>
      <c r="T316" s="2" t="s">
        <v>37</v>
      </c>
      <c r="U316" s="2" t="s">
        <v>38</v>
      </c>
      <c r="V316" s="3">
        <v>45796</v>
      </c>
      <c r="W316" s="2" t="s">
        <v>39</v>
      </c>
      <c r="X316" s="2" t="str">
        <f t="shared" si="16"/>
        <v>Na Santa Maria, San Juan De Lurigancho, Lima, Lima, Perú</v>
      </c>
      <c r="Y316" s="22">
        <v>-11.9888657</v>
      </c>
      <c r="Z316" s="22">
        <v>-77.0006111</v>
      </c>
      <c r="AA316" s="33">
        <f t="shared" si="17"/>
        <v>10.98</v>
      </c>
      <c r="AB316" s="2" t="str">
        <f t="shared" si="18"/>
        <v>🟠 Moderada (10-20 km)</v>
      </c>
      <c r="AC316" s="2" t="str" cm="1">
        <f t="array" ref="AC316">INDEX(PARADEROS_VALIDOS!$C$2:$C$68,MATCH(MIN(6371*ACOS(COS(RADIANS(Y316))*COS(RADIANS(PARADEROS_VALIDOS!$E$2:$E$68))*COS(RADIANS(PARADEROS_VALIDOS!$F$2:$F$68)-RADIANS(Z316))+SIN(RADIANS(Y316))*SIN(RADIANS(PARADEROS_VALIDOS!$E$2:$E$68)))),6371*ACOS(COS(RADIANS(Y316))*COS(RADIANS(PARADEROS_VALIDOS!$E$2:$E$68))*COS(RADIANS(PARADEROS_VALIDOS!$F$2:$F$68)-RADIANS(Z316))+SIN(RADIANS(Y316))*SIN(RADIANS(PARADEROS_VALIDOS!$E$2:$E$68))),0))</f>
        <v>Paradero San Carlos</v>
      </c>
      <c r="AD316" s="2" t="str">
        <f>IFERROR(INDEX(PARADEROS_VALIDOS!$A$2:$A$68,MATCH(AC316,PARADEROS_VALIDOS!$C$2:$C$68,0)),"")</f>
        <v>RUTA 6B</v>
      </c>
      <c r="AE316" s="33" cm="1">
        <f t="array" ref="AE316">ROUND(MIN(6371*ACOS(COS(RADIANS(Y316))*COS(RADIANS(PARADEROS_VALIDOS!$E$2:$E$68))*COS(RADIANS(PARADEROS_VALIDOS!$F$2:$F$68)-RADIANS(Z316))+SIN(RADIANS(Y316))*SIN(RADIANS(PARADEROS_VALIDOS!$E$2:$E$68)))),2)</f>
        <v>1.0900000000000001</v>
      </c>
      <c r="AF316" s="2" t="str">
        <f t="shared" si="19"/>
        <v>🟡 Cerca (1-3 km)</v>
      </c>
      <c r="AG316" s="2"/>
      <c r="AH316" s="2"/>
      <c r="AI316" s="51">
        <v>-11.997563</v>
      </c>
      <c r="AJ316" s="51">
        <v>-76.900062000000005</v>
      </c>
      <c r="AK316" s="2" t="str">
        <f>IFERROR(VLOOKUP(I316,tdcargo[],2,FALSE),"DESCONOCIDO")</f>
        <v>STAFF</v>
      </c>
    </row>
    <row r="317" spans="1:37" x14ac:dyDescent="0.35">
      <c r="A317" s="2" t="s">
        <v>1666</v>
      </c>
      <c r="B317" s="2" t="s">
        <v>1667</v>
      </c>
      <c r="C317" s="2" t="s">
        <v>1668</v>
      </c>
      <c r="D317" s="2" t="s">
        <v>1233</v>
      </c>
      <c r="E317" s="2">
        <v>20</v>
      </c>
      <c r="F317" s="2" t="s">
        <v>28</v>
      </c>
      <c r="G317" s="2" t="s">
        <v>29</v>
      </c>
      <c r="H317" s="2">
        <v>20514452</v>
      </c>
      <c r="I317" s="2" t="s">
        <v>30</v>
      </c>
      <c r="J317" s="3">
        <v>45918</v>
      </c>
      <c r="K317" s="2" t="s">
        <v>31</v>
      </c>
      <c r="L317" s="2" t="s">
        <v>100</v>
      </c>
      <c r="M317" s="2" t="s">
        <v>101</v>
      </c>
      <c r="N317" s="2" t="s">
        <v>793</v>
      </c>
      <c r="O317" s="2" t="s">
        <v>1669</v>
      </c>
      <c r="P317" s="2" t="s">
        <v>36</v>
      </c>
      <c r="Q317" s="2" t="s">
        <v>1670</v>
      </c>
      <c r="R317" s="2">
        <v>15457</v>
      </c>
      <c r="S317" s="2" t="s">
        <v>37</v>
      </c>
      <c r="T317" s="2" t="s">
        <v>37</v>
      </c>
      <c r="U317" s="2" t="s">
        <v>76</v>
      </c>
      <c r="V317" s="3">
        <v>45918</v>
      </c>
      <c r="W317" s="2" t="s">
        <v>39</v>
      </c>
      <c r="X317" s="2" t="str">
        <f t="shared" si="16"/>
        <v>Carretera Ramiro Priale Puente Huachipa, Lurigancho, Lima, Lima, Perú</v>
      </c>
      <c r="Y317" s="22">
        <v>-12.0182574</v>
      </c>
      <c r="Z317" s="22">
        <v>-76.911897699999997</v>
      </c>
      <c r="AA317" s="33">
        <f t="shared" si="17"/>
        <v>2.64</v>
      </c>
      <c r="AB317" s="2" t="str">
        <f t="shared" si="18"/>
        <v>🟢 Muy Cerca (0-5 km)</v>
      </c>
      <c r="AC317" s="2" t="str" cm="1">
        <f t="array" ref="AC317">INDEX(PARADEROS_VALIDOS!$C$2:$C$68,MATCH(MIN(6371*ACOS(COS(RADIANS(Y317))*COS(RADIANS(PARADEROS_VALIDOS!$E$2:$E$68))*COS(RADIANS(PARADEROS_VALIDOS!$F$2:$F$68)-RADIANS(Z317))+SIN(RADIANS(Y317))*SIN(RADIANS(PARADEROS_VALIDOS!$E$2:$E$68)))),6371*ACOS(COS(RADIANS(Y317))*COS(RADIANS(PARADEROS_VALIDOS!$E$2:$E$68))*COS(RADIANS(PARADEROS_VALIDOS!$F$2:$F$68)-RADIANS(Z317))+SIN(RADIANS(Y317))*SIN(RADIANS(PARADEROS_VALIDOS!$E$2:$E$68))),0))</f>
        <v>Estadio Huachipa</v>
      </c>
      <c r="AD317" s="2" t="str">
        <f>IFERROR(INDEX(PARADEROS_VALIDOS!$A$2:$A$68,MATCH(AC317,PARADEROS_VALIDOS!$C$2:$C$68,0)),"")</f>
        <v>RUTA 5C</v>
      </c>
      <c r="AE317" s="33" cm="1">
        <f t="array" ref="AE317">ROUND(MIN(6371*ACOS(COS(RADIANS(Y317))*COS(RADIANS(PARADEROS_VALIDOS!$E$2:$E$68))*COS(RADIANS(PARADEROS_VALIDOS!$F$2:$F$68)-RADIANS(Z317))+SIN(RADIANS(Y317))*SIN(RADIANS(PARADEROS_VALIDOS!$E$2:$E$68)))),2)</f>
        <v>0.67</v>
      </c>
      <c r="AF317" s="2" t="str">
        <f t="shared" si="19"/>
        <v>🟢 Muy Cerca (0-1 km)</v>
      </c>
      <c r="AG317" s="2"/>
      <c r="AH317" s="2"/>
      <c r="AI317" s="51">
        <v>-11.997563</v>
      </c>
      <c r="AJ317" s="51">
        <v>-76.900062000000005</v>
      </c>
      <c r="AK317" s="2" t="str">
        <f>IFERROR(VLOOKUP(I317,tdcargo[],2,FALSE),"DESCONOCIDO")</f>
        <v>OPERARIO</v>
      </c>
    </row>
    <row r="318" spans="1:37" x14ac:dyDescent="0.35">
      <c r="A318" s="2" t="s">
        <v>1671</v>
      </c>
      <c r="B318" s="2" t="s">
        <v>1672</v>
      </c>
      <c r="C318" s="2" t="s">
        <v>27</v>
      </c>
      <c r="D318" s="2" t="s">
        <v>26</v>
      </c>
      <c r="E318" s="2">
        <v>24</v>
      </c>
      <c r="F318" s="2" t="s">
        <v>28</v>
      </c>
      <c r="G318" s="2" t="s">
        <v>29</v>
      </c>
      <c r="H318" s="2">
        <v>20508823</v>
      </c>
      <c r="I318" s="2" t="s">
        <v>30</v>
      </c>
      <c r="J318" s="3">
        <v>45537</v>
      </c>
      <c r="K318" s="2" t="s">
        <v>31</v>
      </c>
      <c r="L318" s="2" t="s">
        <v>108</v>
      </c>
      <c r="M318" s="2" t="s">
        <v>109</v>
      </c>
      <c r="N318" s="2" t="s">
        <v>82</v>
      </c>
      <c r="O318" s="2" t="s">
        <v>1673</v>
      </c>
      <c r="P318" s="2" t="s">
        <v>36</v>
      </c>
      <c r="Q318" s="2" t="s">
        <v>620</v>
      </c>
      <c r="R318" s="2">
        <v>15004</v>
      </c>
      <c r="S318" s="2" t="s">
        <v>37</v>
      </c>
      <c r="T318" s="2" t="s">
        <v>37</v>
      </c>
      <c r="U318" s="2" t="s">
        <v>57</v>
      </c>
      <c r="V318" s="3">
        <v>46082</v>
      </c>
      <c r="W318" s="2" t="s">
        <v>39</v>
      </c>
      <c r="X318" s="2" t="str">
        <f t="shared" si="16"/>
        <v>Calle Condor Jicamarca, Ate, Lima, Lima, Perú</v>
      </c>
      <c r="Y318" s="22">
        <v>-11.9783613</v>
      </c>
      <c r="Z318" s="22">
        <v>-76.925780799999998</v>
      </c>
      <c r="AA318" s="33">
        <f t="shared" si="17"/>
        <v>3.52</v>
      </c>
      <c r="AB318" s="2" t="str">
        <f t="shared" si="18"/>
        <v>🟢 Muy Cerca (0-5 km)</v>
      </c>
      <c r="AC318" s="2" t="str" cm="1">
        <f t="array" ref="AC318">INDEX(PARADEROS_VALIDOS!$C$2:$C$68,MATCH(MIN(6371*ACOS(COS(RADIANS(Y318))*COS(RADIANS(PARADEROS_VALIDOS!$E$2:$E$68))*COS(RADIANS(PARADEROS_VALIDOS!$F$2:$F$68)-RADIANS(Z318))+SIN(RADIANS(Y318))*SIN(RADIANS(PARADEROS_VALIDOS!$E$2:$E$68)))),6371*ACOS(COS(RADIANS(Y318))*COS(RADIANS(PARADEROS_VALIDOS!$E$2:$E$68))*COS(RADIANS(PARADEROS_VALIDOS!$F$2:$F$68)-RADIANS(Z318))+SIN(RADIANS(Y318))*SIN(RADIANS(PARADEROS_VALIDOS!$E$2:$E$68))),0))</f>
        <v>Paradero Arco San Antonio</v>
      </c>
      <c r="AD318" s="2" t="str">
        <f>IFERROR(INDEX(PARADEROS_VALIDOS!$A$2:$A$68,MATCH(AC318,PARADEROS_VALIDOS!$C$2:$C$68,0)),"")</f>
        <v>RUTA 2</v>
      </c>
      <c r="AE318" s="33" cm="1">
        <f t="array" ref="AE318">ROUND(MIN(6371*ACOS(COS(RADIANS(Y318))*COS(RADIANS(PARADEROS_VALIDOS!$E$2:$E$68))*COS(RADIANS(PARADEROS_VALIDOS!$F$2:$F$68)-RADIANS(Z318))+SIN(RADIANS(Y318))*SIN(RADIANS(PARADEROS_VALIDOS!$E$2:$E$68)))),2)</f>
        <v>2.98</v>
      </c>
      <c r="AF318" s="2" t="str">
        <f t="shared" si="19"/>
        <v>🟡 Cerca (1-3 km)</v>
      </c>
      <c r="AG318" s="2"/>
      <c r="AH318" s="2"/>
      <c r="AI318" s="51">
        <v>-11.997563</v>
      </c>
      <c r="AJ318" s="51">
        <v>-76.900062000000005</v>
      </c>
      <c r="AK318" s="2" t="str">
        <f>IFERROR(VLOOKUP(I318,tdcargo[],2,FALSE),"DESCONOCIDO")</f>
        <v>OPERARIO</v>
      </c>
    </row>
    <row r="319" spans="1:37" x14ac:dyDescent="0.35">
      <c r="A319" s="2" t="s">
        <v>1674</v>
      </c>
      <c r="B319" s="2" t="s">
        <v>1675</v>
      </c>
      <c r="C319" s="2" t="s">
        <v>1676</v>
      </c>
      <c r="D319" s="2" t="s">
        <v>1677</v>
      </c>
      <c r="E319" s="2">
        <v>26</v>
      </c>
      <c r="F319" s="2" t="s">
        <v>28</v>
      </c>
      <c r="G319" s="2" t="s">
        <v>29</v>
      </c>
      <c r="H319" s="2">
        <v>20515630</v>
      </c>
      <c r="I319" s="2" t="s">
        <v>62</v>
      </c>
      <c r="J319" s="3">
        <v>45474</v>
      </c>
      <c r="K319" s="2" t="s">
        <v>31</v>
      </c>
      <c r="L319" s="2" t="s">
        <v>164</v>
      </c>
      <c r="M319" s="2" t="s">
        <v>165</v>
      </c>
      <c r="N319" s="2" t="s">
        <v>34</v>
      </c>
      <c r="O319" s="2" t="s">
        <v>1678</v>
      </c>
      <c r="P319" s="2" t="s">
        <v>36</v>
      </c>
      <c r="Q319" s="2" t="s">
        <v>423</v>
      </c>
      <c r="R319" s="2">
        <v>15457</v>
      </c>
      <c r="S319" s="2" t="s">
        <v>37</v>
      </c>
      <c r="T319" s="2" t="s">
        <v>37</v>
      </c>
      <c r="U319" s="2" t="s">
        <v>76</v>
      </c>
      <c r="V319" s="3">
        <v>45474</v>
      </c>
      <c r="W319" s="2" t="s">
        <v>48</v>
      </c>
      <c r="X319" s="2" t="str">
        <f t="shared" si="16"/>
        <v>Avenida Las Peras Basilio, Lurigancho, Lima, Lima, Perú</v>
      </c>
      <c r="Y319" s="22">
        <v>-11.9820311</v>
      </c>
      <c r="Z319" s="22">
        <v>-77.062262599999997</v>
      </c>
      <c r="AA319" s="33">
        <f t="shared" si="17"/>
        <v>17.73</v>
      </c>
      <c r="AB319" s="2" t="str">
        <f t="shared" si="18"/>
        <v>🟠 Moderada (10-20 km)</v>
      </c>
      <c r="AC319" s="2" t="str" cm="1">
        <f t="array" ref="AC319">INDEX(PARADEROS_VALIDOS!$C$2:$C$68,MATCH(MIN(6371*ACOS(COS(RADIANS(Y319))*COS(RADIANS(PARADEROS_VALIDOS!$E$2:$E$68))*COS(RADIANS(PARADEROS_VALIDOS!$F$2:$F$68)-RADIANS(Z319))+SIN(RADIANS(Y319))*SIN(RADIANS(PARADEROS_VALIDOS!$E$2:$E$68)))),6371*ACOS(COS(RADIANS(Y319))*COS(RADIANS(PARADEROS_VALIDOS!$E$2:$E$68))*COS(RADIANS(PARADEROS_VALIDOS!$F$2:$F$68)-RADIANS(Z319))+SIN(RADIANS(Y319))*SIN(RADIANS(PARADEROS_VALIDOS!$E$2:$E$68))),0))</f>
        <v>Paradero 15 de Julio</v>
      </c>
      <c r="AD319" s="2" t="str">
        <f>IFERROR(INDEX(PARADEROS_VALIDOS!$A$2:$A$68,MATCH(AC319,PARADEROS_VALIDOS!$C$2:$C$68,0)),"")</f>
        <v>RUTA 3</v>
      </c>
      <c r="AE319" s="33" cm="1">
        <f t="array" ref="AE319">ROUND(MIN(6371*ACOS(COS(RADIANS(Y319))*COS(RADIANS(PARADEROS_VALIDOS!$E$2:$E$68))*COS(RADIANS(PARADEROS_VALIDOS!$F$2:$F$68)-RADIANS(Z319))+SIN(RADIANS(Y319))*SIN(RADIANS(PARADEROS_VALIDOS!$E$2:$E$68)))),2)</f>
        <v>0.63</v>
      </c>
      <c r="AF319" s="2" t="str">
        <f t="shared" si="19"/>
        <v>🟢 Muy Cerca (0-1 km)</v>
      </c>
      <c r="AG319" s="2"/>
      <c r="AH319" s="2"/>
      <c r="AI319" s="51">
        <v>-11.997563</v>
      </c>
      <c r="AJ319" s="51">
        <v>-76.900062000000005</v>
      </c>
      <c r="AK319" s="2" t="str">
        <f>IFERROR(VLOOKUP(I319,tdcargo[],2,FALSE),"DESCONOCIDO")</f>
        <v>OPERARIO</v>
      </c>
    </row>
    <row r="320" spans="1:37" x14ac:dyDescent="0.35">
      <c r="A320" s="2" t="s">
        <v>1679</v>
      </c>
      <c r="B320" s="2" t="s">
        <v>1680</v>
      </c>
      <c r="C320" s="2" t="s">
        <v>1571</v>
      </c>
      <c r="D320" s="2" t="s">
        <v>1215</v>
      </c>
      <c r="E320" s="2">
        <v>25</v>
      </c>
      <c r="F320" s="2" t="s">
        <v>28</v>
      </c>
      <c r="G320" s="2" t="s">
        <v>29</v>
      </c>
      <c r="H320" s="2">
        <v>20514005</v>
      </c>
      <c r="I320" s="2" t="s">
        <v>30</v>
      </c>
      <c r="J320" s="3">
        <v>45901</v>
      </c>
      <c r="K320" s="2" t="s">
        <v>31</v>
      </c>
      <c r="L320" s="2" t="s">
        <v>32</v>
      </c>
      <c r="M320" s="2" t="s">
        <v>33</v>
      </c>
      <c r="N320" s="2" t="s">
        <v>82</v>
      </c>
      <c r="O320" s="2" t="s">
        <v>705</v>
      </c>
      <c r="P320" s="2" t="s">
        <v>36</v>
      </c>
      <c r="Q320" s="2" t="s">
        <v>1681</v>
      </c>
      <c r="R320" s="2">
        <v>15004</v>
      </c>
      <c r="S320" s="2" t="s">
        <v>37</v>
      </c>
      <c r="T320" s="2" t="s">
        <v>37</v>
      </c>
      <c r="U320" s="2" t="s">
        <v>57</v>
      </c>
      <c r="V320" s="3">
        <v>45901</v>
      </c>
      <c r="W320" s="2" t="s">
        <v>39</v>
      </c>
      <c r="X320" s="2" t="str">
        <f t="shared" si="16"/>
        <v>Calle Huaycan Hm, Ate, Lima, Lima, Perú</v>
      </c>
      <c r="Y320" s="22">
        <v>-12.0220717</v>
      </c>
      <c r="Z320" s="22">
        <v>-76.813480600000005</v>
      </c>
      <c r="AA320" s="33">
        <f t="shared" si="17"/>
        <v>9.8000000000000007</v>
      </c>
      <c r="AB320" s="2" t="str">
        <f t="shared" si="18"/>
        <v>🟡 Cerca (5-10 km)</v>
      </c>
      <c r="AC320" s="2" t="str" cm="1">
        <f t="array" ref="AC320">INDEX(PARADEROS_VALIDOS!$C$2:$C$68,MATCH(MIN(6371*ACOS(COS(RADIANS(Y320))*COS(RADIANS(PARADEROS_VALIDOS!$E$2:$E$68))*COS(RADIANS(PARADEROS_VALIDOS!$F$2:$F$68)-RADIANS(Z320))+SIN(RADIANS(Y320))*SIN(RADIANS(PARADEROS_VALIDOS!$E$2:$E$68)))),6371*ACOS(COS(RADIANS(Y320))*COS(RADIANS(PARADEROS_VALIDOS!$E$2:$E$68))*COS(RADIANS(PARADEROS_VALIDOS!$F$2:$F$68)-RADIANS(Z320))+SIN(RADIANS(Y320))*SIN(RADIANS(PARADEROS_VALIDOS!$E$2:$E$68))),0))</f>
        <v>Paradero Aurora</v>
      </c>
      <c r="AD320" s="2" t="str">
        <f>IFERROR(INDEX(PARADEROS_VALIDOS!$A$2:$A$68,MATCH(AC320,PARADEROS_VALIDOS!$C$2:$C$68,0)),"")</f>
        <v>RUTA 3</v>
      </c>
      <c r="AE320" s="33" cm="1">
        <f t="array" ref="AE320">ROUND(MIN(6371*ACOS(COS(RADIANS(Y320))*COS(RADIANS(PARADEROS_VALIDOS!$E$2:$E$68))*COS(RADIANS(PARADEROS_VALIDOS!$F$2:$F$68)-RADIANS(Z320))+SIN(RADIANS(Y320))*SIN(RADIANS(PARADEROS_VALIDOS!$E$2:$E$68)))),2)</f>
        <v>1.08</v>
      </c>
      <c r="AF320" s="2" t="str">
        <f t="shared" si="19"/>
        <v>🟡 Cerca (1-3 km)</v>
      </c>
      <c r="AG320" s="2"/>
      <c r="AH320" s="2"/>
      <c r="AI320" s="51">
        <v>-11.997563</v>
      </c>
      <c r="AJ320" s="51">
        <v>-76.900062000000005</v>
      </c>
      <c r="AK320" s="2" t="str">
        <f>IFERROR(VLOOKUP(I320,tdcargo[],2,FALSE),"DESCONOCIDO")</f>
        <v>OPERARIO</v>
      </c>
    </row>
    <row r="321" spans="1:37" x14ac:dyDescent="0.35">
      <c r="A321" s="2" t="s">
        <v>1682</v>
      </c>
      <c r="B321" s="2" t="s">
        <v>1683</v>
      </c>
      <c r="C321" s="2" t="s">
        <v>1684</v>
      </c>
      <c r="D321" s="2" t="s">
        <v>99</v>
      </c>
      <c r="E321" s="2">
        <v>21</v>
      </c>
      <c r="F321" s="2" t="s">
        <v>28</v>
      </c>
      <c r="G321" s="2" t="s">
        <v>29</v>
      </c>
      <c r="H321" s="2">
        <v>20512282</v>
      </c>
      <c r="I321" s="2" t="s">
        <v>30</v>
      </c>
      <c r="J321" s="3">
        <v>46055</v>
      </c>
      <c r="K321" s="2" t="s">
        <v>31</v>
      </c>
      <c r="L321" s="2" t="s">
        <v>108</v>
      </c>
      <c r="M321" s="2" t="s">
        <v>109</v>
      </c>
      <c r="N321" s="2" t="s">
        <v>82</v>
      </c>
      <c r="O321" s="2" t="s">
        <v>1685</v>
      </c>
      <c r="P321" s="2" t="s">
        <v>186</v>
      </c>
      <c r="Q321" s="2" t="s">
        <v>574</v>
      </c>
      <c r="R321" s="2">
        <v>15004</v>
      </c>
      <c r="S321" s="2" t="s">
        <v>37</v>
      </c>
      <c r="T321" s="2" t="s">
        <v>37</v>
      </c>
      <c r="U321" s="2" t="s">
        <v>57</v>
      </c>
      <c r="V321" s="3">
        <v>46055</v>
      </c>
      <c r="W321" s="2" t="s">
        <v>135</v>
      </c>
      <c r="X321" s="2" t="str">
        <f t="shared" si="16"/>
        <v>Calle Madrid, Urb. Urbanización LOS OLIVOS, Ate, Lima, Lima, Perú</v>
      </c>
      <c r="Y321" s="22">
        <v>-12.0618683</v>
      </c>
      <c r="Z321" s="22">
        <v>-76.940731700000001</v>
      </c>
      <c r="AA321" s="33">
        <f t="shared" si="17"/>
        <v>8.41</v>
      </c>
      <c r="AB321" s="2" t="str">
        <f t="shared" si="18"/>
        <v>🟡 Cerca (5-10 km)</v>
      </c>
      <c r="AC321" s="2" t="str" cm="1">
        <f t="array" ref="AC321">INDEX(PARADEROS_VALIDOS!$C$2:$C$68,MATCH(MIN(6371*ACOS(COS(RADIANS(Y321))*COS(RADIANS(PARADEROS_VALIDOS!$E$2:$E$68))*COS(RADIANS(PARADEROS_VALIDOS!$F$2:$F$68)-RADIANS(Z321))+SIN(RADIANS(Y321))*SIN(RADIANS(PARADEROS_VALIDOS!$E$2:$E$68)))),6371*ACOS(COS(RADIANS(Y321))*COS(RADIANS(PARADEROS_VALIDOS!$E$2:$E$68))*COS(RADIANS(PARADEROS_VALIDOS!$F$2:$F$68)-RADIANS(Z321))+SIN(RADIANS(Y321))*SIN(RADIANS(PARADEROS_VALIDOS!$E$2:$E$68))),0))</f>
        <v>Pte. Prialé (solo aplica para la salida)</v>
      </c>
      <c r="AD321" s="2" t="str">
        <f>IFERROR(INDEX(PARADEROS_VALIDOS!$A$2:$A$68,MATCH(AC321,PARADEROS_VALIDOS!$C$2:$C$68,0)),"")</f>
        <v>RUTA 7</v>
      </c>
      <c r="AE321" s="33" cm="1">
        <f t="array" ref="AE321">ROUND(MIN(6371*ACOS(COS(RADIANS(Y321))*COS(RADIANS(PARADEROS_VALIDOS!$E$2:$E$68))*COS(RADIANS(PARADEROS_VALIDOS!$F$2:$F$68)-RADIANS(Z321))+SIN(RADIANS(Y321))*SIN(RADIANS(PARADEROS_VALIDOS!$E$2:$E$68)))),2)</f>
        <v>2.04</v>
      </c>
      <c r="AF321" s="2" t="str">
        <f t="shared" si="19"/>
        <v>🟡 Cerca (1-3 km)</v>
      </c>
      <c r="AG321" s="2"/>
      <c r="AH321" s="2"/>
      <c r="AI321" s="51">
        <v>-11.997563</v>
      </c>
      <c r="AJ321" s="51">
        <v>-76.900062000000005</v>
      </c>
      <c r="AK321" s="2" t="str">
        <f>IFERROR(VLOOKUP(I321,tdcargo[],2,FALSE),"DESCONOCIDO")</f>
        <v>OPERARIO</v>
      </c>
    </row>
    <row r="322" spans="1:37" x14ac:dyDescent="0.35">
      <c r="A322" s="2" t="s">
        <v>1686</v>
      </c>
      <c r="B322" s="2" t="s">
        <v>1687</v>
      </c>
      <c r="C322" s="2" t="s">
        <v>1676</v>
      </c>
      <c r="D322" s="2" t="s">
        <v>1688</v>
      </c>
      <c r="E322" s="2">
        <v>19</v>
      </c>
      <c r="F322" s="2" t="s">
        <v>28</v>
      </c>
      <c r="G322" s="2" t="s">
        <v>29</v>
      </c>
      <c r="H322" s="2">
        <v>20514508</v>
      </c>
      <c r="I322" s="2" t="s">
        <v>30</v>
      </c>
      <c r="J322" s="3">
        <v>46055</v>
      </c>
      <c r="K322" s="2" t="s">
        <v>31</v>
      </c>
      <c r="L322" s="2" t="s">
        <v>132</v>
      </c>
      <c r="M322" s="2" t="s">
        <v>133</v>
      </c>
      <c r="N322" s="2" t="s">
        <v>36</v>
      </c>
      <c r="O322" s="2" t="s">
        <v>1689</v>
      </c>
      <c r="P322" s="2" t="s">
        <v>36</v>
      </c>
      <c r="Q322" s="2" t="s">
        <v>1690</v>
      </c>
      <c r="R322" s="2">
        <v>15457</v>
      </c>
      <c r="S322" s="2" t="s">
        <v>37</v>
      </c>
      <c r="T322" s="2" t="s">
        <v>37</v>
      </c>
      <c r="U322" s="2" t="s">
        <v>76</v>
      </c>
      <c r="V322" s="3">
        <v>46055</v>
      </c>
      <c r="W322" s="2" t="s">
        <v>135</v>
      </c>
      <c r="X322" s="2" t="str">
        <f t="shared" ref="X322:X386" si="20">_xlfn.LET(_xlpm.parte1,TRIM(IF(OR(N322="Otros / No aplica",N322=""),"",N322&amp;" ")&amp;O322&amp;IF(AND(P322&lt;&gt;"",P322&lt;&gt;"Otros / No aplica"),", "&amp;P322,"")&amp;IF(AND(Q322&lt;&gt;"",Q322&lt;&gt;"Nd",Q322&lt;&gt;0,Q322&lt;&gt;"0")," "&amp;Q322,"")),_xlpm.parte2,U322&amp;", "&amp;T322&amp;", "&amp;S322&amp;", Perú",IF(LEFT(_xlpm.parte1,1)=",",TRIM(MID(_xlpm.parte1,2,255))&amp;", "&amp;_xlpm.parte2,IF(_xlpm.parte1="",_xlpm.parte2,_xlpm.parte1&amp;", "&amp;_xlpm.parte2)))</f>
        <v>Las Begonias LAS BEGONIAS, Lurigancho, Lima, Lima, Perú</v>
      </c>
      <c r="Y322" s="22">
        <v>-12.0937348</v>
      </c>
      <c r="Z322" s="22">
        <v>-77.024866500000002</v>
      </c>
      <c r="AA322" s="33">
        <f t="shared" ref="AA322:AA385" si="21">ROUND(6371*ACOS(COS(RADIANS(-11.997563))*COS(RADIANS(Y322))*COS(RADIANS(Z322)-RADIANS(-76.900062))+SIN(RADIANS(-11.997563))*SIN(RADIANS(Y322))),2)</f>
        <v>17.28</v>
      </c>
      <c r="AB322" s="2" t="str">
        <f t="shared" ref="AB322:AB385" si="22">IF(AA322&lt;=5,"🟢 Muy Cerca (0-5 km)",IF(AA322&lt;=10,"🟡 Cerca (5-10 km)",IF(AA322&lt;=20,"🟠 Moderada (10-20 km)","🔴 Lejos (&gt;20 km)")))</f>
        <v>🟠 Moderada (10-20 km)</v>
      </c>
      <c r="AC322" s="2" t="str" cm="1">
        <f t="array" ref="AC322">INDEX(PARADEROS_VALIDOS!$C$2:$C$68,MATCH(MIN(6371*ACOS(COS(RADIANS(Y322))*COS(RADIANS(PARADEROS_VALIDOS!$E$2:$E$68))*COS(RADIANS(PARADEROS_VALIDOS!$F$2:$F$68)-RADIANS(Z322))+SIN(RADIANS(Y322))*SIN(RADIANS(PARADEROS_VALIDOS!$E$2:$E$68)))),6371*ACOS(COS(RADIANS(Y322))*COS(RADIANS(PARADEROS_VALIDOS!$E$2:$E$68))*COS(RADIANS(PARADEROS_VALIDOS!$F$2:$F$68)-RADIANS(Z322))+SIN(RADIANS(Y322))*SIN(RADIANS(PARADEROS_VALIDOS!$E$2:$E$68))),0))</f>
        <v>Paradero Berlín con Javier prado (cruzando el semáforo) aplica solo al ingreso.</v>
      </c>
      <c r="AD322" s="2" t="str">
        <f>IFERROR(INDEX(PARADEROS_VALIDOS!$A$2:$A$68,MATCH(AC322,PARADEROS_VALIDOS!$C$2:$C$68,0)),"")</f>
        <v>RUTA 4A</v>
      </c>
      <c r="AE322" s="33" cm="1">
        <f t="array" ref="AE322">ROUND(MIN(6371*ACOS(COS(RADIANS(Y322))*COS(RADIANS(PARADEROS_VALIDOS!$E$2:$E$68))*COS(RADIANS(PARADEROS_VALIDOS!$F$2:$F$68)-RADIANS(Z322))+SIN(RADIANS(Y322))*SIN(RADIANS(PARADEROS_VALIDOS!$E$2:$E$68)))),2)</f>
        <v>0.9</v>
      </c>
      <c r="AF322" s="2" t="str">
        <f t="shared" ref="AF322:AF385" si="23">IF(AE322&lt;=1,"🟢 Muy Cerca (0-1 km)",IF(AE322&lt;=3,"🟡 Cerca (1-3 km)",IF(AE322&lt;=5,"🟠 Moderada (3-5 km)","🔴 Lejos (&gt;5 km)")))</f>
        <v>🟢 Muy Cerca (0-1 km)</v>
      </c>
      <c r="AG322" s="2"/>
      <c r="AH322" s="2"/>
      <c r="AI322" s="51">
        <v>-11.997563</v>
      </c>
      <c r="AJ322" s="51">
        <v>-76.900062000000005</v>
      </c>
      <c r="AK322" s="2" t="str">
        <f>IFERROR(VLOOKUP(I322,tdcargo[],2,FALSE),"DESCONOCIDO")</f>
        <v>OPERARIO</v>
      </c>
    </row>
    <row r="323" spans="1:37" x14ac:dyDescent="0.35">
      <c r="A323" s="2" t="s">
        <v>1065</v>
      </c>
      <c r="B323" s="2" t="s">
        <v>1691</v>
      </c>
      <c r="C323" s="2" t="s">
        <v>1233</v>
      </c>
      <c r="D323" s="2" t="s">
        <v>1692</v>
      </c>
      <c r="E323" s="2">
        <v>48</v>
      </c>
      <c r="F323" s="2" t="s">
        <v>28</v>
      </c>
      <c r="G323" s="2" t="s">
        <v>29</v>
      </c>
      <c r="H323" s="2">
        <v>20512080</v>
      </c>
      <c r="I323" s="2" t="s">
        <v>1693</v>
      </c>
      <c r="J323" s="3">
        <v>45026</v>
      </c>
      <c r="K323" s="2" t="s">
        <v>31</v>
      </c>
      <c r="L323" s="2" t="s">
        <v>183</v>
      </c>
      <c r="M323" s="2" t="s">
        <v>184</v>
      </c>
      <c r="N323" s="2" t="s">
        <v>53</v>
      </c>
      <c r="O323" s="2" t="s">
        <v>1694</v>
      </c>
      <c r="P323" s="2" t="s">
        <v>186</v>
      </c>
      <c r="Q323" s="2" t="s">
        <v>1695</v>
      </c>
      <c r="R323" s="2">
        <v>15113</v>
      </c>
      <c r="S323" s="2" t="s">
        <v>37</v>
      </c>
      <c r="T323" s="2" t="s">
        <v>37</v>
      </c>
      <c r="U323" s="2" t="s">
        <v>116</v>
      </c>
      <c r="V323" s="3">
        <v>45026</v>
      </c>
      <c r="W323" s="2" t="s">
        <v>48</v>
      </c>
      <c r="X323" s="2" t="str">
        <f t="shared" si="20"/>
        <v>Jirón Los Limoncillos, Urb. Urbanización Covida 3 Era Etapa, Los Olivos, Lima, Lima, Perú</v>
      </c>
      <c r="Y323" s="22">
        <v>-11.9874312</v>
      </c>
      <c r="Z323" s="22">
        <v>-77.075754700000005</v>
      </c>
      <c r="AA323" s="33">
        <f t="shared" si="21"/>
        <v>19.14</v>
      </c>
      <c r="AB323" s="2" t="str">
        <f t="shared" si="22"/>
        <v>🟠 Moderada (10-20 km)</v>
      </c>
      <c r="AC323" s="2" t="str" cm="1">
        <f t="array" ref="AC323">INDEX(PARADEROS_VALIDOS!$C$2:$C$68,MATCH(MIN(6371*ACOS(COS(RADIANS(Y323))*COS(RADIANS(PARADEROS_VALIDOS!$E$2:$E$68))*COS(RADIANS(PARADEROS_VALIDOS!$F$2:$F$68)-RADIANS(Z323))+SIN(RADIANS(Y323))*SIN(RADIANS(PARADEROS_VALIDOS!$E$2:$E$68)))),6371*ACOS(COS(RADIANS(Y323))*COS(RADIANS(PARADEROS_VALIDOS!$E$2:$E$68))*COS(RADIANS(PARADEROS_VALIDOS!$F$2:$F$68)-RADIANS(Z323))+SIN(RADIANS(Y323))*SIN(RADIANS(PARADEROS_VALIDOS!$E$2:$E$68))),0))</f>
        <v>Paradero panadería/Av. Universitaria</v>
      </c>
      <c r="AD323" s="2" t="str">
        <f>IFERROR(INDEX(PARADEROS_VALIDOS!$A$2:$A$68,MATCH(AC323,PARADEROS_VALIDOS!$C$2:$C$68,0)),"")</f>
        <v>RUTA 9</v>
      </c>
      <c r="AE323" s="33" cm="1">
        <f t="array" ref="AE323">ROUND(MIN(6371*ACOS(COS(RADIANS(Y323))*COS(RADIANS(PARADEROS_VALIDOS!$E$2:$E$68))*COS(RADIANS(PARADEROS_VALIDOS!$F$2:$F$68)-RADIANS(Z323))+SIN(RADIANS(Y323))*SIN(RADIANS(PARADEROS_VALIDOS!$E$2:$E$68)))),2)</f>
        <v>1.1100000000000001</v>
      </c>
      <c r="AF323" s="2" t="str">
        <f t="shared" si="23"/>
        <v>🟡 Cerca (1-3 km)</v>
      </c>
      <c r="AG323" s="2"/>
      <c r="AH323" s="2"/>
      <c r="AI323" s="51">
        <v>-11.997563</v>
      </c>
      <c r="AJ323" s="51">
        <v>-76.900062000000005</v>
      </c>
      <c r="AK323" s="2" t="str">
        <f>IFERROR(VLOOKUP(I323,tdcargo[],2,FALSE),"DESCONOCIDO")</f>
        <v>STAFF</v>
      </c>
    </row>
    <row r="324" spans="1:37" x14ac:dyDescent="0.35">
      <c r="A324" s="2" t="s">
        <v>1696</v>
      </c>
      <c r="B324" s="2" t="s">
        <v>1697</v>
      </c>
      <c r="C324" s="2" t="s">
        <v>1698</v>
      </c>
      <c r="D324" s="2" t="s">
        <v>265</v>
      </c>
      <c r="E324" s="2">
        <v>35</v>
      </c>
      <c r="F324" s="2" t="s">
        <v>28</v>
      </c>
      <c r="G324" s="2" t="s">
        <v>29</v>
      </c>
      <c r="H324" s="2">
        <v>20508767</v>
      </c>
      <c r="I324" s="2" t="s">
        <v>44</v>
      </c>
      <c r="J324" s="3">
        <v>43409</v>
      </c>
      <c r="K324" s="2" t="s">
        <v>31</v>
      </c>
      <c r="L324" s="2" t="s">
        <v>72</v>
      </c>
      <c r="M324" s="2" t="s">
        <v>73</v>
      </c>
      <c r="N324" s="2" t="s">
        <v>34</v>
      </c>
      <c r="O324" s="2" t="s">
        <v>658</v>
      </c>
      <c r="P324" s="2" t="s">
        <v>88</v>
      </c>
      <c r="Q324" s="2" t="s">
        <v>303</v>
      </c>
      <c r="R324" s="2">
        <v>15401</v>
      </c>
      <c r="S324" s="2" t="s">
        <v>37</v>
      </c>
      <c r="T324" s="2" t="s">
        <v>37</v>
      </c>
      <c r="U324" s="2" t="s">
        <v>38</v>
      </c>
      <c r="V324" s="3">
        <v>43409</v>
      </c>
      <c r="W324" s="2" t="s">
        <v>48</v>
      </c>
      <c r="X324" s="2" t="str">
        <f t="shared" si="20"/>
        <v>Avenida Jose Carlos Mariategui, A.H. Asentamiento Humano Huascar, San Juan De Lurigancho, Lima, Lima, Perú</v>
      </c>
      <c r="Y324" s="22">
        <v>-11.9802214</v>
      </c>
      <c r="Z324" s="22">
        <v>-76.989015600000002</v>
      </c>
      <c r="AA324" s="33">
        <f t="shared" si="21"/>
        <v>9.8699999999999992</v>
      </c>
      <c r="AB324" s="2" t="str">
        <f t="shared" si="22"/>
        <v>🟡 Cerca (5-10 km)</v>
      </c>
      <c r="AC324" s="2" t="str" cm="1">
        <f t="array" ref="AC324">INDEX(PARADEROS_VALIDOS!$C$2:$C$68,MATCH(MIN(6371*ACOS(COS(RADIANS(Y324))*COS(RADIANS(PARADEROS_VALIDOS!$E$2:$E$68))*COS(RADIANS(PARADEROS_VALIDOS!$F$2:$F$68)-RADIANS(Z324))+SIN(RADIANS(Y324))*SIN(RADIANS(PARADEROS_VALIDOS!$E$2:$E$68)))),6371*ACOS(COS(RADIANS(Y324))*COS(RADIANS(PARADEROS_VALIDOS!$E$2:$E$68))*COS(RADIANS(PARADEROS_VALIDOS!$F$2:$F$68)-RADIANS(Z324))+SIN(RADIANS(Y324))*SIN(RADIANS(PARADEROS_VALIDOS!$E$2:$E$68))),0))</f>
        <v>Paradero San Martin</v>
      </c>
      <c r="AD324" s="2" t="str">
        <f>IFERROR(INDEX(PARADEROS_VALIDOS!$A$2:$A$68,MATCH(AC324,PARADEROS_VALIDOS!$C$2:$C$68,0)),"")</f>
        <v>RUTA 6A</v>
      </c>
      <c r="AE324" s="33" cm="1">
        <f t="array" ref="AE324">ROUND(MIN(6371*ACOS(COS(RADIANS(Y324))*COS(RADIANS(PARADEROS_VALIDOS!$E$2:$E$68))*COS(RADIANS(PARADEROS_VALIDOS!$F$2:$F$68)-RADIANS(Z324))+SIN(RADIANS(Y324))*SIN(RADIANS(PARADEROS_VALIDOS!$E$2:$E$68)))),2)</f>
        <v>1.35</v>
      </c>
      <c r="AF324" s="2" t="str">
        <f t="shared" si="23"/>
        <v>🟡 Cerca (1-3 km)</v>
      </c>
      <c r="AG324" s="2"/>
      <c r="AH324" s="2"/>
      <c r="AI324" s="51">
        <v>-11.997563</v>
      </c>
      <c r="AJ324" s="51">
        <v>-76.900062000000005</v>
      </c>
      <c r="AK324" s="2" t="str">
        <f>IFERROR(VLOOKUP(I324,tdcargo[],2,FALSE),"DESCONOCIDO")</f>
        <v>OPERARIO</v>
      </c>
    </row>
    <row r="325" spans="1:37" x14ac:dyDescent="0.35">
      <c r="A325" s="2" t="s">
        <v>1699</v>
      </c>
      <c r="B325" s="2" t="s">
        <v>1700</v>
      </c>
      <c r="C325" s="2" t="s">
        <v>1304</v>
      </c>
      <c r="D325" s="2" t="s">
        <v>1182</v>
      </c>
      <c r="E325" s="2">
        <v>41</v>
      </c>
      <c r="F325" s="2" t="s">
        <v>28</v>
      </c>
      <c r="G325" s="2" t="s">
        <v>29</v>
      </c>
      <c r="H325" s="2">
        <v>20508913</v>
      </c>
      <c r="I325" s="2" t="s">
        <v>30</v>
      </c>
      <c r="J325" s="3">
        <v>45628</v>
      </c>
      <c r="K325" s="2" t="s">
        <v>31</v>
      </c>
      <c r="L325" s="2" t="s">
        <v>132</v>
      </c>
      <c r="M325" s="2" t="s">
        <v>133</v>
      </c>
      <c r="N325" s="2" t="s">
        <v>34</v>
      </c>
      <c r="O325" s="2" t="s">
        <v>37</v>
      </c>
      <c r="P325" s="2" t="s">
        <v>36</v>
      </c>
      <c r="Q325" s="2" t="s">
        <v>37</v>
      </c>
      <c r="R325" s="2">
        <v>15401</v>
      </c>
      <c r="S325" s="2" t="s">
        <v>37</v>
      </c>
      <c r="T325" s="2" t="s">
        <v>37</v>
      </c>
      <c r="U325" s="2" t="s">
        <v>38</v>
      </c>
      <c r="V325" s="3">
        <v>45628</v>
      </c>
      <c r="W325" s="2" t="s">
        <v>48</v>
      </c>
      <c r="X325" s="2" t="str">
        <f t="shared" si="20"/>
        <v>Avenida Lima Lima, San Juan De Lurigancho, Lima, Lima, Perú</v>
      </c>
      <c r="Y325" s="22">
        <v>-12.003034899999999</v>
      </c>
      <c r="Z325" s="22">
        <v>-77.002896000000007</v>
      </c>
      <c r="AA325" s="33">
        <f t="shared" si="21"/>
        <v>11.2</v>
      </c>
      <c r="AB325" s="2" t="str">
        <f t="shared" si="22"/>
        <v>🟠 Moderada (10-20 km)</v>
      </c>
      <c r="AC325" s="2" t="str" cm="1">
        <f t="array" ref="AC325">INDEX(PARADEROS_VALIDOS!$C$2:$C$68,MATCH(MIN(6371*ACOS(COS(RADIANS(Y325))*COS(RADIANS(PARADEROS_VALIDOS!$E$2:$E$68))*COS(RADIANS(PARADEROS_VALIDOS!$F$2:$F$68)-RADIANS(Z325))+SIN(RADIANS(Y325))*SIN(RADIANS(PARADEROS_VALIDOS!$E$2:$E$68)))),6371*ACOS(COS(RADIANS(Y325))*COS(RADIANS(PARADEROS_VALIDOS!$E$2:$E$68))*COS(RADIANS(PARADEROS_VALIDOS!$F$2:$F$68)-RADIANS(Z325))+SIN(RADIANS(Y325))*SIN(RADIANS(PARADEROS_VALIDOS!$E$2:$E$68))),0))</f>
        <v>Paradero Metro Hacienda</v>
      </c>
      <c r="AD325" s="2" t="str">
        <f>IFERROR(INDEX(PARADEROS_VALIDOS!$A$2:$A$68,MATCH(AC325,PARADEROS_VALIDOS!$C$2:$C$68,0)),"")</f>
        <v>RUTA 6B</v>
      </c>
      <c r="AE325" s="33" cm="1">
        <f t="array" ref="AE325">ROUND(MIN(6371*ACOS(COS(RADIANS(Y325))*COS(RADIANS(PARADEROS_VALIDOS!$E$2:$E$68))*COS(RADIANS(PARADEROS_VALIDOS!$F$2:$F$68)-RADIANS(Z325))+SIN(RADIANS(Y325))*SIN(RADIANS(PARADEROS_VALIDOS!$E$2:$E$68)))),2)</f>
        <v>0.56999999999999995</v>
      </c>
      <c r="AF325" s="2" t="str">
        <f t="shared" si="23"/>
        <v>🟢 Muy Cerca (0-1 km)</v>
      </c>
      <c r="AG325" s="2"/>
      <c r="AH325" s="2"/>
      <c r="AI325" s="51">
        <v>-11.997563</v>
      </c>
      <c r="AJ325" s="51">
        <v>-76.900062000000005</v>
      </c>
      <c r="AK325" s="2" t="str">
        <f>IFERROR(VLOOKUP(I325,tdcargo[],2,FALSE),"DESCONOCIDO")</f>
        <v>OPERARIO</v>
      </c>
    </row>
    <row r="326" spans="1:37" x14ac:dyDescent="0.35">
      <c r="A326" s="2" t="s">
        <v>1701</v>
      </c>
      <c r="B326" s="2" t="s">
        <v>1702</v>
      </c>
      <c r="C326" s="2" t="s">
        <v>273</v>
      </c>
      <c r="D326" s="2" t="s">
        <v>1412</v>
      </c>
      <c r="E326" s="2">
        <v>22</v>
      </c>
      <c r="F326" s="2" t="s">
        <v>28</v>
      </c>
      <c r="G326" s="2" t="s">
        <v>29</v>
      </c>
      <c r="H326" s="2">
        <v>20508775</v>
      </c>
      <c r="I326" s="2" t="s">
        <v>30</v>
      </c>
      <c r="J326" s="3">
        <v>45915</v>
      </c>
      <c r="K326" s="2" t="s">
        <v>31</v>
      </c>
      <c r="L326" s="2" t="s">
        <v>72</v>
      </c>
      <c r="M326" s="2" t="s">
        <v>73</v>
      </c>
      <c r="N326" s="2" t="s">
        <v>34</v>
      </c>
      <c r="O326" s="2" t="s">
        <v>1703</v>
      </c>
      <c r="P326" s="2" t="s">
        <v>36</v>
      </c>
      <c r="Q326" s="2" t="s">
        <v>1704</v>
      </c>
      <c r="R326" s="2">
        <v>15004</v>
      </c>
      <c r="S326" s="2" t="s">
        <v>37</v>
      </c>
      <c r="T326" s="2" t="s">
        <v>37</v>
      </c>
      <c r="U326" s="2" t="s">
        <v>57</v>
      </c>
      <c r="V326" s="3">
        <v>45915</v>
      </c>
      <c r="W326" s="2" t="s">
        <v>39</v>
      </c>
      <c r="X326" s="2" t="str">
        <f t="shared" si="20"/>
        <v>Avenida x Jorge Chaves, Ate, Lima, Lima, Perú</v>
      </c>
      <c r="Y326" s="22">
        <v>-12.023711</v>
      </c>
      <c r="Z326" s="22">
        <v>-76.894016899999997</v>
      </c>
      <c r="AA326" s="33">
        <f t="shared" si="21"/>
        <v>2.98</v>
      </c>
      <c r="AB326" s="2" t="str">
        <f t="shared" si="22"/>
        <v>🟢 Muy Cerca (0-5 km)</v>
      </c>
      <c r="AC326" s="2" t="str" cm="1">
        <f t="array" ref="AC326">INDEX(PARADEROS_VALIDOS!$C$2:$C$68,MATCH(MIN(6371*ACOS(COS(RADIANS(Y326))*COS(RADIANS(PARADEROS_VALIDOS!$E$2:$E$68))*COS(RADIANS(PARADEROS_VALIDOS!$F$2:$F$68)-RADIANS(Z326))+SIN(RADIANS(Y326))*SIN(RADIANS(PARADEROS_VALIDOS!$E$2:$E$68)))),6371*ACOS(COS(RADIANS(Y326))*COS(RADIANS(PARADEROS_VALIDOS!$E$2:$E$68))*COS(RADIANS(PARADEROS_VALIDOS!$F$2:$F$68)-RADIANS(Z326))+SIN(RADIANS(Y326))*SIN(RADIANS(PARADEROS_VALIDOS!$E$2:$E$68))),0))</f>
        <v>Paradero Sta. Clara</v>
      </c>
      <c r="AD326" s="2" t="str">
        <f>IFERROR(INDEX(PARADEROS_VALIDOS!$A$2:$A$68,MATCH(AC326,PARADEROS_VALIDOS!$C$2:$C$68,0)),"")</f>
        <v>RUTA 5C</v>
      </c>
      <c r="AE326" s="33" cm="1">
        <f t="array" ref="AE326">ROUND(MIN(6371*ACOS(COS(RADIANS(Y326))*COS(RADIANS(PARADEROS_VALIDOS!$E$2:$E$68))*COS(RADIANS(PARADEROS_VALIDOS!$F$2:$F$68)-RADIANS(Z326))+SIN(RADIANS(Y326))*SIN(RADIANS(PARADEROS_VALIDOS!$E$2:$E$68)))),2)</f>
        <v>1.37</v>
      </c>
      <c r="AF326" s="2" t="str">
        <f t="shared" si="23"/>
        <v>🟡 Cerca (1-3 km)</v>
      </c>
      <c r="AG326" s="2"/>
      <c r="AH326" s="2"/>
      <c r="AI326" s="51">
        <v>-11.997563</v>
      </c>
      <c r="AJ326" s="51">
        <v>-76.900062000000005</v>
      </c>
      <c r="AK326" s="2" t="str">
        <f>IFERROR(VLOOKUP(I326,tdcargo[],2,FALSE),"DESCONOCIDO")</f>
        <v>OPERARIO</v>
      </c>
    </row>
    <row r="327" spans="1:37" x14ac:dyDescent="0.35">
      <c r="A327" s="2" t="s">
        <v>1705</v>
      </c>
      <c r="B327" s="2" t="s">
        <v>540</v>
      </c>
      <c r="C327" s="2" t="s">
        <v>797</v>
      </c>
      <c r="D327" s="2" t="s">
        <v>1304</v>
      </c>
      <c r="E327" s="2">
        <v>21</v>
      </c>
      <c r="F327" s="2" t="s">
        <v>28</v>
      </c>
      <c r="G327" s="2" t="s">
        <v>29</v>
      </c>
      <c r="H327" s="2">
        <v>20508829</v>
      </c>
      <c r="I327" s="2" t="s">
        <v>30</v>
      </c>
      <c r="J327" s="3">
        <v>45400</v>
      </c>
      <c r="K327" s="2" t="s">
        <v>31</v>
      </c>
      <c r="L327" s="2" t="s">
        <v>164</v>
      </c>
      <c r="M327" s="2" t="s">
        <v>165</v>
      </c>
      <c r="N327" s="2" t="s">
        <v>36</v>
      </c>
      <c r="O327" s="2" t="s">
        <v>540</v>
      </c>
      <c r="P327" s="2" t="s">
        <v>36</v>
      </c>
      <c r="Q327" s="2" t="s">
        <v>1115</v>
      </c>
      <c r="R327" s="2">
        <v>15457</v>
      </c>
      <c r="S327" s="2" t="s">
        <v>37</v>
      </c>
      <c r="T327" s="2" t="s">
        <v>37</v>
      </c>
      <c r="U327" s="2" t="s">
        <v>76</v>
      </c>
      <c r="V327" s="3">
        <v>45400</v>
      </c>
      <c r="W327" s="2" t="s">
        <v>48</v>
      </c>
      <c r="X327" s="2" t="str">
        <f t="shared" si="20"/>
        <v>Daniel Los Laureles, Lurigancho, Lima, Lima, Perú</v>
      </c>
      <c r="Y327" s="22">
        <v>-12.173531199999999</v>
      </c>
      <c r="Z327" s="22">
        <v>-77.023413199999993</v>
      </c>
      <c r="AA327" s="33">
        <f t="shared" si="21"/>
        <v>23.72</v>
      </c>
      <c r="AB327" s="2" t="str">
        <f t="shared" si="22"/>
        <v>🔴 Lejos (&gt;20 km)</v>
      </c>
      <c r="AC327" s="2" t="str" cm="1">
        <f t="array" ref="AC327">INDEX(PARADEROS_VALIDOS!$C$2:$C$68,MATCH(MIN(6371*ACOS(COS(RADIANS(Y327))*COS(RADIANS(PARADEROS_VALIDOS!$E$2:$E$68))*COS(RADIANS(PARADEROS_VALIDOS!$F$2:$F$68)-RADIANS(Z327))+SIN(RADIANS(Y327))*SIN(RADIANS(PARADEROS_VALIDOS!$E$2:$E$68)))),6371*ACOS(COS(RADIANS(Y327))*COS(RADIANS(PARADEROS_VALIDOS!$E$2:$E$68))*COS(RADIANS(PARADEROS_VALIDOS!$F$2:$F$68)-RADIANS(Z327))+SIN(RADIANS(Y327))*SIN(RADIANS(PARADEROS_VALIDOS!$E$2:$E$68))),0))</f>
        <v>Paradero Amauta</v>
      </c>
      <c r="AD327" s="2" t="str">
        <f>IFERROR(INDEX(PARADEROS_VALIDOS!$A$2:$A$68,MATCH(AC327,PARADEROS_VALIDOS!$C$2:$C$68,0)),"")</f>
        <v>RUTA 7</v>
      </c>
      <c r="AE327" s="33" cm="1">
        <f t="array" ref="AE327">ROUND(MIN(6371*ACOS(COS(RADIANS(Y327))*COS(RADIANS(PARADEROS_VALIDOS!$E$2:$E$68))*COS(RADIANS(PARADEROS_VALIDOS!$F$2:$F$68)-RADIANS(Z327))+SIN(RADIANS(Y327))*SIN(RADIANS(PARADEROS_VALIDOS!$E$2:$E$68)))),2)</f>
        <v>4.7</v>
      </c>
      <c r="AF327" s="2" t="str">
        <f t="shared" si="23"/>
        <v>🟠 Moderada (3-5 km)</v>
      </c>
      <c r="AG327" s="2"/>
      <c r="AH327" s="2"/>
      <c r="AI327" s="51">
        <v>-11.997563</v>
      </c>
      <c r="AJ327" s="51">
        <v>-76.900062000000005</v>
      </c>
      <c r="AK327" s="2" t="str">
        <f>IFERROR(VLOOKUP(I327,tdcargo[],2,FALSE),"DESCONOCIDO")</f>
        <v>OPERARIO</v>
      </c>
    </row>
    <row r="328" spans="1:37" x14ac:dyDescent="0.35">
      <c r="A328" s="2" t="s">
        <v>1706</v>
      </c>
      <c r="B328" s="2" t="s">
        <v>1707</v>
      </c>
      <c r="C328" s="2" t="s">
        <v>1708</v>
      </c>
      <c r="D328" s="2" t="s">
        <v>1709</v>
      </c>
      <c r="E328" s="2">
        <v>24</v>
      </c>
      <c r="F328" s="2" t="s">
        <v>28</v>
      </c>
      <c r="G328" s="2" t="s">
        <v>29</v>
      </c>
      <c r="H328" s="2">
        <v>20508956</v>
      </c>
      <c r="I328" s="2" t="s">
        <v>30</v>
      </c>
      <c r="J328" s="3">
        <v>45833</v>
      </c>
      <c r="K328" s="2" t="s">
        <v>31</v>
      </c>
      <c r="L328" s="2" t="s">
        <v>32</v>
      </c>
      <c r="M328" s="2" t="s">
        <v>33</v>
      </c>
      <c r="N328" s="2" t="s">
        <v>34</v>
      </c>
      <c r="O328" s="2" t="s">
        <v>1710</v>
      </c>
      <c r="P328" s="2" t="s">
        <v>36</v>
      </c>
      <c r="Q328" s="2"/>
      <c r="R328" s="2">
        <v>15457</v>
      </c>
      <c r="S328" s="2" t="s">
        <v>37</v>
      </c>
      <c r="T328" s="2" t="s">
        <v>37</v>
      </c>
      <c r="U328" s="2" t="s">
        <v>76</v>
      </c>
      <c r="V328" s="3">
        <v>45833</v>
      </c>
      <c r="W328" s="2" t="s">
        <v>39</v>
      </c>
      <c r="X328" s="2" t="str">
        <f t="shared" si="20"/>
        <v>Avenida Casa Puerta La Campiña, Lurigancho, Lima, Lima, Perú</v>
      </c>
      <c r="Y328" s="22">
        <v>-11.9271519</v>
      </c>
      <c r="Z328" s="22">
        <v>-77.060949300000004</v>
      </c>
      <c r="AA328" s="33">
        <f t="shared" si="21"/>
        <v>19.170000000000002</v>
      </c>
      <c r="AB328" s="2" t="str">
        <f t="shared" si="22"/>
        <v>🟠 Moderada (10-20 km)</v>
      </c>
      <c r="AC328" s="2" t="str" cm="1">
        <f t="array" ref="AC328">INDEX(PARADEROS_VALIDOS!$C$2:$C$68,MATCH(MIN(6371*ACOS(COS(RADIANS(Y328))*COS(RADIANS(PARADEROS_VALIDOS!$E$2:$E$68))*COS(RADIANS(PARADEROS_VALIDOS!$F$2:$F$68)-RADIANS(Z328))+SIN(RADIANS(Y328))*SIN(RADIANS(PARADEROS_VALIDOS!$E$2:$E$68)))),6371*ACOS(COS(RADIANS(Y328))*COS(RADIANS(PARADEROS_VALIDOS!$E$2:$E$68))*COS(RADIANS(PARADEROS_VALIDOS!$F$2:$F$68)-RADIANS(Z328))+SIN(RADIANS(Y328))*SIN(RADIANS(PARADEROS_VALIDOS!$E$2:$E$68))),0))</f>
        <v>Av. Metropolitana con Cultura</v>
      </c>
      <c r="AD328" s="2" t="str">
        <f>IFERROR(INDEX(PARADEROS_VALIDOS!$A$2:$A$68,MATCH(AC328,PARADEROS_VALIDOS!$C$2:$C$68,0)),"")</f>
        <v>RUTA 4A</v>
      </c>
      <c r="AE328" s="33" cm="1">
        <f t="array" ref="AE328">ROUND(MIN(6371*ACOS(COS(RADIANS(Y328))*COS(RADIANS(PARADEROS_VALIDOS!$E$2:$E$68))*COS(RADIANS(PARADEROS_VALIDOS!$F$2:$F$68)-RADIANS(Z328))+SIN(RADIANS(Y328))*SIN(RADIANS(PARADEROS_VALIDOS!$E$2:$E$68)))),2)</f>
        <v>2.89</v>
      </c>
      <c r="AF328" s="2" t="str">
        <f t="shared" si="23"/>
        <v>🟡 Cerca (1-3 km)</v>
      </c>
      <c r="AG328" s="2"/>
      <c r="AH328" s="2"/>
      <c r="AI328" s="51">
        <v>-11.997563</v>
      </c>
      <c r="AJ328" s="51">
        <v>-76.900062000000005</v>
      </c>
      <c r="AK328" s="2" t="str">
        <f>IFERROR(VLOOKUP(I328,tdcargo[],2,FALSE),"DESCONOCIDO")</f>
        <v>OPERARIO</v>
      </c>
    </row>
    <row r="329" spans="1:37" x14ac:dyDescent="0.35">
      <c r="A329" s="2" t="s">
        <v>1711</v>
      </c>
      <c r="B329" s="2" t="s">
        <v>1634</v>
      </c>
      <c r="C329" s="2" t="s">
        <v>199</v>
      </c>
      <c r="D329" s="2" t="s">
        <v>1298</v>
      </c>
      <c r="E329" s="2">
        <v>27</v>
      </c>
      <c r="F329" s="2" t="s">
        <v>28</v>
      </c>
      <c r="G329" s="2" t="s">
        <v>29</v>
      </c>
      <c r="H329" s="2">
        <v>20508741</v>
      </c>
      <c r="I329" s="2" t="s">
        <v>62</v>
      </c>
      <c r="J329" s="3">
        <v>43818</v>
      </c>
      <c r="K329" s="2" t="s">
        <v>31</v>
      </c>
      <c r="L329" s="2" t="s">
        <v>100</v>
      </c>
      <c r="M329" s="2" t="s">
        <v>101</v>
      </c>
      <c r="N329" s="2" t="s">
        <v>36</v>
      </c>
      <c r="O329" s="2" t="s">
        <v>255</v>
      </c>
      <c r="P329" s="2" t="s">
        <v>66</v>
      </c>
      <c r="Q329" s="2" t="s">
        <v>1712</v>
      </c>
      <c r="R329" s="2">
        <v>15004</v>
      </c>
      <c r="S329" s="2" t="s">
        <v>37</v>
      </c>
      <c r="T329" s="2" t="s">
        <v>37</v>
      </c>
      <c r="U329" s="2" t="s">
        <v>57</v>
      </c>
      <c r="V329" s="3">
        <v>43818</v>
      </c>
      <c r="W329" s="2" t="s">
        <v>48</v>
      </c>
      <c r="X329" s="2" t="str">
        <f t="shared" si="20"/>
        <v>Asociacion, U.V. Unidad Vecinal 15 De Junio - Horacio Zeballoz, Ate, Lima, Lima, Perú</v>
      </c>
      <c r="Y329" s="22">
        <v>-12.008354000000001</v>
      </c>
      <c r="Z329" s="22">
        <v>-76.8420196</v>
      </c>
      <c r="AA329" s="33">
        <f t="shared" si="21"/>
        <v>6.43</v>
      </c>
      <c r="AB329" s="2" t="str">
        <f t="shared" si="22"/>
        <v>🟡 Cerca (5-10 km)</v>
      </c>
      <c r="AC329" s="2" t="str" cm="1">
        <f t="array" ref="AC329">INDEX(PARADEROS_VALIDOS!$C$2:$C$68,MATCH(MIN(6371*ACOS(COS(RADIANS(Y329))*COS(RADIANS(PARADEROS_VALIDOS!$E$2:$E$68))*COS(RADIANS(PARADEROS_VALIDOS!$F$2:$F$68)-RADIANS(Z329))+SIN(RADIANS(Y329))*SIN(RADIANS(PARADEROS_VALIDOS!$E$2:$E$68)))),6371*ACOS(COS(RADIANS(Y329))*COS(RADIANS(PARADEROS_VALIDOS!$E$2:$E$68))*COS(RADIANS(PARADEROS_VALIDOS!$F$2:$F$68)-RADIANS(Z329))+SIN(RADIANS(Y329))*SIN(RADIANS(PARADEROS_VALIDOS!$E$2:$E$68))),0))</f>
        <v>Entrada Horacio</v>
      </c>
      <c r="AD329" s="2" t="str">
        <f>IFERROR(INDEX(PARADEROS_VALIDOS!$A$2:$A$68,MATCH(AC329,PARADEROS_VALIDOS!$C$2:$C$68,0)),"")</f>
        <v>RUTA 5B</v>
      </c>
      <c r="AE329" s="33" cm="1">
        <f t="array" ref="AE329">ROUND(MIN(6371*ACOS(COS(RADIANS(Y329))*COS(RADIANS(PARADEROS_VALIDOS!$E$2:$E$68))*COS(RADIANS(PARADEROS_VALIDOS!$F$2:$F$68)-RADIANS(Z329))+SIN(RADIANS(Y329))*SIN(RADIANS(PARADEROS_VALIDOS!$E$2:$E$68)))),2)</f>
        <v>0</v>
      </c>
      <c r="AF329" s="2" t="str">
        <f t="shared" si="23"/>
        <v>🟢 Muy Cerca (0-1 km)</v>
      </c>
      <c r="AG329" s="2"/>
      <c r="AH329" s="2"/>
      <c r="AI329" s="51">
        <v>-11.997563</v>
      </c>
      <c r="AJ329" s="51">
        <v>-76.900062000000005</v>
      </c>
      <c r="AK329" s="2" t="str">
        <f>IFERROR(VLOOKUP(I329,tdcargo[],2,FALSE),"DESCONOCIDO")</f>
        <v>OPERARIO</v>
      </c>
    </row>
    <row r="330" spans="1:37" x14ac:dyDescent="0.35">
      <c r="A330" s="2" t="s">
        <v>1713</v>
      </c>
      <c r="B330" s="2" t="s">
        <v>1714</v>
      </c>
      <c r="C330" s="2" t="s">
        <v>1715</v>
      </c>
      <c r="D330" s="2" t="s">
        <v>370</v>
      </c>
      <c r="E330" s="2">
        <v>42</v>
      </c>
      <c r="F330" s="2" t="s">
        <v>28</v>
      </c>
      <c r="G330" s="2" t="s">
        <v>29</v>
      </c>
      <c r="H330" s="2">
        <v>20508936</v>
      </c>
      <c r="I330" s="2" t="s">
        <v>44</v>
      </c>
      <c r="J330" s="3">
        <v>43167</v>
      </c>
      <c r="K330" s="2" t="s">
        <v>31</v>
      </c>
      <c r="L330" s="2" t="s">
        <v>32</v>
      </c>
      <c r="M330" s="2" t="s">
        <v>33</v>
      </c>
      <c r="N330" s="2" t="s">
        <v>53</v>
      </c>
      <c r="O330" s="2" t="s">
        <v>1716</v>
      </c>
      <c r="P330" s="2" t="s">
        <v>88</v>
      </c>
      <c r="Q330" s="2" t="s">
        <v>1717</v>
      </c>
      <c r="R330" s="2">
        <v>7046</v>
      </c>
      <c r="S330" s="2" t="s">
        <v>872</v>
      </c>
      <c r="T330" s="2" t="s">
        <v>873</v>
      </c>
      <c r="U330" s="2" t="s">
        <v>874</v>
      </c>
      <c r="V330" s="3">
        <v>43167</v>
      </c>
      <c r="W330" s="2" t="s">
        <v>48</v>
      </c>
      <c r="X330" s="2" t="str">
        <f t="shared" si="20"/>
        <v>Jirón Cuzco, A.H. Asentamiento Humano La F, Ventanilla, Callao, Const. Del Callao, Perú</v>
      </c>
      <c r="Y330" s="22">
        <v>-12.0587196</v>
      </c>
      <c r="Z330" s="22">
        <v>-77.138596100000001</v>
      </c>
      <c r="AA330" s="33">
        <f t="shared" si="21"/>
        <v>26.82</v>
      </c>
      <c r="AB330" s="2" t="str">
        <f t="shared" si="22"/>
        <v>🔴 Lejos (&gt;20 km)</v>
      </c>
      <c r="AC330" s="2" t="str" cm="1">
        <f t="array" ref="AC330">INDEX(PARADEROS_VALIDOS!$C$2:$C$68,MATCH(MIN(6371*ACOS(COS(RADIANS(Y330))*COS(RADIANS(PARADEROS_VALIDOS!$E$2:$E$68))*COS(RADIANS(PARADEROS_VALIDOS!$F$2:$F$68)-RADIANS(Z330))+SIN(RADIANS(Y330))*SIN(RADIANS(PARADEROS_VALIDOS!$E$2:$E$68)))),6371*ACOS(COS(RADIANS(Y330))*COS(RADIANS(PARADEROS_VALIDOS!$E$2:$E$68))*COS(RADIANS(PARADEROS_VALIDOS!$F$2:$F$68)-RADIANS(Z330))+SIN(RADIANS(Y330))*SIN(RADIANS(PARADEROS_VALIDOS!$E$2:$E$68))),0))</f>
        <v>Paradero Sta. Rosa</v>
      </c>
      <c r="AD330" s="2" t="str">
        <f>IFERROR(INDEX(PARADEROS_VALIDOS!$A$2:$A$68,MATCH(AC330,PARADEROS_VALIDOS!$C$2:$C$68,0)),"")</f>
        <v>RUTA 3</v>
      </c>
      <c r="AE330" s="33" cm="1">
        <f t="array" ref="AE330">ROUND(MIN(6371*ACOS(COS(RADIANS(Y330))*COS(RADIANS(PARADEROS_VALIDOS!$E$2:$E$68))*COS(RADIANS(PARADEROS_VALIDOS!$F$2:$F$68)-RADIANS(Z330))+SIN(RADIANS(Y330))*SIN(RADIANS(PARADEROS_VALIDOS!$E$2:$E$68)))),2)</f>
        <v>2.63</v>
      </c>
      <c r="AF330" s="2" t="str">
        <f t="shared" si="23"/>
        <v>🟡 Cerca (1-3 km)</v>
      </c>
      <c r="AG330" s="2"/>
      <c r="AH330" s="2"/>
      <c r="AI330" s="51">
        <v>-11.997563</v>
      </c>
      <c r="AJ330" s="51">
        <v>-76.900062000000005</v>
      </c>
      <c r="AK330" s="2" t="str">
        <f>IFERROR(VLOOKUP(I330,tdcargo[],2,FALSE),"DESCONOCIDO")</f>
        <v>OPERARIO</v>
      </c>
    </row>
    <row r="331" spans="1:37" x14ac:dyDescent="0.35">
      <c r="A331" s="2" t="s">
        <v>1718</v>
      </c>
      <c r="B331" s="2" t="s">
        <v>1719</v>
      </c>
      <c r="C331" s="2" t="s">
        <v>1720</v>
      </c>
      <c r="D331" s="2" t="s">
        <v>1640</v>
      </c>
      <c r="E331" s="2">
        <v>21</v>
      </c>
      <c r="F331" s="2" t="s">
        <v>28</v>
      </c>
      <c r="G331" s="2" t="s">
        <v>29</v>
      </c>
      <c r="H331" s="2">
        <v>20508745</v>
      </c>
      <c r="I331" s="2" t="s">
        <v>30</v>
      </c>
      <c r="J331" s="3">
        <v>45719</v>
      </c>
      <c r="K331" s="2" t="s">
        <v>31</v>
      </c>
      <c r="L331" s="2" t="s">
        <v>72</v>
      </c>
      <c r="M331" s="2" t="s">
        <v>73</v>
      </c>
      <c r="N331" s="2" t="s">
        <v>82</v>
      </c>
      <c r="O331" s="2" t="s">
        <v>1721</v>
      </c>
      <c r="P331" s="2" t="s">
        <v>36</v>
      </c>
      <c r="Q331" s="2" t="s">
        <v>834</v>
      </c>
      <c r="R331" s="2">
        <v>15004</v>
      </c>
      <c r="S331" s="2" t="s">
        <v>37</v>
      </c>
      <c r="T331" s="2" t="s">
        <v>37</v>
      </c>
      <c r="U331" s="2" t="s">
        <v>57</v>
      </c>
      <c r="V331" s="3">
        <v>45719</v>
      </c>
      <c r="W331" s="2" t="s">
        <v>77</v>
      </c>
      <c r="X331" s="2" t="str">
        <f t="shared" si="20"/>
        <v>Calle Los Molles Santa Cruz, Ate, Lima, Lima, Perú</v>
      </c>
      <c r="Y331" s="22">
        <v>-12.0298719</v>
      </c>
      <c r="Z331" s="22">
        <v>-76.904036899999994</v>
      </c>
      <c r="AA331" s="33">
        <f t="shared" si="21"/>
        <v>3.62</v>
      </c>
      <c r="AB331" s="2" t="str">
        <f t="shared" si="22"/>
        <v>🟢 Muy Cerca (0-5 km)</v>
      </c>
      <c r="AC331" s="2" t="str" cm="1">
        <f t="array" ref="AC331">INDEX(PARADEROS_VALIDOS!$C$2:$C$68,MATCH(MIN(6371*ACOS(COS(RADIANS(Y331))*COS(RADIANS(PARADEROS_VALIDOS!$E$2:$E$68))*COS(RADIANS(PARADEROS_VALIDOS!$F$2:$F$68)-RADIANS(Z331))+SIN(RADIANS(Y331))*SIN(RADIANS(PARADEROS_VALIDOS!$E$2:$E$68)))),6371*ACOS(COS(RADIANS(Y331))*COS(RADIANS(PARADEROS_VALIDOS!$E$2:$E$68))*COS(RADIANS(PARADEROS_VALIDOS!$F$2:$F$68)-RADIANS(Z331))+SIN(RADIANS(Y331))*SIN(RADIANS(PARADEROS_VALIDOS!$E$2:$E$68))),0))</f>
        <v>Paradero Esperanza</v>
      </c>
      <c r="AD331" s="2" t="str">
        <f>IFERROR(INDEX(PARADEROS_VALIDOS!$A$2:$A$68,MATCH(AC331,PARADEROS_VALIDOS!$C$2:$C$68,0)),"")</f>
        <v>RUTA 4B</v>
      </c>
      <c r="AE331" s="33" cm="1">
        <f t="array" ref="AE331">ROUND(MIN(6371*ACOS(COS(RADIANS(Y331))*COS(RADIANS(PARADEROS_VALIDOS!$E$2:$E$68))*COS(RADIANS(PARADEROS_VALIDOS!$F$2:$F$68)-RADIANS(Z331))+SIN(RADIANS(Y331))*SIN(RADIANS(PARADEROS_VALIDOS!$E$2:$E$68)))),2)</f>
        <v>0.95</v>
      </c>
      <c r="AF331" s="2" t="str">
        <f t="shared" si="23"/>
        <v>🟢 Muy Cerca (0-1 km)</v>
      </c>
      <c r="AG331" s="2"/>
      <c r="AH331" s="2"/>
      <c r="AI331" s="51">
        <v>-11.997563</v>
      </c>
      <c r="AJ331" s="51">
        <v>-76.900062000000005</v>
      </c>
      <c r="AK331" s="2" t="str">
        <f>IFERROR(VLOOKUP(I331,tdcargo[],2,FALSE),"DESCONOCIDO")</f>
        <v>OPERARIO</v>
      </c>
    </row>
    <row r="332" spans="1:37" x14ac:dyDescent="0.35">
      <c r="A332" s="2" t="s">
        <v>1722</v>
      </c>
      <c r="B332" s="2" t="s">
        <v>1723</v>
      </c>
      <c r="C332" s="2" t="s">
        <v>80</v>
      </c>
      <c r="D332" s="2" t="s">
        <v>1201</v>
      </c>
      <c r="E332" s="2">
        <v>38</v>
      </c>
      <c r="F332" s="2" t="s">
        <v>28</v>
      </c>
      <c r="G332" s="2" t="s">
        <v>29</v>
      </c>
      <c r="H332" s="2">
        <v>20508761</v>
      </c>
      <c r="I332" s="2" t="s">
        <v>30</v>
      </c>
      <c r="J332" s="3">
        <v>45378</v>
      </c>
      <c r="K332" s="2" t="s">
        <v>31</v>
      </c>
      <c r="L332" s="2" t="s">
        <v>72</v>
      </c>
      <c r="M332" s="2" t="s">
        <v>73</v>
      </c>
      <c r="N332" s="2" t="s">
        <v>34</v>
      </c>
      <c r="O332" s="2" t="s">
        <v>1724</v>
      </c>
      <c r="P332" s="2" t="s">
        <v>36</v>
      </c>
      <c r="Q332" s="2" t="s">
        <v>1725</v>
      </c>
      <c r="R332" s="2">
        <v>15457</v>
      </c>
      <c r="S332" s="2" t="s">
        <v>37</v>
      </c>
      <c r="T332" s="2" t="s">
        <v>37</v>
      </c>
      <c r="U332" s="2" t="s">
        <v>76</v>
      </c>
      <c r="V332" s="3">
        <v>45378</v>
      </c>
      <c r="W332" s="2" t="s">
        <v>48</v>
      </c>
      <c r="X332" s="2" t="str">
        <f t="shared" si="20"/>
        <v>Avenida Panpas Los Olivares Villa Leticia Chosica, Lurigancho, Lima, Lima, Perú</v>
      </c>
      <c r="Y332" s="22">
        <v>-11.9928296</v>
      </c>
      <c r="Z332" s="22">
        <v>-76.902914600000003</v>
      </c>
      <c r="AA332" s="33">
        <f t="shared" si="21"/>
        <v>0.61</v>
      </c>
      <c r="AB332" s="2" t="str">
        <f t="shared" si="22"/>
        <v>🟢 Muy Cerca (0-5 km)</v>
      </c>
      <c r="AC332" s="2" t="str" cm="1">
        <f t="array" ref="AC332">INDEX(PARADEROS_VALIDOS!$C$2:$C$68,MATCH(MIN(6371*ACOS(COS(RADIANS(Y332))*COS(RADIANS(PARADEROS_VALIDOS!$E$2:$E$68))*COS(RADIANS(PARADEROS_VALIDOS!$F$2:$F$68)-RADIANS(Z332))+SIN(RADIANS(Y332))*SIN(RADIANS(PARADEROS_VALIDOS!$E$2:$E$68)))),6371*ACOS(COS(RADIANS(Y332))*COS(RADIANS(PARADEROS_VALIDOS!$E$2:$E$68))*COS(RADIANS(PARADEROS_VALIDOS!$F$2:$F$68)-RADIANS(Z332))+SIN(RADIANS(Y332))*SIN(RADIANS(PARADEROS_VALIDOS!$E$2:$E$68))),0))</f>
        <v>Paradero Arco San Antonio</v>
      </c>
      <c r="AD332" s="2" t="str">
        <f>IFERROR(INDEX(PARADEROS_VALIDOS!$A$2:$A$68,MATCH(AC332,PARADEROS_VALIDOS!$C$2:$C$68,0)),"")</f>
        <v>RUTA 2</v>
      </c>
      <c r="AE332" s="33" cm="1">
        <f t="array" ref="AE332">ROUND(MIN(6371*ACOS(COS(RADIANS(Y332))*COS(RADIANS(PARADEROS_VALIDOS!$E$2:$E$68))*COS(RADIANS(PARADEROS_VALIDOS!$F$2:$F$68)-RADIANS(Z332))+SIN(RADIANS(Y332))*SIN(RADIANS(PARADEROS_VALIDOS!$E$2:$E$68)))),2)</f>
        <v>0.08</v>
      </c>
      <c r="AF332" s="2" t="str">
        <f t="shared" si="23"/>
        <v>🟢 Muy Cerca (0-1 km)</v>
      </c>
      <c r="AG332" s="2"/>
      <c r="AH332" s="2"/>
      <c r="AI332" s="51">
        <v>-11.997563</v>
      </c>
      <c r="AJ332" s="51">
        <v>-76.900062000000005</v>
      </c>
      <c r="AK332" s="2" t="str">
        <f>IFERROR(VLOOKUP(I332,tdcargo[],2,FALSE),"DESCONOCIDO")</f>
        <v>OPERARIO</v>
      </c>
    </row>
    <row r="333" spans="1:37" x14ac:dyDescent="0.35">
      <c r="A333" s="2" t="s">
        <v>1726</v>
      </c>
      <c r="B333" s="2" t="s">
        <v>1727</v>
      </c>
      <c r="C333" s="2" t="s">
        <v>1728</v>
      </c>
      <c r="D333" s="2" t="s">
        <v>623</v>
      </c>
      <c r="E333" s="2">
        <v>21</v>
      </c>
      <c r="F333" s="2" t="s">
        <v>28</v>
      </c>
      <c r="G333" s="2" t="s">
        <v>29</v>
      </c>
      <c r="H333" s="2">
        <v>20508920</v>
      </c>
      <c r="I333" s="2" t="s">
        <v>30</v>
      </c>
      <c r="J333" s="3">
        <v>45407</v>
      </c>
      <c r="K333" s="2" t="s">
        <v>31</v>
      </c>
      <c r="L333" s="2" t="s">
        <v>32</v>
      </c>
      <c r="M333" s="2" t="s">
        <v>33</v>
      </c>
      <c r="N333" s="2" t="s">
        <v>36</v>
      </c>
      <c r="O333" s="2" t="s">
        <v>705</v>
      </c>
      <c r="P333" s="2" t="s">
        <v>36</v>
      </c>
      <c r="Q333" s="2" t="s">
        <v>1729</v>
      </c>
      <c r="R333" s="2">
        <v>15004</v>
      </c>
      <c r="S333" s="2" t="s">
        <v>37</v>
      </c>
      <c r="T333" s="2" t="s">
        <v>37</v>
      </c>
      <c r="U333" s="2" t="s">
        <v>57</v>
      </c>
      <c r="V333" s="3">
        <v>45407</v>
      </c>
      <c r="W333" s="2" t="s">
        <v>48</v>
      </c>
      <c r="X333" s="2" t="str">
        <f t="shared" si="20"/>
        <v>Huaycan Vivienda Taller, Ate, Lima, Lima, Perú</v>
      </c>
      <c r="Y333" s="22">
        <v>-12.0201464</v>
      </c>
      <c r="Z333" s="22">
        <v>-76.8175454</v>
      </c>
      <c r="AA333" s="33">
        <f t="shared" si="21"/>
        <v>9.32</v>
      </c>
      <c r="AB333" s="2" t="str">
        <f t="shared" si="22"/>
        <v>🟡 Cerca (5-10 km)</v>
      </c>
      <c r="AC333" s="2" t="str" cm="1">
        <f t="array" ref="AC333">INDEX(PARADEROS_VALIDOS!$C$2:$C$68,MATCH(MIN(6371*ACOS(COS(RADIANS(Y333))*COS(RADIANS(PARADEROS_VALIDOS!$E$2:$E$68))*COS(RADIANS(PARADEROS_VALIDOS!$F$2:$F$68)-RADIANS(Z333))+SIN(RADIANS(Y333))*SIN(RADIANS(PARADEROS_VALIDOS!$E$2:$E$68)))),6371*ACOS(COS(RADIANS(Y333))*COS(RADIANS(PARADEROS_VALIDOS!$E$2:$E$68))*COS(RADIANS(PARADEROS_VALIDOS!$F$2:$F$68)-RADIANS(Z333))+SIN(RADIANS(Y333))*SIN(RADIANS(PARADEROS_VALIDOS!$E$2:$E$68))),0))</f>
        <v>Paradero Aurora</v>
      </c>
      <c r="AD333" s="2" t="str">
        <f>IFERROR(INDEX(PARADEROS_VALIDOS!$A$2:$A$68,MATCH(AC333,PARADEROS_VALIDOS!$C$2:$C$68,0)),"")</f>
        <v>RUTA 3</v>
      </c>
      <c r="AE333" s="33" cm="1">
        <f t="array" ref="AE333">ROUND(MIN(6371*ACOS(COS(RADIANS(Y333))*COS(RADIANS(PARADEROS_VALIDOS!$E$2:$E$68))*COS(RADIANS(PARADEROS_VALIDOS!$F$2:$F$68)-RADIANS(Z333))+SIN(RADIANS(Y333))*SIN(RADIANS(PARADEROS_VALIDOS!$E$2:$E$68)))),2)</f>
        <v>0.84</v>
      </c>
      <c r="AF333" s="2" t="str">
        <f t="shared" si="23"/>
        <v>🟢 Muy Cerca (0-1 km)</v>
      </c>
      <c r="AG333" s="2"/>
      <c r="AH333" s="2"/>
      <c r="AI333" s="51">
        <v>-11.997563</v>
      </c>
      <c r="AJ333" s="51">
        <v>-76.900062000000005</v>
      </c>
      <c r="AK333" s="2" t="str">
        <f>IFERROR(VLOOKUP(I333,tdcargo[],2,FALSE),"DESCONOCIDO")</f>
        <v>OPERARIO</v>
      </c>
    </row>
    <row r="334" spans="1:37" x14ac:dyDescent="0.35">
      <c r="A334" s="2" t="s">
        <v>1730</v>
      </c>
      <c r="B334" s="2" t="s">
        <v>1731</v>
      </c>
      <c r="C334" s="2" t="s">
        <v>1732</v>
      </c>
      <c r="D334" s="2" t="s">
        <v>1733</v>
      </c>
      <c r="E334" s="2">
        <v>52</v>
      </c>
      <c r="F334" s="2" t="s">
        <v>28</v>
      </c>
      <c r="G334" s="2" t="s">
        <v>29</v>
      </c>
      <c r="H334" s="2">
        <v>20508983</v>
      </c>
      <c r="I334" s="2" t="s">
        <v>30</v>
      </c>
      <c r="J334" s="3">
        <v>44896</v>
      </c>
      <c r="K334" s="2" t="s">
        <v>31</v>
      </c>
      <c r="L334" s="2" t="s">
        <v>63</v>
      </c>
      <c r="M334" s="2" t="s">
        <v>64</v>
      </c>
      <c r="N334" s="2" t="s">
        <v>34</v>
      </c>
      <c r="O334" s="2" t="s">
        <v>1734</v>
      </c>
      <c r="P334" s="2" t="s">
        <v>186</v>
      </c>
      <c r="Q334" s="2" t="s">
        <v>1735</v>
      </c>
      <c r="R334" s="2">
        <v>15457</v>
      </c>
      <c r="S334" s="2" t="s">
        <v>37</v>
      </c>
      <c r="T334" s="2" t="s">
        <v>37</v>
      </c>
      <c r="U334" s="2" t="s">
        <v>76</v>
      </c>
      <c r="V334" s="3">
        <v>44896</v>
      </c>
      <c r="W334" s="2" t="s">
        <v>48</v>
      </c>
      <c r="X334" s="2" t="str">
        <f t="shared" si="20"/>
        <v>Avenida 13 De Julio, Urb. Urbanización Anexo 8 Jicamarca, Lurigancho, Lima, Lima, Perú</v>
      </c>
      <c r="Y334" s="22">
        <v>-11.9819438</v>
      </c>
      <c r="Z334" s="22">
        <v>-76.949588399999996</v>
      </c>
      <c r="AA334" s="33">
        <f t="shared" si="21"/>
        <v>5.66</v>
      </c>
      <c r="AB334" s="2" t="str">
        <f t="shared" si="22"/>
        <v>🟡 Cerca (5-10 km)</v>
      </c>
      <c r="AC334" s="2" t="str" cm="1">
        <f t="array" ref="AC334">INDEX(PARADEROS_VALIDOS!$C$2:$C$68,MATCH(MIN(6371*ACOS(COS(RADIANS(Y334))*COS(RADIANS(PARADEROS_VALIDOS!$E$2:$E$68))*COS(RADIANS(PARADEROS_VALIDOS!$F$2:$F$68)-RADIANS(Z334))+SIN(RADIANS(Y334))*SIN(RADIANS(PARADEROS_VALIDOS!$E$2:$E$68)))),6371*ACOS(COS(RADIANS(Y334))*COS(RADIANS(PARADEROS_VALIDOS!$E$2:$E$68))*COS(RADIANS(PARADEROS_VALIDOS!$F$2:$F$68)-RADIANS(Z334))+SIN(RADIANS(Y334))*SIN(RADIANS(PARADEROS_VALIDOS!$E$2:$E$68))),0))</f>
        <v>Paradero Saracoto</v>
      </c>
      <c r="AD334" s="2" t="str">
        <f>IFERROR(INDEX(PARADEROS_VALIDOS!$A$2:$A$68,MATCH(AC334,PARADEROS_VALIDOS!$C$2:$C$68,0)),"")</f>
        <v>RUTA 1</v>
      </c>
      <c r="AE334" s="33" cm="1">
        <f t="array" ref="AE334">ROUND(MIN(6371*ACOS(COS(RADIANS(Y334))*COS(RADIANS(PARADEROS_VALIDOS!$E$2:$E$68))*COS(RADIANS(PARADEROS_VALIDOS!$F$2:$F$68)-RADIANS(Z334))+SIN(RADIANS(Y334))*SIN(RADIANS(PARADEROS_VALIDOS!$E$2:$E$68)))),2)</f>
        <v>4.84</v>
      </c>
      <c r="AF334" s="2" t="str">
        <f t="shared" si="23"/>
        <v>🟠 Moderada (3-5 km)</v>
      </c>
      <c r="AG334" s="2"/>
      <c r="AH334" s="2"/>
      <c r="AI334" s="51">
        <v>-11.997563</v>
      </c>
      <c r="AJ334" s="51">
        <v>-76.900062000000005</v>
      </c>
      <c r="AK334" s="2" t="str">
        <f>IFERROR(VLOOKUP(I334,tdcargo[],2,FALSE),"DESCONOCIDO")</f>
        <v>OPERARIO</v>
      </c>
    </row>
    <row r="335" spans="1:37" x14ac:dyDescent="0.35">
      <c r="A335" s="2" t="s">
        <v>1736</v>
      </c>
      <c r="B335" s="2" t="s">
        <v>404</v>
      </c>
      <c r="C335" s="2" t="s">
        <v>1088</v>
      </c>
      <c r="D335" s="2" t="s">
        <v>451</v>
      </c>
      <c r="E335" s="2">
        <v>42</v>
      </c>
      <c r="F335" s="2" t="s">
        <v>28</v>
      </c>
      <c r="G335" s="2" t="s">
        <v>29</v>
      </c>
      <c r="H335" s="2">
        <v>20510576</v>
      </c>
      <c r="I335" s="2" t="s">
        <v>30</v>
      </c>
      <c r="J335" s="3">
        <v>45579</v>
      </c>
      <c r="K335" s="2" t="s">
        <v>31</v>
      </c>
      <c r="L335" s="2" t="s">
        <v>100</v>
      </c>
      <c r="M335" s="2" t="s">
        <v>101</v>
      </c>
      <c r="N335" s="2" t="s">
        <v>148</v>
      </c>
      <c r="O335" s="2" t="s">
        <v>1737</v>
      </c>
      <c r="P335" s="2" t="s">
        <v>36</v>
      </c>
      <c r="Q335" s="2" t="s">
        <v>737</v>
      </c>
      <c r="R335" s="2">
        <v>15401</v>
      </c>
      <c r="S335" s="2" t="s">
        <v>37</v>
      </c>
      <c r="T335" s="2" t="s">
        <v>37</v>
      </c>
      <c r="U335" s="2" t="s">
        <v>38</v>
      </c>
      <c r="V335" s="3">
        <v>45579</v>
      </c>
      <c r="W335" s="2" t="s">
        <v>48</v>
      </c>
      <c r="X335" s="2" t="str">
        <f t="shared" si="20"/>
        <v>Pasaje Brasil Aahh San Juan De Campoy, San Juan De Lurigancho, Lima, Lima, Perú</v>
      </c>
      <c r="Y335" s="22">
        <v>-12.0192576</v>
      </c>
      <c r="Z335" s="22">
        <v>-76.955513400000001</v>
      </c>
      <c r="AA335" s="33">
        <f t="shared" si="21"/>
        <v>6.5</v>
      </c>
      <c r="AB335" s="2" t="str">
        <f t="shared" si="22"/>
        <v>🟡 Cerca (5-10 km)</v>
      </c>
      <c r="AC335" s="2" t="str" cm="1">
        <f t="array" ref="AC335">INDEX(PARADEROS_VALIDOS!$C$2:$C$68,MATCH(MIN(6371*ACOS(COS(RADIANS(Y335))*COS(RADIANS(PARADEROS_VALIDOS!$E$2:$E$68))*COS(RADIANS(PARADEROS_VALIDOS!$F$2:$F$68)-RADIANS(Z335))+SIN(RADIANS(Y335))*SIN(RADIANS(PARADEROS_VALIDOS!$E$2:$E$68)))),6371*ACOS(COS(RADIANS(Y335))*COS(RADIANS(PARADEROS_VALIDOS!$E$2:$E$68))*COS(RADIANS(PARADEROS_VALIDOS!$F$2:$F$68)-RADIANS(Z335))+SIN(RADIANS(Y335))*SIN(RADIANS(PARADEROS_VALIDOS!$E$2:$E$68))),0))</f>
        <v>Paradero Bayóvar</v>
      </c>
      <c r="AD335" s="2" t="str">
        <f>IFERROR(INDEX(PARADEROS_VALIDOS!$A$2:$A$68,MATCH(AC335,PARADEROS_VALIDOS!$C$2:$C$68,0)),"")</f>
        <v>RUTA 6A</v>
      </c>
      <c r="AE335" s="33" cm="1">
        <f t="array" ref="AE335">ROUND(MIN(6371*ACOS(COS(RADIANS(Y335))*COS(RADIANS(PARADEROS_VALIDOS!$E$2:$E$68))*COS(RADIANS(PARADEROS_VALIDOS!$F$2:$F$68)-RADIANS(Z335))+SIN(RADIANS(Y335))*SIN(RADIANS(PARADEROS_VALIDOS!$E$2:$E$68)))),2)</f>
        <v>1.3</v>
      </c>
      <c r="AF335" s="2" t="str">
        <f t="shared" si="23"/>
        <v>🟡 Cerca (1-3 km)</v>
      </c>
      <c r="AG335" s="2"/>
      <c r="AH335" s="2"/>
      <c r="AI335" s="51">
        <v>-11.997563</v>
      </c>
      <c r="AJ335" s="51">
        <v>-76.900062000000005</v>
      </c>
      <c r="AK335" s="2" t="str">
        <f>IFERROR(VLOOKUP(I335,tdcargo[],2,FALSE),"DESCONOCIDO")</f>
        <v>OPERARIO</v>
      </c>
    </row>
    <row r="336" spans="1:37" x14ac:dyDescent="0.35">
      <c r="A336" s="2" t="s">
        <v>1738</v>
      </c>
      <c r="B336" s="2" t="s">
        <v>1739</v>
      </c>
      <c r="C336" s="2" t="s">
        <v>1740</v>
      </c>
      <c r="D336" s="2" t="s">
        <v>1256</v>
      </c>
      <c r="E336" s="2">
        <v>20</v>
      </c>
      <c r="F336" s="2" t="s">
        <v>28</v>
      </c>
      <c r="G336" s="2" t="s">
        <v>29</v>
      </c>
      <c r="H336" s="2">
        <v>20510591</v>
      </c>
      <c r="I336" s="2" t="s">
        <v>30</v>
      </c>
      <c r="J336" s="3">
        <v>45537</v>
      </c>
      <c r="K336" s="2" t="s">
        <v>31</v>
      </c>
      <c r="L336" s="2" t="s">
        <v>72</v>
      </c>
      <c r="M336" s="2" t="s">
        <v>73</v>
      </c>
      <c r="N336" s="2" t="s">
        <v>34</v>
      </c>
      <c r="O336" s="2" t="s">
        <v>1741</v>
      </c>
      <c r="P336" s="2" t="s">
        <v>36</v>
      </c>
      <c r="Q336" s="2" t="s">
        <v>1742</v>
      </c>
      <c r="R336" s="2">
        <v>15472</v>
      </c>
      <c r="S336" s="2" t="s">
        <v>37</v>
      </c>
      <c r="T336" s="2" t="s">
        <v>37</v>
      </c>
      <c r="U336" s="2" t="s">
        <v>118</v>
      </c>
      <c r="V336" s="3">
        <v>45537</v>
      </c>
      <c r="W336" s="2" t="s">
        <v>48</v>
      </c>
      <c r="X336" s="2" t="str">
        <f t="shared" si="20"/>
        <v>Avenida Union Moron Grande, Chaclacayo, Lima, Lima, Perú</v>
      </c>
      <c r="Y336" s="22">
        <v>-11.9830576</v>
      </c>
      <c r="Z336" s="22">
        <v>-76.802560900000003</v>
      </c>
      <c r="AA336" s="33">
        <f t="shared" si="21"/>
        <v>10.73</v>
      </c>
      <c r="AB336" s="2" t="str">
        <f t="shared" si="22"/>
        <v>🟠 Moderada (10-20 km)</v>
      </c>
      <c r="AC336" s="2" t="str" cm="1">
        <f t="array" ref="AC336">INDEX(PARADEROS_VALIDOS!$C$2:$C$68,MATCH(MIN(6371*ACOS(COS(RADIANS(Y336))*COS(RADIANS(PARADEROS_VALIDOS!$E$2:$E$68))*COS(RADIANS(PARADEROS_VALIDOS!$F$2:$F$68)-RADIANS(Z336))+SIN(RADIANS(Y336))*SIN(RADIANS(PARADEROS_VALIDOS!$E$2:$E$68)))),6371*ACOS(COS(RADIANS(Y336))*COS(RADIANS(PARADEROS_VALIDOS!$E$2:$E$68))*COS(RADIANS(PARADEROS_VALIDOS!$F$2:$F$68)-RADIANS(Z336))+SIN(RADIANS(Y336))*SIN(RADIANS(PARADEROS_VALIDOS!$E$2:$E$68))),0))</f>
        <v>Entrada Ñaña</v>
      </c>
      <c r="AD336" s="2" t="str">
        <f>IFERROR(INDEX(PARADEROS_VALIDOS!$A$2:$A$68,MATCH(AC336,PARADEROS_VALIDOS!$C$2:$C$68,0)),"")</f>
        <v>RUTA 5A</v>
      </c>
      <c r="AE336" s="33" cm="1">
        <f t="array" ref="AE336">ROUND(MIN(6371*ACOS(COS(RADIANS(Y336))*COS(RADIANS(PARADEROS_VALIDOS!$E$2:$E$68))*COS(RADIANS(PARADEROS_VALIDOS!$F$2:$F$68)-RADIANS(Z336))+SIN(RADIANS(Y336))*SIN(RADIANS(PARADEROS_VALIDOS!$E$2:$E$68)))),2)</f>
        <v>1.85</v>
      </c>
      <c r="AF336" s="2" t="str">
        <f t="shared" si="23"/>
        <v>🟡 Cerca (1-3 km)</v>
      </c>
      <c r="AG336" s="2"/>
      <c r="AH336" s="2"/>
      <c r="AI336" s="51">
        <v>-11.997563</v>
      </c>
      <c r="AJ336" s="51">
        <v>-76.900062000000005</v>
      </c>
      <c r="AK336" s="2" t="str">
        <f>IFERROR(VLOOKUP(I336,tdcargo[],2,FALSE),"DESCONOCIDO")</f>
        <v>OPERARIO</v>
      </c>
    </row>
    <row r="337" spans="1:37" x14ac:dyDescent="0.35">
      <c r="A337" s="2" t="s">
        <v>380</v>
      </c>
      <c r="B337" s="2" t="s">
        <v>1743</v>
      </c>
      <c r="C337" s="2" t="s">
        <v>1070</v>
      </c>
      <c r="D337" s="2" t="s">
        <v>1744</v>
      </c>
      <c r="E337" s="2">
        <v>35</v>
      </c>
      <c r="F337" s="2" t="s">
        <v>28</v>
      </c>
      <c r="G337" s="2" t="s">
        <v>29</v>
      </c>
      <c r="H337" s="2">
        <v>20511236</v>
      </c>
      <c r="I337" s="2" t="s">
        <v>1745</v>
      </c>
      <c r="J337" s="3">
        <v>45659</v>
      </c>
      <c r="K337" s="2" t="s">
        <v>31</v>
      </c>
      <c r="L337" s="2" t="s">
        <v>1746</v>
      </c>
      <c r="M337" s="2"/>
      <c r="N337" s="2" t="s">
        <v>82</v>
      </c>
      <c r="O337" s="2" t="s">
        <v>1747</v>
      </c>
      <c r="P337" s="2" t="s">
        <v>36</v>
      </c>
      <c r="Q337" s="2" t="s">
        <v>1748</v>
      </c>
      <c r="R337" s="2">
        <v>15113</v>
      </c>
      <c r="S337" s="2" t="s">
        <v>37</v>
      </c>
      <c r="T337" s="2" t="s">
        <v>37</v>
      </c>
      <c r="U337" s="2" t="s">
        <v>116</v>
      </c>
      <c r="V337" s="3">
        <v>45659</v>
      </c>
      <c r="W337" s="2" t="s">
        <v>77</v>
      </c>
      <c r="X337" s="2" t="str">
        <f t="shared" si="20"/>
        <v>Calle Santa Cruz De Pachacutec Urbanizacion Villa Los Angeles, Los Olivos, Lima, Lima, Perú</v>
      </c>
      <c r="Y337" s="22">
        <v>-11.994030499999999</v>
      </c>
      <c r="Z337" s="22">
        <v>-77.067182799999998</v>
      </c>
      <c r="AA337" s="33">
        <f t="shared" si="21"/>
        <v>18.18</v>
      </c>
      <c r="AB337" s="2" t="str">
        <f t="shared" si="22"/>
        <v>🟠 Moderada (10-20 km)</v>
      </c>
      <c r="AC337" s="2" t="str" cm="1">
        <f t="array" ref="AC337">INDEX(PARADEROS_VALIDOS!$C$2:$C$68,MATCH(MIN(6371*ACOS(COS(RADIANS(Y337))*COS(RADIANS(PARADEROS_VALIDOS!$E$2:$E$68))*COS(RADIANS(PARADEROS_VALIDOS!$F$2:$F$68)-RADIANS(Z337))+SIN(RADIANS(Y337))*SIN(RADIANS(PARADEROS_VALIDOS!$E$2:$E$68)))),6371*ACOS(COS(RADIANS(Y337))*COS(RADIANS(PARADEROS_VALIDOS!$E$2:$E$68))*COS(RADIANS(PARADEROS_VALIDOS!$F$2:$F$68)-RADIANS(Z337))+SIN(RADIANS(Y337))*SIN(RADIANS(PARADEROS_VALIDOS!$E$2:$E$68))),0))</f>
        <v>Paradero Metro Eyzaguirre</v>
      </c>
      <c r="AD337" s="2" t="str">
        <f>IFERROR(INDEX(PARADEROS_VALIDOS!$A$2:$A$68,MATCH(AC337,PARADEROS_VALIDOS!$C$2:$C$68,0)),"")</f>
        <v>RUTA 8</v>
      </c>
      <c r="AE337" s="33" cm="1">
        <f t="array" ref="AE337">ROUND(MIN(6371*ACOS(COS(RADIANS(Y337))*COS(RADIANS(PARADEROS_VALIDOS!$E$2:$E$68))*COS(RADIANS(PARADEROS_VALIDOS!$F$2:$F$68)-RADIANS(Z337))+SIN(RADIANS(Y337))*SIN(RADIANS(PARADEROS_VALIDOS!$E$2:$E$68)))),2)</f>
        <v>0.78</v>
      </c>
      <c r="AF337" s="2" t="str">
        <f t="shared" si="23"/>
        <v>🟢 Muy Cerca (0-1 km)</v>
      </c>
      <c r="AG337" s="2"/>
      <c r="AH337" s="2"/>
      <c r="AI337" s="51">
        <v>-11.997563</v>
      </c>
      <c r="AJ337" s="51">
        <v>-76.900062000000005</v>
      </c>
      <c r="AK337" s="2" t="str">
        <f>IFERROR(VLOOKUP(I337,tdcargo[],2,FALSE),"DESCONOCIDO")</f>
        <v>STAFF</v>
      </c>
    </row>
    <row r="338" spans="1:37" x14ac:dyDescent="0.35">
      <c r="A338" s="2" t="s">
        <v>1749</v>
      </c>
      <c r="B338" s="2" t="s">
        <v>1750</v>
      </c>
      <c r="C338" s="2" t="s">
        <v>884</v>
      </c>
      <c r="D338" s="2" t="s">
        <v>43</v>
      </c>
      <c r="E338" s="2">
        <v>43</v>
      </c>
      <c r="F338" s="2" t="s">
        <v>28</v>
      </c>
      <c r="G338" s="2" t="s">
        <v>29</v>
      </c>
      <c r="H338" s="2">
        <v>20508787</v>
      </c>
      <c r="I338" s="2" t="s">
        <v>30</v>
      </c>
      <c r="J338" s="3">
        <v>46045</v>
      </c>
      <c r="K338" s="2" t="s">
        <v>31</v>
      </c>
      <c r="L338" s="2" t="s">
        <v>100</v>
      </c>
      <c r="M338" s="2" t="s">
        <v>101</v>
      </c>
      <c r="N338" s="2" t="s">
        <v>82</v>
      </c>
      <c r="O338" s="2" t="s">
        <v>1751</v>
      </c>
      <c r="P338" s="2" t="s">
        <v>36</v>
      </c>
      <c r="Q338" s="2" t="s">
        <v>1752</v>
      </c>
      <c r="R338" s="2">
        <v>7006</v>
      </c>
      <c r="S338" s="2" t="s">
        <v>872</v>
      </c>
      <c r="T338" s="2" t="s">
        <v>873</v>
      </c>
      <c r="U338" s="2" t="s">
        <v>873</v>
      </c>
      <c r="V338" s="3">
        <v>46045</v>
      </c>
      <c r="W338" s="2" t="s">
        <v>135</v>
      </c>
      <c r="X338" s="2" t="str">
        <f t="shared" si="20"/>
        <v>Calle Las Colinas LAS COLINAS, Callao, Callao, Const. Del Callao, Perú</v>
      </c>
      <c r="Y338" s="22">
        <v>-12.001167199999999</v>
      </c>
      <c r="Z338" s="22">
        <v>-77.100152499999993</v>
      </c>
      <c r="AA338" s="33">
        <f t="shared" si="21"/>
        <v>21.77</v>
      </c>
      <c r="AB338" s="2" t="str">
        <f t="shared" si="22"/>
        <v>🔴 Lejos (&gt;20 km)</v>
      </c>
      <c r="AC338" s="2" t="str" cm="1">
        <f t="array" ref="AC338">INDEX(PARADEROS_VALIDOS!$C$2:$C$68,MATCH(MIN(6371*ACOS(COS(RADIANS(Y338))*COS(RADIANS(PARADEROS_VALIDOS!$E$2:$E$68))*COS(RADIANS(PARADEROS_VALIDOS!$F$2:$F$68)-RADIANS(Z338))+SIN(RADIANS(Y338))*SIN(RADIANS(PARADEROS_VALIDOS!$E$2:$E$68)))),6371*ACOS(COS(RADIANS(Y338))*COS(RADIANS(PARADEROS_VALIDOS!$E$2:$E$68))*COS(RADIANS(PARADEROS_VALIDOS!$F$2:$F$68)-RADIANS(Z338))+SIN(RADIANS(Y338))*SIN(RADIANS(PARADEROS_VALIDOS!$E$2:$E$68))),0))</f>
        <v>Paradero Universitaria con San German</v>
      </c>
      <c r="AD338" s="2" t="str">
        <f>IFERROR(INDEX(PARADEROS_VALIDOS!$A$2:$A$68,MATCH(AC338,PARADEROS_VALIDOS!$C$2:$C$68,0)),"")</f>
        <v>RUTA 8</v>
      </c>
      <c r="AE338" s="33" cm="1">
        <f t="array" ref="AE338">ROUND(MIN(6371*ACOS(COS(RADIANS(Y338))*COS(RADIANS(PARADEROS_VALIDOS!$E$2:$E$68))*COS(RADIANS(PARADEROS_VALIDOS!$F$2:$F$68)-RADIANS(Z338))+SIN(RADIANS(Y338))*SIN(RADIANS(PARADEROS_VALIDOS!$E$2:$E$68)))),2)</f>
        <v>2.15</v>
      </c>
      <c r="AF338" s="2" t="str">
        <f t="shared" si="23"/>
        <v>🟡 Cerca (1-3 km)</v>
      </c>
      <c r="AG338" s="2"/>
      <c r="AH338" s="2"/>
      <c r="AI338" s="51">
        <v>-11.997563</v>
      </c>
      <c r="AJ338" s="51">
        <v>-76.900062000000005</v>
      </c>
      <c r="AK338" s="2" t="str">
        <f>IFERROR(VLOOKUP(I338,tdcargo[],2,FALSE),"DESCONOCIDO")</f>
        <v>OPERARIO</v>
      </c>
    </row>
    <row r="339" spans="1:37" x14ac:dyDescent="0.35">
      <c r="A339" s="2" t="s">
        <v>1753</v>
      </c>
      <c r="B339" s="2" t="s">
        <v>1754</v>
      </c>
      <c r="C339" s="2" t="s">
        <v>1755</v>
      </c>
      <c r="D339" s="2" t="s">
        <v>1756</v>
      </c>
      <c r="E339" s="2">
        <v>26</v>
      </c>
      <c r="F339" s="2" t="s">
        <v>28</v>
      </c>
      <c r="G339" s="2" t="s">
        <v>29</v>
      </c>
      <c r="H339" s="2">
        <v>20508986</v>
      </c>
      <c r="I339" s="2" t="s">
        <v>30</v>
      </c>
      <c r="J339" s="3">
        <v>46083</v>
      </c>
      <c r="K339" s="2" t="s">
        <v>31</v>
      </c>
      <c r="L339" s="2" t="s">
        <v>63</v>
      </c>
      <c r="M339" s="2" t="s">
        <v>64</v>
      </c>
      <c r="N339" s="2" t="s">
        <v>82</v>
      </c>
      <c r="O339" s="2" t="s">
        <v>1757</v>
      </c>
      <c r="P339" s="2" t="s">
        <v>36</v>
      </c>
      <c r="Q339" s="2" t="s">
        <v>1758</v>
      </c>
      <c r="R339" s="2">
        <v>15001</v>
      </c>
      <c r="S339" s="2" t="s">
        <v>37</v>
      </c>
      <c r="T339" s="2" t="s">
        <v>37</v>
      </c>
      <c r="U339" s="2" t="s">
        <v>37</v>
      </c>
      <c r="V339" s="3">
        <v>46083</v>
      </c>
      <c r="W339" s="2" t="s">
        <v>135</v>
      </c>
      <c r="X339" s="2" t="str">
        <f t="shared" si="20"/>
        <v>Calle Cocharcas Mz D Lt 1 ate, Lima, Lima, Lima, Perú</v>
      </c>
      <c r="Y339" s="22">
        <v>-11.995752400000001</v>
      </c>
      <c r="Z339" s="22">
        <v>-77.112897099999998</v>
      </c>
      <c r="AA339" s="33">
        <f t="shared" si="21"/>
        <v>23.15</v>
      </c>
      <c r="AB339" s="2" t="str">
        <f t="shared" si="22"/>
        <v>🔴 Lejos (&gt;20 km)</v>
      </c>
      <c r="AC339" s="2" t="str" cm="1">
        <f t="array" ref="AC339">INDEX(PARADEROS_VALIDOS!$C$2:$C$68,MATCH(MIN(6371*ACOS(COS(RADIANS(Y339))*COS(RADIANS(PARADEROS_VALIDOS!$E$2:$E$68))*COS(RADIANS(PARADEROS_VALIDOS!$F$2:$F$68)-RADIANS(Z339))+SIN(RADIANS(Y339))*SIN(RADIANS(PARADEROS_VALIDOS!$E$2:$E$68)))),6371*ACOS(COS(RADIANS(Y339))*COS(RADIANS(PARADEROS_VALIDOS!$E$2:$E$68))*COS(RADIANS(PARADEROS_VALIDOS!$F$2:$F$68)-RADIANS(Z339))+SIN(RADIANS(Y339))*SIN(RADIANS(PARADEROS_VALIDOS!$E$2:$E$68))),0))</f>
        <v>Paradero 200 Millas</v>
      </c>
      <c r="AD339" s="2" t="str">
        <f>IFERROR(INDEX(PARADEROS_VALIDOS!$A$2:$A$68,MATCH(AC339,PARADEROS_VALIDOS!$C$2:$C$68,0)),"")</f>
        <v>RUTA 7</v>
      </c>
      <c r="AE339" s="33" cm="1">
        <f t="array" ref="AE339">ROUND(MIN(6371*ACOS(COS(RADIANS(Y339))*COS(RADIANS(PARADEROS_VALIDOS!$E$2:$E$68))*COS(RADIANS(PARADEROS_VALIDOS!$F$2:$F$68)-RADIANS(Z339))+SIN(RADIANS(Y339))*SIN(RADIANS(PARADEROS_VALIDOS!$E$2:$E$68)))),2)</f>
        <v>1.29</v>
      </c>
      <c r="AF339" s="2" t="str">
        <f t="shared" si="23"/>
        <v>🟡 Cerca (1-3 km)</v>
      </c>
      <c r="AG339" s="2"/>
      <c r="AH339" s="2"/>
      <c r="AI339" s="51">
        <v>-11.997563</v>
      </c>
      <c r="AJ339" s="51">
        <v>-76.900062000000005</v>
      </c>
      <c r="AK339" s="2" t="str">
        <f>IFERROR(VLOOKUP(I339,tdcargo[],2,FALSE),"DESCONOCIDO")</f>
        <v>OPERARIO</v>
      </c>
    </row>
    <row r="340" spans="1:37" x14ac:dyDescent="0.35">
      <c r="A340" s="2" t="s">
        <v>1759</v>
      </c>
      <c r="B340" s="2" t="s">
        <v>1760</v>
      </c>
      <c r="C340" s="2" t="s">
        <v>1761</v>
      </c>
      <c r="D340" s="2" t="s">
        <v>1762</v>
      </c>
      <c r="E340" s="2">
        <v>24</v>
      </c>
      <c r="F340" s="2" t="s">
        <v>28</v>
      </c>
      <c r="G340" s="2" t="s">
        <v>29</v>
      </c>
      <c r="H340" s="2">
        <v>20508728</v>
      </c>
      <c r="I340" s="2" t="s">
        <v>123</v>
      </c>
      <c r="J340" s="3">
        <v>45600</v>
      </c>
      <c r="K340" s="2" t="s">
        <v>31</v>
      </c>
      <c r="L340" s="2" t="s">
        <v>124</v>
      </c>
      <c r="M340" s="2" t="s">
        <v>125</v>
      </c>
      <c r="N340" s="2" t="s">
        <v>82</v>
      </c>
      <c r="O340" s="2" t="s">
        <v>1110</v>
      </c>
      <c r="P340" s="2" t="s">
        <v>36</v>
      </c>
      <c r="Q340" s="2" t="s">
        <v>367</v>
      </c>
      <c r="R340" s="2">
        <v>15001</v>
      </c>
      <c r="S340" s="2" t="s">
        <v>37</v>
      </c>
      <c r="T340" s="2" t="s">
        <v>37</v>
      </c>
      <c r="U340" s="2" t="s">
        <v>37</v>
      </c>
      <c r="V340" s="3">
        <v>45600</v>
      </c>
      <c r="W340" s="2" t="s">
        <v>48</v>
      </c>
      <c r="X340" s="2" t="str">
        <f t="shared" si="20"/>
        <v>Calle Belisario Suarez Santa Anita, Lima, Lima, Lima, Perú</v>
      </c>
      <c r="Y340" s="22">
        <v>-12.051671799999999</v>
      </c>
      <c r="Z340" s="22">
        <v>-76.973448599999998</v>
      </c>
      <c r="AA340" s="33">
        <f t="shared" si="21"/>
        <v>9.99</v>
      </c>
      <c r="AB340" s="2" t="str">
        <f t="shared" si="22"/>
        <v>🟡 Cerca (5-10 km)</v>
      </c>
      <c r="AC340" s="2" t="str" cm="1">
        <f t="array" ref="AC340">INDEX(PARADEROS_VALIDOS!$C$2:$C$68,MATCH(MIN(6371*ACOS(COS(RADIANS(Y340))*COS(RADIANS(PARADEROS_VALIDOS!$E$2:$E$68))*COS(RADIANS(PARADEROS_VALIDOS!$F$2:$F$68)-RADIANS(Z340))+SIN(RADIANS(Y340))*SIN(RADIANS(PARADEROS_VALIDOS!$E$2:$E$68)))),6371*ACOS(COS(RADIANS(Y340))*COS(RADIANS(PARADEROS_VALIDOS!$E$2:$E$68))*COS(RADIANS(PARADEROS_VALIDOS!$F$2:$F$68)-RADIANS(Z340))+SIN(RADIANS(Y340))*SIN(RADIANS(PARADEROS_VALIDOS!$E$2:$E$68))),0))</f>
        <v>Puente Santa Anita</v>
      </c>
      <c r="AD340" s="2" t="str">
        <f>IFERROR(INDEX(PARADEROS_VALIDOS!$A$2:$A$68,MATCH(AC340,PARADEROS_VALIDOS!$C$2:$C$68,0)),"")</f>
        <v>RUTA 7</v>
      </c>
      <c r="AE340" s="33" cm="1">
        <f t="array" ref="AE340">ROUND(MIN(6371*ACOS(COS(RADIANS(Y340))*COS(RADIANS(PARADEROS_VALIDOS!$E$2:$E$68))*COS(RADIANS(PARADEROS_VALIDOS!$F$2:$F$68)-RADIANS(Z340))+SIN(RADIANS(Y340))*SIN(RADIANS(PARADEROS_VALIDOS!$E$2:$E$68)))),2)</f>
        <v>0.68</v>
      </c>
      <c r="AF340" s="2" t="str">
        <f t="shared" si="23"/>
        <v>🟢 Muy Cerca (0-1 km)</v>
      </c>
      <c r="AG340" s="2"/>
      <c r="AH340" s="2"/>
      <c r="AI340" s="51">
        <v>-11.997563</v>
      </c>
      <c r="AJ340" s="51">
        <v>-76.900062000000005</v>
      </c>
      <c r="AK340" s="2" t="str">
        <f>IFERROR(VLOOKUP(I340,tdcargo[],2,FALSE),"DESCONOCIDO")</f>
        <v>STAFF</v>
      </c>
    </row>
    <row r="341" spans="1:37" x14ac:dyDescent="0.35">
      <c r="A341" s="2" t="s">
        <v>1763</v>
      </c>
      <c r="B341" s="2" t="s">
        <v>1764</v>
      </c>
      <c r="C341" s="2" t="s">
        <v>364</v>
      </c>
      <c r="D341" s="2" t="s">
        <v>489</v>
      </c>
      <c r="E341" s="2">
        <v>28</v>
      </c>
      <c r="F341" s="2" t="s">
        <v>28</v>
      </c>
      <c r="G341" s="2" t="s">
        <v>29</v>
      </c>
      <c r="H341" s="2">
        <v>20514456</v>
      </c>
      <c r="I341" s="2" t="s">
        <v>30</v>
      </c>
      <c r="J341" s="3">
        <v>46034</v>
      </c>
      <c r="K341" s="2" t="s">
        <v>31</v>
      </c>
      <c r="L341" s="2" t="s">
        <v>100</v>
      </c>
      <c r="M341" s="2" t="s">
        <v>101</v>
      </c>
      <c r="N341" s="2" t="s">
        <v>82</v>
      </c>
      <c r="O341" s="2" t="s">
        <v>1765</v>
      </c>
      <c r="P341" s="2" t="s">
        <v>36</v>
      </c>
      <c r="Q341" s="2"/>
      <c r="R341" s="2">
        <v>15457</v>
      </c>
      <c r="S341" s="2" t="s">
        <v>37</v>
      </c>
      <c r="T341" s="2" t="s">
        <v>37</v>
      </c>
      <c r="U341" s="2" t="s">
        <v>76</v>
      </c>
      <c r="V341" s="3">
        <v>46034</v>
      </c>
      <c r="W341" s="2" t="s">
        <v>135</v>
      </c>
      <c r="X341" s="2" t="str">
        <f t="shared" si="20"/>
        <v>Calle Frutales, Lurigancho, Lima, Lima, Perú</v>
      </c>
      <c r="Y341" s="22">
        <v>-11.8853402</v>
      </c>
      <c r="Z341" s="22">
        <v>-76.958622599999998</v>
      </c>
      <c r="AA341" s="33">
        <f t="shared" si="21"/>
        <v>14.01</v>
      </c>
      <c r="AB341" s="2" t="str">
        <f t="shared" si="22"/>
        <v>🟠 Moderada (10-20 km)</v>
      </c>
      <c r="AC341" s="2" t="str" cm="1">
        <f t="array" ref="AC341">INDEX(PARADEROS_VALIDOS!$C$2:$C$68,MATCH(MIN(6371*ACOS(COS(RADIANS(Y341))*COS(RADIANS(PARADEROS_VALIDOS!$E$2:$E$68))*COS(RADIANS(PARADEROS_VALIDOS!$F$2:$F$68)-RADIANS(Z341))+SIN(RADIANS(Y341))*SIN(RADIANS(PARADEROS_VALIDOS!$E$2:$E$68)))),6371*ACOS(COS(RADIANS(Y341))*COS(RADIANS(PARADEROS_VALIDOS!$E$2:$E$68))*COS(RADIANS(PARADEROS_VALIDOS!$F$2:$F$68)-RADIANS(Z341))+SIN(RADIANS(Y341))*SIN(RADIANS(PARADEROS_VALIDOS!$E$2:$E$68))),0))</f>
        <v>Paradero Acho</v>
      </c>
      <c r="AD341" s="2" t="str">
        <f>IFERROR(INDEX(PARADEROS_VALIDOS!$A$2:$A$68,MATCH(AC341,PARADEROS_VALIDOS!$C$2:$C$68,0)),"")</f>
        <v>RUTA 8</v>
      </c>
      <c r="AE341" s="33" cm="1">
        <f t="array" ref="AE341">ROUND(MIN(6371*ACOS(COS(RADIANS(Y341))*COS(RADIANS(PARADEROS_VALIDOS!$E$2:$E$68))*COS(RADIANS(PARADEROS_VALIDOS!$F$2:$F$68)-RADIANS(Z341))+SIN(RADIANS(Y341))*SIN(RADIANS(PARADEROS_VALIDOS!$E$2:$E$68)))),2)</f>
        <v>10.86</v>
      </c>
      <c r="AF341" s="2" t="str">
        <f t="shared" si="23"/>
        <v>🔴 Lejos (&gt;5 km)</v>
      </c>
      <c r="AG341" s="2"/>
      <c r="AH341" s="2"/>
      <c r="AI341" s="51">
        <v>-11.997563</v>
      </c>
      <c r="AJ341" s="51">
        <v>-76.900062000000005</v>
      </c>
      <c r="AK341" s="2" t="str">
        <f>IFERROR(VLOOKUP(I341,tdcargo[],2,FALSE),"DESCONOCIDO")</f>
        <v>OPERARIO</v>
      </c>
    </row>
    <row r="342" spans="1:37" x14ac:dyDescent="0.35">
      <c r="A342" s="2" t="s">
        <v>1766</v>
      </c>
      <c r="B342" s="2" t="s">
        <v>1767</v>
      </c>
      <c r="C342" s="2" t="s">
        <v>1768</v>
      </c>
      <c r="D342" s="2" t="s">
        <v>325</v>
      </c>
      <c r="E342" s="2">
        <v>33</v>
      </c>
      <c r="F342" s="2" t="s">
        <v>28</v>
      </c>
      <c r="G342" s="2" t="s">
        <v>29</v>
      </c>
      <c r="H342" s="2">
        <v>20509014</v>
      </c>
      <c r="I342" s="2" t="s">
        <v>372</v>
      </c>
      <c r="J342" s="3">
        <v>45064</v>
      </c>
      <c r="K342" s="2" t="s">
        <v>31</v>
      </c>
      <c r="L342" s="2" t="s">
        <v>156</v>
      </c>
      <c r="M342" s="2" t="s">
        <v>157</v>
      </c>
      <c r="N342" s="2" t="s">
        <v>34</v>
      </c>
      <c r="O342" s="2" t="s">
        <v>1769</v>
      </c>
      <c r="P342" s="2" t="s">
        <v>609</v>
      </c>
      <c r="Q342" s="2" t="s">
        <v>1770</v>
      </c>
      <c r="R342" s="2">
        <v>15501</v>
      </c>
      <c r="S342" s="2" t="s">
        <v>37</v>
      </c>
      <c r="T342" s="2" t="s">
        <v>195</v>
      </c>
      <c r="U342" s="2" t="s">
        <v>1623</v>
      </c>
      <c r="V342" s="3">
        <v>45064</v>
      </c>
      <c r="W342" s="2" t="s">
        <v>48</v>
      </c>
      <c r="X342" s="2" t="str">
        <f t="shared" si="20"/>
        <v>Avenida Jose Santos Chocano, P.J. Pueblo Joven Pueblo Nuevo Buenos Aires, Santa Eulalia, Huarochiri, Lima, Perú</v>
      </c>
      <c r="Y342" s="22">
        <v>-11.8552874</v>
      </c>
      <c r="Z342" s="22">
        <v>-76.652822499999999</v>
      </c>
      <c r="AA342" s="33">
        <f t="shared" si="21"/>
        <v>31.21</v>
      </c>
      <c r="AB342" s="2" t="str">
        <f t="shared" si="22"/>
        <v>🔴 Lejos (&gt;20 km)</v>
      </c>
      <c r="AC342" s="2" t="str" cm="1">
        <f t="array" ref="AC342">INDEX(PARADEROS_VALIDOS!$C$2:$C$68,MATCH(MIN(6371*ACOS(COS(RADIANS(Y342))*COS(RADIANS(PARADEROS_VALIDOS!$E$2:$E$68))*COS(RADIANS(PARADEROS_VALIDOS!$F$2:$F$68)-RADIANS(Z342))+SIN(RADIANS(Y342))*SIN(RADIANS(PARADEROS_VALIDOS!$E$2:$E$68)))),6371*ACOS(COS(RADIANS(Y342))*COS(RADIANS(PARADEROS_VALIDOS!$E$2:$E$68))*COS(RADIANS(PARADEROS_VALIDOS!$F$2:$F$68)-RADIANS(Z342))+SIN(RADIANS(Y342))*SIN(RADIANS(PARADEROS_VALIDOS!$E$2:$E$68))),0))</f>
        <v>Paradero Girasoles - Chaclacayo</v>
      </c>
      <c r="AD342" s="2" t="str">
        <f>IFERROR(INDEX(PARADEROS_VALIDOS!$A$2:$A$68,MATCH(AC342,PARADEROS_VALIDOS!$C$2:$C$68,0)),"")</f>
        <v>RUTA 5A</v>
      </c>
      <c r="AE342" s="33" cm="1">
        <f t="array" ref="AE342">ROUND(MIN(6371*ACOS(COS(RADIANS(Y342))*COS(RADIANS(PARADEROS_VALIDOS!$E$2:$E$68))*COS(RADIANS(PARADEROS_VALIDOS!$F$2:$F$68)-RADIANS(Z342))+SIN(RADIANS(Y342))*SIN(RADIANS(PARADEROS_VALIDOS!$E$2:$E$68)))),2)</f>
        <v>18.739999999999998</v>
      </c>
      <c r="AF342" s="2" t="str">
        <f t="shared" si="23"/>
        <v>🔴 Lejos (&gt;5 km)</v>
      </c>
      <c r="AG342" s="2"/>
      <c r="AH342" s="2"/>
      <c r="AI342" s="51">
        <v>-11.997563</v>
      </c>
      <c r="AJ342" s="51">
        <v>-76.900062000000005</v>
      </c>
      <c r="AK342" s="2" t="str">
        <f>IFERROR(VLOOKUP(I342,tdcargo[],2,FALSE),"DESCONOCIDO")</f>
        <v>OPERARIO</v>
      </c>
    </row>
    <row r="343" spans="1:37" x14ac:dyDescent="0.35">
      <c r="A343" s="2" t="s">
        <v>1771</v>
      </c>
      <c r="B343" s="2" t="s">
        <v>1772</v>
      </c>
      <c r="C343" s="2" t="s">
        <v>1773</v>
      </c>
      <c r="D343" s="2" t="s">
        <v>1412</v>
      </c>
      <c r="E343" s="2">
        <v>37</v>
      </c>
      <c r="F343" s="2" t="s">
        <v>28</v>
      </c>
      <c r="G343" s="2" t="s">
        <v>29</v>
      </c>
      <c r="H343" s="2">
        <v>20508847</v>
      </c>
      <c r="I343" s="2" t="s">
        <v>62</v>
      </c>
      <c r="J343" s="3">
        <v>43647</v>
      </c>
      <c r="K343" s="2" t="s">
        <v>31</v>
      </c>
      <c r="L343" s="2" t="s">
        <v>164</v>
      </c>
      <c r="M343" s="2" t="s">
        <v>165</v>
      </c>
      <c r="N343" s="2" t="s">
        <v>82</v>
      </c>
      <c r="O343" s="2" t="s">
        <v>1520</v>
      </c>
      <c r="P343" s="2" t="s">
        <v>66</v>
      </c>
      <c r="Q343" s="2" t="s">
        <v>1774</v>
      </c>
      <c r="R343" s="2">
        <v>15004</v>
      </c>
      <c r="S343" s="2" t="s">
        <v>37</v>
      </c>
      <c r="T343" s="2" t="s">
        <v>37</v>
      </c>
      <c r="U343" s="2" t="s">
        <v>57</v>
      </c>
      <c r="V343" s="3">
        <v>43647</v>
      </c>
      <c r="W343" s="2" t="s">
        <v>48</v>
      </c>
      <c r="X343" s="2" t="str">
        <f t="shared" si="20"/>
        <v>Calle Los Angeles, U.V. Unidad Vecinal Los Angeles Mz J Lote 18, Ate, Lima, Lima, Perú</v>
      </c>
      <c r="Y343" s="22">
        <v>-12.0150772</v>
      </c>
      <c r="Z343" s="22">
        <v>-76.874843600000005</v>
      </c>
      <c r="AA343" s="33">
        <f t="shared" si="21"/>
        <v>3.36</v>
      </c>
      <c r="AB343" s="2" t="str">
        <f t="shared" si="22"/>
        <v>🟢 Muy Cerca (0-5 km)</v>
      </c>
      <c r="AC343" s="2" t="str" cm="1">
        <f t="array" ref="AC343">INDEX(PARADEROS_VALIDOS!$C$2:$C$68,MATCH(MIN(6371*ACOS(COS(RADIANS(Y343))*COS(RADIANS(PARADEROS_VALIDOS!$E$2:$E$68))*COS(RADIANS(PARADEROS_VALIDOS!$F$2:$F$68)-RADIANS(Z343))+SIN(RADIANS(Y343))*SIN(RADIANS(PARADEROS_VALIDOS!$E$2:$E$68)))),6371*ACOS(COS(RADIANS(Y343))*COS(RADIANS(PARADEROS_VALIDOS!$E$2:$E$68))*COS(RADIANS(PARADEROS_VALIDOS!$F$2:$F$68)-RADIANS(Z343))+SIN(RADIANS(Y343))*SIN(RADIANS(PARADEROS_VALIDOS!$E$2:$E$68))),0))</f>
        <v>Paradero la Cruz</v>
      </c>
      <c r="AD343" s="2" t="str">
        <f>IFERROR(INDEX(PARADEROS_VALIDOS!$A$2:$A$68,MATCH(AC343,PARADEROS_VALIDOS!$C$2:$C$68,0)),"")</f>
        <v>RUTA 4B</v>
      </c>
      <c r="AE343" s="33" cm="1">
        <f t="array" ref="AE343">ROUND(MIN(6371*ACOS(COS(RADIANS(Y343))*COS(RADIANS(PARADEROS_VALIDOS!$E$2:$E$68))*COS(RADIANS(PARADEROS_VALIDOS!$F$2:$F$68)-RADIANS(Z343))+SIN(RADIANS(Y343))*SIN(RADIANS(PARADEROS_VALIDOS!$E$2:$E$68)))),2)</f>
        <v>1.1100000000000001</v>
      </c>
      <c r="AF343" s="2" t="str">
        <f t="shared" si="23"/>
        <v>🟡 Cerca (1-3 km)</v>
      </c>
      <c r="AG343" s="2"/>
      <c r="AH343" s="2"/>
      <c r="AI343" s="51">
        <v>-11.997563</v>
      </c>
      <c r="AJ343" s="51">
        <v>-76.900062000000005</v>
      </c>
      <c r="AK343" s="2" t="str">
        <f>IFERROR(VLOOKUP(I343,tdcargo[],2,FALSE),"DESCONOCIDO")</f>
        <v>OPERARIO</v>
      </c>
    </row>
    <row r="344" spans="1:37" x14ac:dyDescent="0.35">
      <c r="A344" s="2" t="s">
        <v>1775</v>
      </c>
      <c r="B344" s="2" t="s">
        <v>1776</v>
      </c>
      <c r="C344" s="2" t="s">
        <v>213</v>
      </c>
      <c r="D344" s="2" t="s">
        <v>1777</v>
      </c>
      <c r="E344" s="2">
        <v>25</v>
      </c>
      <c r="F344" s="2" t="s">
        <v>28</v>
      </c>
      <c r="G344" s="2" t="s">
        <v>29</v>
      </c>
      <c r="H344" s="2">
        <v>20510603</v>
      </c>
      <c r="I344" s="2" t="s">
        <v>62</v>
      </c>
      <c r="J344" s="3">
        <v>45061</v>
      </c>
      <c r="K344" s="2" t="s">
        <v>31</v>
      </c>
      <c r="L344" s="2" t="s">
        <v>164</v>
      </c>
      <c r="M344" s="2" t="s">
        <v>165</v>
      </c>
      <c r="N344" s="2" t="s">
        <v>82</v>
      </c>
      <c r="O344" s="2" t="s">
        <v>1778</v>
      </c>
      <c r="P344" s="2" t="s">
        <v>66</v>
      </c>
      <c r="Q344" s="2" t="s">
        <v>1779</v>
      </c>
      <c r="R344" s="2">
        <v>15457</v>
      </c>
      <c r="S344" s="2" t="s">
        <v>37</v>
      </c>
      <c r="T344" s="2" t="s">
        <v>37</v>
      </c>
      <c r="U344" s="2" t="s">
        <v>76</v>
      </c>
      <c r="V344" s="3">
        <v>45061</v>
      </c>
      <c r="W344" s="2" t="s">
        <v>48</v>
      </c>
      <c r="X344" s="2" t="str">
        <f t="shared" si="20"/>
        <v>Calle Los Incas, U.V. Unidad Vecinal Los Rosales De Basilio Auqui, Lurigancho, Lima, Lima, Perú</v>
      </c>
      <c r="Y344" s="22">
        <v>-11.9939175</v>
      </c>
      <c r="Z344" s="22">
        <v>-76.943948199999994</v>
      </c>
      <c r="AA344" s="33">
        <f t="shared" si="21"/>
        <v>4.79</v>
      </c>
      <c r="AB344" s="2" t="str">
        <f t="shared" si="22"/>
        <v>🟢 Muy Cerca (0-5 km)</v>
      </c>
      <c r="AC344" s="2" t="str" cm="1">
        <f t="array" ref="AC344">INDEX(PARADEROS_VALIDOS!$C$2:$C$68,MATCH(MIN(6371*ACOS(COS(RADIANS(Y344))*COS(RADIANS(PARADEROS_VALIDOS!$E$2:$E$68))*COS(RADIANS(PARADEROS_VALIDOS!$F$2:$F$68)-RADIANS(Z344))+SIN(RADIANS(Y344))*SIN(RADIANS(PARADEROS_VALIDOS!$E$2:$E$68)))),6371*ACOS(COS(RADIANS(Y344))*COS(RADIANS(PARADEROS_VALIDOS!$E$2:$E$68))*COS(RADIANS(PARADEROS_VALIDOS!$F$2:$F$68)-RADIANS(Z344))+SIN(RADIANS(Y344))*SIN(RADIANS(PARADEROS_VALIDOS!$E$2:$E$68))),0))</f>
        <v>Estadio Huachipa</v>
      </c>
      <c r="AD344" s="2" t="str">
        <f>IFERROR(INDEX(PARADEROS_VALIDOS!$A$2:$A$68,MATCH(AC344,PARADEROS_VALIDOS!$C$2:$C$68,0)),"")</f>
        <v>RUTA 5C</v>
      </c>
      <c r="AE344" s="33" cm="1">
        <f t="array" ref="AE344">ROUND(MIN(6371*ACOS(COS(RADIANS(Y344))*COS(RADIANS(PARADEROS_VALIDOS!$E$2:$E$68))*COS(RADIANS(PARADEROS_VALIDOS!$F$2:$F$68)-RADIANS(Z344))+SIN(RADIANS(Y344))*SIN(RADIANS(PARADEROS_VALIDOS!$E$2:$E$68)))),2)</f>
        <v>3.75</v>
      </c>
      <c r="AF344" s="2" t="str">
        <f t="shared" si="23"/>
        <v>🟠 Moderada (3-5 km)</v>
      </c>
      <c r="AG344" s="2"/>
      <c r="AH344" s="2"/>
      <c r="AI344" s="51">
        <v>-11.997563</v>
      </c>
      <c r="AJ344" s="51">
        <v>-76.900062000000005</v>
      </c>
      <c r="AK344" s="2" t="str">
        <f>IFERROR(VLOOKUP(I344,tdcargo[],2,FALSE),"DESCONOCIDO")</f>
        <v>OPERARIO</v>
      </c>
    </row>
    <row r="345" spans="1:37" x14ac:dyDescent="0.35">
      <c r="A345" s="2" t="s">
        <v>1780</v>
      </c>
      <c r="B345" s="2" t="s">
        <v>1781</v>
      </c>
      <c r="C345" s="2" t="s">
        <v>1782</v>
      </c>
      <c r="D345" s="2" t="s">
        <v>720</v>
      </c>
      <c r="E345" s="2">
        <v>39</v>
      </c>
      <c r="F345" s="2" t="s">
        <v>28</v>
      </c>
      <c r="G345" s="2" t="s">
        <v>29</v>
      </c>
      <c r="H345" s="2">
        <v>20508835</v>
      </c>
      <c r="I345" s="2" t="s">
        <v>30</v>
      </c>
      <c r="J345" s="3">
        <v>45719</v>
      </c>
      <c r="K345" s="2" t="s">
        <v>31</v>
      </c>
      <c r="L345" s="2" t="s">
        <v>108</v>
      </c>
      <c r="M345" s="2" t="s">
        <v>109</v>
      </c>
      <c r="N345" s="2" t="s">
        <v>793</v>
      </c>
      <c r="O345" s="2" t="s">
        <v>1783</v>
      </c>
      <c r="P345" s="2" t="s">
        <v>36</v>
      </c>
      <c r="Q345" s="2" t="s">
        <v>195</v>
      </c>
      <c r="R345" s="2">
        <v>15510</v>
      </c>
      <c r="S345" s="2" t="s">
        <v>37</v>
      </c>
      <c r="T345" s="2" t="s">
        <v>195</v>
      </c>
      <c r="U345" s="2" t="s">
        <v>196</v>
      </c>
      <c r="V345" s="3">
        <v>45719</v>
      </c>
      <c r="W345" s="2" t="s">
        <v>77</v>
      </c>
      <c r="X345" s="2" t="str">
        <f t="shared" si="20"/>
        <v>Carretera Asc De Pobladores Huarochiri Mzh Lt1 Huarochiri, San Antonio, Huarochiri, Lima, Perú</v>
      </c>
      <c r="Y345" s="22">
        <v>-11.919997800000001</v>
      </c>
      <c r="Z345" s="22">
        <v>-76.951703300000005</v>
      </c>
      <c r="AA345" s="33">
        <f t="shared" si="21"/>
        <v>10.29</v>
      </c>
      <c r="AB345" s="2" t="str">
        <f t="shared" si="22"/>
        <v>🟠 Moderada (10-20 km)</v>
      </c>
      <c r="AC345" s="2" t="str" cm="1">
        <f t="array" ref="AC345">INDEX(PARADEROS_VALIDOS!$C$2:$C$68,MATCH(MIN(6371*ACOS(COS(RADIANS(Y345))*COS(RADIANS(PARADEROS_VALIDOS!$E$2:$E$68))*COS(RADIANS(PARADEROS_VALIDOS!$F$2:$F$68)-RADIANS(Z345))+SIN(RADIANS(Y345))*SIN(RADIANS(PARADEROS_VALIDOS!$E$2:$E$68)))),6371*ACOS(COS(RADIANS(Y345))*COS(RADIANS(PARADEROS_VALIDOS!$E$2:$E$68))*COS(RADIANS(PARADEROS_VALIDOS!$F$2:$F$68)-RADIANS(Z345))+SIN(RADIANS(Y345))*SIN(RADIANS(PARADEROS_VALIDOS!$E$2:$E$68))),0))</f>
        <v>Paradero San Martin</v>
      </c>
      <c r="AD345" s="2" t="str">
        <f>IFERROR(INDEX(PARADEROS_VALIDOS!$A$2:$A$68,MATCH(AC345,PARADEROS_VALIDOS!$C$2:$C$68,0)),"")</f>
        <v>RUTA 6A</v>
      </c>
      <c r="AE345" s="33" cm="1">
        <f t="array" ref="AE345">ROUND(MIN(6371*ACOS(COS(RADIANS(Y345))*COS(RADIANS(PARADEROS_VALIDOS!$E$2:$E$68))*COS(RADIANS(PARADEROS_VALIDOS!$F$2:$F$68)-RADIANS(Z345))+SIN(RADIANS(Y345))*SIN(RADIANS(PARADEROS_VALIDOS!$E$2:$E$68)))),2)</f>
        <v>8.07</v>
      </c>
      <c r="AF345" s="2" t="str">
        <f t="shared" si="23"/>
        <v>🔴 Lejos (&gt;5 km)</v>
      </c>
      <c r="AG345" s="2"/>
      <c r="AH345" s="2"/>
      <c r="AI345" s="51">
        <v>-11.997563</v>
      </c>
      <c r="AJ345" s="51">
        <v>-76.900062000000005</v>
      </c>
      <c r="AK345" s="2" t="str">
        <f>IFERROR(VLOOKUP(I345,tdcargo[],2,FALSE),"DESCONOCIDO")</f>
        <v>OPERARIO</v>
      </c>
    </row>
    <row r="346" spans="1:37" x14ac:dyDescent="0.35">
      <c r="A346" s="2" t="s">
        <v>1784</v>
      </c>
      <c r="B346" s="2" t="s">
        <v>1785</v>
      </c>
      <c r="C346" s="2" t="s">
        <v>1074</v>
      </c>
      <c r="D346" s="2" t="s">
        <v>1786</v>
      </c>
      <c r="E346" s="2">
        <v>32</v>
      </c>
      <c r="F346" s="2" t="s">
        <v>28</v>
      </c>
      <c r="G346" s="2" t="s">
        <v>29</v>
      </c>
      <c r="H346" s="2">
        <v>20515637</v>
      </c>
      <c r="I346" s="2" t="s">
        <v>44</v>
      </c>
      <c r="J346" s="3">
        <v>43122</v>
      </c>
      <c r="K346" s="2" t="s">
        <v>31</v>
      </c>
      <c r="L346" s="2" t="s">
        <v>32</v>
      </c>
      <c r="M346" s="2" t="s">
        <v>33</v>
      </c>
      <c r="N346" s="2" t="s">
        <v>34</v>
      </c>
      <c r="O346" s="2" t="s">
        <v>1787</v>
      </c>
      <c r="P346" s="2" t="s">
        <v>36</v>
      </c>
      <c r="Q346" s="2" t="s">
        <v>1788</v>
      </c>
      <c r="R346" s="2">
        <v>15004</v>
      </c>
      <c r="S346" s="2" t="s">
        <v>37</v>
      </c>
      <c r="T346" s="2" t="s">
        <v>37</v>
      </c>
      <c r="U346" s="2" t="s">
        <v>57</v>
      </c>
      <c r="V346" s="3">
        <v>43122</v>
      </c>
      <c r="W346" s="2" t="s">
        <v>48</v>
      </c>
      <c r="X346" s="2" t="str">
        <f t="shared" si="20"/>
        <v>Avenida Nicolas De Ayllon Av Las Torres, Ate, Lima, Lima, Perú</v>
      </c>
      <c r="Y346" s="22">
        <v>-12.064135800000001</v>
      </c>
      <c r="Z346" s="22">
        <v>-76.987255599999997</v>
      </c>
      <c r="AA346" s="33">
        <f t="shared" si="21"/>
        <v>12.03</v>
      </c>
      <c r="AB346" s="2" t="str">
        <f t="shared" si="22"/>
        <v>🟠 Moderada (10-20 km)</v>
      </c>
      <c r="AC346" s="2" t="str" cm="1">
        <f t="array" ref="AC346">INDEX(PARADEROS_VALIDOS!$C$2:$C$68,MATCH(MIN(6371*ACOS(COS(RADIANS(Y346))*COS(RADIANS(PARADEROS_VALIDOS!$E$2:$E$68))*COS(RADIANS(PARADEROS_VALIDOS!$F$2:$F$68)-RADIANS(Z346))+SIN(RADIANS(Y346))*SIN(RADIANS(PARADEROS_VALIDOS!$E$2:$E$68)))),6371*ACOS(COS(RADIANS(Y346))*COS(RADIANS(PARADEROS_VALIDOS!$E$2:$E$68))*COS(RADIANS(PARADEROS_VALIDOS!$F$2:$F$68)-RADIANS(Z346))+SIN(RADIANS(Y346))*SIN(RADIANS(PARADEROS_VALIDOS!$E$2:$E$68))),0))</f>
        <v>Puente Santa Anita</v>
      </c>
      <c r="AD346" s="2" t="str">
        <f>IFERROR(INDEX(PARADEROS_VALIDOS!$A$2:$A$68,MATCH(AC346,PARADEROS_VALIDOS!$C$2:$C$68,0)),"")</f>
        <v>RUTA 7</v>
      </c>
      <c r="AE346" s="33" cm="1">
        <f t="array" ref="AE346">ROUND(MIN(6371*ACOS(COS(RADIANS(Y346))*COS(RADIANS(PARADEROS_VALIDOS!$E$2:$E$68))*COS(RADIANS(PARADEROS_VALIDOS!$F$2:$F$68)-RADIANS(Z346))+SIN(RADIANS(Y346))*SIN(RADIANS(PARADEROS_VALIDOS!$E$2:$E$68)))),2)</f>
        <v>1.63</v>
      </c>
      <c r="AF346" s="2" t="str">
        <f t="shared" si="23"/>
        <v>🟡 Cerca (1-3 km)</v>
      </c>
      <c r="AG346" s="2"/>
      <c r="AH346" s="2"/>
      <c r="AI346" s="51">
        <v>-11.997563</v>
      </c>
      <c r="AJ346" s="51">
        <v>-76.900062000000005</v>
      </c>
      <c r="AK346" s="2" t="str">
        <f>IFERROR(VLOOKUP(I346,tdcargo[],2,FALSE),"DESCONOCIDO")</f>
        <v>OPERARIO</v>
      </c>
    </row>
    <row r="347" spans="1:37" x14ac:dyDescent="0.35">
      <c r="A347" s="2" t="s">
        <v>1789</v>
      </c>
      <c r="B347" s="2" t="s">
        <v>1790</v>
      </c>
      <c r="C347" s="2" t="s">
        <v>206</v>
      </c>
      <c r="D347" s="2" t="s">
        <v>363</v>
      </c>
      <c r="E347" s="2">
        <v>23</v>
      </c>
      <c r="F347" s="2" t="s">
        <v>28</v>
      </c>
      <c r="G347" s="2" t="s">
        <v>29</v>
      </c>
      <c r="H347" s="2">
        <v>20513831</v>
      </c>
      <c r="I347" s="2" t="s">
        <v>30</v>
      </c>
      <c r="J347" s="3">
        <v>46055</v>
      </c>
      <c r="K347" s="2" t="s">
        <v>31</v>
      </c>
      <c r="L347" s="2" t="s">
        <v>32</v>
      </c>
      <c r="M347" s="2" t="s">
        <v>33</v>
      </c>
      <c r="N347" s="2" t="s">
        <v>36</v>
      </c>
      <c r="O347" s="2" t="s">
        <v>1791</v>
      </c>
      <c r="P347" s="2" t="s">
        <v>609</v>
      </c>
      <c r="Q347" s="2" t="s">
        <v>1352</v>
      </c>
      <c r="R347" s="2">
        <v>15457</v>
      </c>
      <c r="S347" s="2" t="s">
        <v>37</v>
      </c>
      <c r="T347" s="2" t="s">
        <v>37</v>
      </c>
      <c r="U347" s="2" t="s">
        <v>76</v>
      </c>
      <c r="V347" s="3">
        <v>46055</v>
      </c>
      <c r="W347" s="2" t="s">
        <v>135</v>
      </c>
      <c r="X347" s="2" t="str">
        <f t="shared" si="20"/>
        <v>Luis Pardo, P.J. Pueblo Joven JICAMARCA ANEXO 8, Lurigancho, Lima, Lima, Perú</v>
      </c>
      <c r="Y347" s="22">
        <v>-11.9749984</v>
      </c>
      <c r="Z347" s="22">
        <v>-76.940183000000005</v>
      </c>
      <c r="AA347" s="33">
        <f t="shared" si="21"/>
        <v>5.03</v>
      </c>
      <c r="AB347" s="2" t="str">
        <f t="shared" si="22"/>
        <v>🟡 Cerca (5-10 km)</v>
      </c>
      <c r="AC347" s="2" t="str" cm="1">
        <f t="array" ref="AC347">INDEX(PARADEROS_VALIDOS!$C$2:$C$68,MATCH(MIN(6371*ACOS(COS(RADIANS(Y347))*COS(RADIANS(PARADEROS_VALIDOS!$E$2:$E$68))*COS(RADIANS(PARADEROS_VALIDOS!$F$2:$F$68)-RADIANS(Z347))+SIN(RADIANS(Y347))*SIN(RADIANS(PARADEROS_VALIDOS!$E$2:$E$68)))),6371*ACOS(COS(RADIANS(Y347))*COS(RADIANS(PARADEROS_VALIDOS!$E$2:$E$68))*COS(RADIANS(PARADEROS_VALIDOS!$F$2:$F$68)-RADIANS(Z347))+SIN(RADIANS(Y347))*SIN(RADIANS(PARADEROS_VALIDOS!$E$2:$E$68))),0))</f>
        <v>Paradero Arco San Antonio</v>
      </c>
      <c r="AD347" s="2" t="str">
        <f>IFERROR(INDEX(PARADEROS_VALIDOS!$A$2:$A$68,MATCH(AC347,PARADEROS_VALIDOS!$C$2:$C$68,0)),"")</f>
        <v>RUTA 2</v>
      </c>
      <c r="AE347" s="33" cm="1">
        <f t="array" ref="AE347">ROUND(MIN(6371*ACOS(COS(RADIANS(Y347))*COS(RADIANS(PARADEROS_VALIDOS!$E$2:$E$68))*COS(RADIANS(PARADEROS_VALIDOS!$F$2:$F$68)-RADIANS(Z347))+SIN(RADIANS(Y347))*SIN(RADIANS(PARADEROS_VALIDOS!$E$2:$E$68)))),2)</f>
        <v>4.53</v>
      </c>
      <c r="AF347" s="2" t="str">
        <f t="shared" si="23"/>
        <v>🟠 Moderada (3-5 km)</v>
      </c>
      <c r="AG347" s="2"/>
      <c r="AH347" s="2"/>
      <c r="AI347" s="51">
        <v>-11.997563</v>
      </c>
      <c r="AJ347" s="51">
        <v>-76.900062000000005</v>
      </c>
      <c r="AK347" s="2" t="str">
        <f>IFERROR(VLOOKUP(I347,tdcargo[],2,FALSE),"DESCONOCIDO")</f>
        <v>OPERARIO</v>
      </c>
    </row>
    <row r="348" spans="1:37" x14ac:dyDescent="0.35">
      <c r="A348" s="2" t="s">
        <v>1792</v>
      </c>
      <c r="B348" s="2" t="s">
        <v>1793</v>
      </c>
      <c r="C348" s="2" t="s">
        <v>1794</v>
      </c>
      <c r="D348" s="2" t="s">
        <v>1795</v>
      </c>
      <c r="E348" s="2">
        <v>19</v>
      </c>
      <c r="F348" s="2" t="s">
        <v>28</v>
      </c>
      <c r="G348" s="2" t="s">
        <v>29</v>
      </c>
      <c r="H348" s="2">
        <v>20508978</v>
      </c>
      <c r="I348" s="2" t="s">
        <v>30</v>
      </c>
      <c r="J348" s="3">
        <v>46055</v>
      </c>
      <c r="K348" s="2" t="s">
        <v>31</v>
      </c>
      <c r="L348" s="2" t="s">
        <v>132</v>
      </c>
      <c r="M348" s="2" t="s">
        <v>133</v>
      </c>
      <c r="N348" s="2" t="s">
        <v>82</v>
      </c>
      <c r="O348" s="2" t="s">
        <v>1796</v>
      </c>
      <c r="P348" s="2" t="s">
        <v>186</v>
      </c>
      <c r="Q348" s="2" t="s">
        <v>1797</v>
      </c>
      <c r="R348" s="2">
        <v>15457</v>
      </c>
      <c r="S348" s="2" t="s">
        <v>37</v>
      </c>
      <c r="T348" s="2" t="s">
        <v>37</v>
      </c>
      <c r="U348" s="2" t="s">
        <v>76</v>
      </c>
      <c r="V348" s="3">
        <v>46055</v>
      </c>
      <c r="W348" s="2" t="s">
        <v>135</v>
      </c>
      <c r="X348" s="2" t="str">
        <f t="shared" si="20"/>
        <v>Calle Calle 9, Urb. Urbanización MIRASOL DE HUANPANI, Lurigancho, Lima, Lima, Perú</v>
      </c>
      <c r="Y348" s="22">
        <v>-11.973605299999999</v>
      </c>
      <c r="Z348" s="22">
        <v>-76.8083788</v>
      </c>
      <c r="AA348" s="33">
        <f t="shared" si="21"/>
        <v>10.32</v>
      </c>
      <c r="AB348" s="2" t="str">
        <f t="shared" si="22"/>
        <v>🟠 Moderada (10-20 km)</v>
      </c>
      <c r="AC348" s="2" t="str" cm="1">
        <f t="array" ref="AC348">INDEX(PARADEROS_VALIDOS!$C$2:$C$68,MATCH(MIN(6371*ACOS(COS(RADIANS(Y348))*COS(RADIANS(PARADEROS_VALIDOS!$E$2:$E$68))*COS(RADIANS(PARADEROS_VALIDOS!$F$2:$F$68)-RADIANS(Z348))+SIN(RADIANS(Y348))*SIN(RADIANS(PARADEROS_VALIDOS!$E$2:$E$68)))),6371*ACOS(COS(RADIANS(Y348))*COS(RADIANS(PARADEROS_VALIDOS!$E$2:$E$68))*COS(RADIANS(PARADEROS_VALIDOS!$F$2:$F$68)-RADIANS(Z348))+SIN(RADIANS(Y348))*SIN(RADIANS(PARADEROS_VALIDOS!$E$2:$E$68))),0))</f>
        <v>Entrada Ñaña</v>
      </c>
      <c r="AD348" s="2" t="str">
        <f>IFERROR(INDEX(PARADEROS_VALIDOS!$A$2:$A$68,MATCH(AC348,PARADEROS_VALIDOS!$C$2:$C$68,0)),"")</f>
        <v>RUTA 5A</v>
      </c>
      <c r="AE348" s="33" cm="1">
        <f t="array" ref="AE348">ROUND(MIN(6371*ACOS(COS(RADIANS(Y348))*COS(RADIANS(PARADEROS_VALIDOS!$E$2:$E$68))*COS(RADIANS(PARADEROS_VALIDOS!$F$2:$F$68)-RADIANS(Z348))+SIN(RADIANS(Y348))*SIN(RADIANS(PARADEROS_VALIDOS!$E$2:$E$68)))),2)</f>
        <v>2.0499999999999998</v>
      </c>
      <c r="AF348" s="2" t="str">
        <f t="shared" si="23"/>
        <v>🟡 Cerca (1-3 km)</v>
      </c>
      <c r="AG348" s="2"/>
      <c r="AH348" s="2"/>
      <c r="AI348" s="51">
        <v>-11.997563</v>
      </c>
      <c r="AJ348" s="51">
        <v>-76.900062000000005</v>
      </c>
      <c r="AK348" s="2" t="str">
        <f>IFERROR(VLOOKUP(I348,tdcargo[],2,FALSE),"DESCONOCIDO")</f>
        <v>OPERARIO</v>
      </c>
    </row>
    <row r="349" spans="1:37" x14ac:dyDescent="0.35">
      <c r="A349" s="2" t="s">
        <v>1798</v>
      </c>
      <c r="B349" s="2" t="s">
        <v>1799</v>
      </c>
      <c r="C349" s="2" t="s">
        <v>1800</v>
      </c>
      <c r="D349" s="2" t="s">
        <v>1801</v>
      </c>
      <c r="E349" s="2">
        <v>22</v>
      </c>
      <c r="F349" s="2" t="s">
        <v>28</v>
      </c>
      <c r="G349" s="2" t="s">
        <v>29</v>
      </c>
      <c r="H349" s="2">
        <v>20512330</v>
      </c>
      <c r="I349" s="2" t="s">
        <v>30</v>
      </c>
      <c r="J349" s="3">
        <v>45839</v>
      </c>
      <c r="K349" s="2" t="s">
        <v>31</v>
      </c>
      <c r="L349" s="2" t="s">
        <v>108</v>
      </c>
      <c r="M349" s="2" t="s">
        <v>109</v>
      </c>
      <c r="N349" s="2" t="s">
        <v>36</v>
      </c>
      <c r="O349" s="2" t="s">
        <v>1802</v>
      </c>
      <c r="P349" s="2" t="s">
        <v>186</v>
      </c>
      <c r="Q349" s="2" t="s">
        <v>1803</v>
      </c>
      <c r="R349" s="2">
        <v>15457</v>
      </c>
      <c r="S349" s="2" t="s">
        <v>37</v>
      </c>
      <c r="T349" s="2" t="s">
        <v>37</v>
      </c>
      <c r="U349" s="2" t="s">
        <v>76</v>
      </c>
      <c r="V349" s="3">
        <v>45839</v>
      </c>
      <c r="W349" s="2" t="s">
        <v>39</v>
      </c>
      <c r="X349" s="2" t="str">
        <f t="shared" si="20"/>
        <v>Sol De Chambala, Cajamarquilla, Urb. Urbanización Chambala, Lurigancho, Lima, Lima, Perú</v>
      </c>
      <c r="Y349" s="22">
        <v>-11.998999700000001</v>
      </c>
      <c r="Z349" s="22">
        <v>-76.907456499999995</v>
      </c>
      <c r="AA349" s="33">
        <f t="shared" si="21"/>
        <v>0.82</v>
      </c>
      <c r="AB349" s="2" t="str">
        <f t="shared" si="22"/>
        <v>🟢 Muy Cerca (0-5 km)</v>
      </c>
      <c r="AC349" s="2" t="str" cm="1">
        <f t="array" ref="AC349">INDEX(PARADEROS_VALIDOS!$C$2:$C$68,MATCH(MIN(6371*ACOS(COS(RADIANS(Y349))*COS(RADIANS(PARADEROS_VALIDOS!$E$2:$E$68))*COS(RADIANS(PARADEROS_VALIDOS!$F$2:$F$68)-RADIANS(Z349))+SIN(RADIANS(Y349))*SIN(RADIANS(PARADEROS_VALIDOS!$E$2:$E$68)))),6371*ACOS(COS(RADIANS(Y349))*COS(RADIANS(PARADEROS_VALIDOS!$E$2:$E$68))*COS(RADIANS(PARADEROS_VALIDOS!$F$2:$F$68)-RADIANS(Z349))+SIN(RADIANS(Y349))*SIN(RADIANS(PARADEROS_VALIDOS!$E$2:$E$68))),0))</f>
        <v>Paradero Arco San Antonio</v>
      </c>
      <c r="AD349" s="2" t="str">
        <f>IFERROR(INDEX(PARADEROS_VALIDOS!$A$2:$A$68,MATCH(AC349,PARADEROS_VALIDOS!$C$2:$C$68,0)),"")</f>
        <v>RUTA 2</v>
      </c>
      <c r="AE349" s="33" cm="1">
        <f t="array" ref="AE349">ROUND(MIN(6371*ACOS(COS(RADIANS(Y349))*COS(RADIANS(PARADEROS_VALIDOS!$E$2:$E$68))*COS(RADIANS(PARADEROS_VALIDOS!$F$2:$F$68)-RADIANS(Z349))+SIN(RADIANS(Y349))*SIN(RADIANS(PARADEROS_VALIDOS!$E$2:$E$68)))),2)</f>
        <v>0.77</v>
      </c>
      <c r="AF349" s="2" t="str">
        <f t="shared" si="23"/>
        <v>🟢 Muy Cerca (0-1 km)</v>
      </c>
      <c r="AG349" s="2"/>
      <c r="AH349" s="2"/>
      <c r="AI349" s="51">
        <v>-11.997563</v>
      </c>
      <c r="AJ349" s="51">
        <v>-76.900062000000005</v>
      </c>
      <c r="AK349" s="2" t="str">
        <f>IFERROR(VLOOKUP(I349,tdcargo[],2,FALSE),"DESCONOCIDO")</f>
        <v>OPERARIO</v>
      </c>
    </row>
    <row r="350" spans="1:37" x14ac:dyDescent="0.35">
      <c r="A350" s="2" t="s">
        <v>1804</v>
      </c>
      <c r="B350" s="2" t="s">
        <v>1805</v>
      </c>
      <c r="C350" s="2" t="s">
        <v>1806</v>
      </c>
      <c r="D350" s="2" t="s">
        <v>1807</v>
      </c>
      <c r="E350" s="2">
        <v>30</v>
      </c>
      <c r="F350" s="2" t="s">
        <v>28</v>
      </c>
      <c r="G350" s="2" t="s">
        <v>29</v>
      </c>
      <c r="H350" s="2">
        <v>20508904</v>
      </c>
      <c r="I350" s="2" t="s">
        <v>30</v>
      </c>
      <c r="J350" s="3">
        <v>45607</v>
      </c>
      <c r="K350" s="2" t="s">
        <v>31</v>
      </c>
      <c r="L350" s="2" t="s">
        <v>132</v>
      </c>
      <c r="M350" s="2" t="s">
        <v>133</v>
      </c>
      <c r="N350" s="2" t="s">
        <v>34</v>
      </c>
      <c r="O350" s="2" t="s">
        <v>1741</v>
      </c>
      <c r="P350" s="2" t="s">
        <v>36</v>
      </c>
      <c r="Q350" s="2" t="s">
        <v>658</v>
      </c>
      <c r="R350" s="2">
        <v>15001</v>
      </c>
      <c r="S350" s="2" t="s">
        <v>37</v>
      </c>
      <c r="T350" s="2" t="s">
        <v>37</v>
      </c>
      <c r="U350" s="2" t="s">
        <v>37</v>
      </c>
      <c r="V350" s="3">
        <v>45607</v>
      </c>
      <c r="W350" s="2" t="s">
        <v>48</v>
      </c>
      <c r="X350" s="2" t="str">
        <f t="shared" si="20"/>
        <v>Avenida Union Jose Carlos Mariategui, Lima, Lima, Lima, Perú</v>
      </c>
      <c r="Y350" s="22">
        <v>-12.1766988</v>
      </c>
      <c r="Z350" s="22">
        <v>-76.9488889</v>
      </c>
      <c r="AA350" s="33">
        <f t="shared" si="21"/>
        <v>20.61</v>
      </c>
      <c r="AB350" s="2" t="str">
        <f t="shared" si="22"/>
        <v>🔴 Lejos (&gt;20 km)</v>
      </c>
      <c r="AC350" s="2" t="str" cm="1">
        <f t="array" ref="AC350">INDEX(PARADEROS_VALIDOS!$C$2:$C$68,MATCH(MIN(6371*ACOS(COS(RADIANS(Y350))*COS(RADIANS(PARADEROS_VALIDOS!$E$2:$E$68))*COS(RADIANS(PARADEROS_VALIDOS!$F$2:$F$68)-RADIANS(Z350))+SIN(RADIANS(Y350))*SIN(RADIANS(PARADEROS_VALIDOS!$E$2:$E$68)))),6371*ACOS(COS(RADIANS(Y350))*COS(RADIANS(PARADEROS_VALIDOS!$E$2:$E$68))*COS(RADIANS(PARADEROS_VALIDOS!$F$2:$F$68)-RADIANS(Z350))+SIN(RADIANS(Y350))*SIN(RADIANS(PARADEROS_VALIDOS!$E$2:$E$68))),0))</f>
        <v>Villa El Salvador (Cruce Av. 1ro de Mayo con ruta C)</v>
      </c>
      <c r="AD350" s="2" t="str">
        <f>IFERROR(INDEX(PARADEROS_VALIDOS!$A$2:$A$68,MATCH(AC350,PARADEROS_VALIDOS!$C$2:$C$68,0)),"")</f>
        <v>RUTA 7</v>
      </c>
      <c r="AE350" s="33" cm="1">
        <f t="array" ref="AE350">ROUND(MIN(6371*ACOS(COS(RADIANS(Y350))*COS(RADIANS(PARADEROS_VALIDOS!$E$2:$E$68))*COS(RADIANS(PARADEROS_VALIDOS!$F$2:$F$68)-RADIANS(Z350))+SIN(RADIANS(Y350))*SIN(RADIANS(PARADEROS_VALIDOS!$E$2:$E$68)))),2)</f>
        <v>2.57</v>
      </c>
      <c r="AF350" s="2" t="str">
        <f t="shared" si="23"/>
        <v>🟡 Cerca (1-3 km)</v>
      </c>
      <c r="AG350" s="2"/>
      <c r="AH350" s="2"/>
      <c r="AI350" s="51">
        <v>-11.997563</v>
      </c>
      <c r="AJ350" s="51">
        <v>-76.900062000000005</v>
      </c>
      <c r="AK350" s="2" t="str">
        <f>IFERROR(VLOOKUP(I350,tdcargo[],2,FALSE),"DESCONOCIDO")</f>
        <v>OPERARIO</v>
      </c>
    </row>
    <row r="351" spans="1:37" x14ac:dyDescent="0.35">
      <c r="A351" s="2" t="s">
        <v>1808</v>
      </c>
      <c r="B351" s="2" t="s">
        <v>1809</v>
      </c>
      <c r="C351" s="2" t="s">
        <v>1618</v>
      </c>
      <c r="D351" s="2" t="s">
        <v>1810</v>
      </c>
      <c r="E351" s="2">
        <v>23</v>
      </c>
      <c r="F351" s="2" t="s">
        <v>28</v>
      </c>
      <c r="G351" s="2" t="s">
        <v>29</v>
      </c>
      <c r="H351" s="2">
        <v>20508966</v>
      </c>
      <c r="I351" s="2" t="s">
        <v>30</v>
      </c>
      <c r="J351" s="3">
        <v>45362</v>
      </c>
      <c r="K351" s="2" t="s">
        <v>31</v>
      </c>
      <c r="L351" s="2" t="s">
        <v>132</v>
      </c>
      <c r="M351" s="2" t="s">
        <v>133</v>
      </c>
      <c r="N351" s="2" t="s">
        <v>34</v>
      </c>
      <c r="O351" s="2" t="s">
        <v>722</v>
      </c>
      <c r="P351" s="2" t="s">
        <v>36</v>
      </c>
      <c r="Q351" s="2" t="s">
        <v>74</v>
      </c>
      <c r="R351" s="2">
        <v>15457</v>
      </c>
      <c r="S351" s="2" t="s">
        <v>37</v>
      </c>
      <c r="T351" s="2" t="s">
        <v>37</v>
      </c>
      <c r="U351" s="2" t="s">
        <v>76</v>
      </c>
      <c r="V351" s="3">
        <v>45362</v>
      </c>
      <c r="W351" s="2" t="s">
        <v>48</v>
      </c>
      <c r="X351" s="2" t="str">
        <f t="shared" si="20"/>
        <v>Avenida Casa Huerta La Campiã‘A La Campiã‘A, Lurigancho, Lima, Lima, Perú</v>
      </c>
      <c r="Y351" s="22">
        <v>-12.009696699999999</v>
      </c>
      <c r="Z351" s="22">
        <v>-76.905361299999996</v>
      </c>
      <c r="AA351" s="33">
        <f t="shared" si="21"/>
        <v>1.47</v>
      </c>
      <c r="AB351" s="2" t="str">
        <f t="shared" si="22"/>
        <v>🟢 Muy Cerca (0-5 km)</v>
      </c>
      <c r="AC351" s="2" t="str" cm="1">
        <f t="array" ref="AC351">INDEX(PARADEROS_VALIDOS!$C$2:$C$68,MATCH(MIN(6371*ACOS(COS(RADIANS(Y351))*COS(RADIANS(PARADEROS_VALIDOS!$E$2:$E$68))*COS(RADIANS(PARADEROS_VALIDOS!$F$2:$F$68)-RADIANS(Z351))+SIN(RADIANS(Y351))*SIN(RADIANS(PARADEROS_VALIDOS!$E$2:$E$68)))),6371*ACOS(COS(RADIANS(Y351))*COS(RADIANS(PARADEROS_VALIDOS!$E$2:$E$68))*COS(RADIANS(PARADEROS_VALIDOS!$F$2:$F$68)-RADIANS(Z351))+SIN(RADIANS(Y351))*SIN(RADIANS(PARADEROS_VALIDOS!$E$2:$E$68))),0))</f>
        <v>Tottus Huachipa</v>
      </c>
      <c r="AD351" s="2" t="str">
        <f>IFERROR(INDEX(PARADEROS_VALIDOS!$A$2:$A$68,MATCH(AC351,PARADEROS_VALIDOS!$C$2:$C$68,0)),"")</f>
        <v>RUTA 1</v>
      </c>
      <c r="AE351" s="33" cm="1">
        <f t="array" ref="AE351">ROUND(MIN(6371*ACOS(COS(RADIANS(Y351))*COS(RADIANS(PARADEROS_VALIDOS!$E$2:$E$68))*COS(RADIANS(PARADEROS_VALIDOS!$F$2:$F$68)-RADIANS(Z351))+SIN(RADIANS(Y351))*SIN(RADIANS(PARADEROS_VALIDOS!$E$2:$E$68)))),2)</f>
        <v>1.18</v>
      </c>
      <c r="AF351" s="2" t="str">
        <f t="shared" si="23"/>
        <v>🟡 Cerca (1-3 km)</v>
      </c>
      <c r="AG351" s="2"/>
      <c r="AH351" s="2"/>
      <c r="AI351" s="51">
        <v>-11.997563</v>
      </c>
      <c r="AJ351" s="51">
        <v>-76.900062000000005</v>
      </c>
      <c r="AK351" s="2" t="str">
        <f>IFERROR(VLOOKUP(I351,tdcargo[],2,FALSE),"DESCONOCIDO")</f>
        <v>OPERARIO</v>
      </c>
    </row>
    <row r="352" spans="1:37" x14ac:dyDescent="0.35">
      <c r="A352" s="2" t="s">
        <v>1811</v>
      </c>
      <c r="B352" s="2" t="s">
        <v>1812</v>
      </c>
      <c r="C352" s="2" t="s">
        <v>224</v>
      </c>
      <c r="D352" s="2" t="s">
        <v>1813</v>
      </c>
      <c r="E352" s="2">
        <v>37</v>
      </c>
      <c r="F352" s="2" t="s">
        <v>28</v>
      </c>
      <c r="G352" s="2" t="s">
        <v>29</v>
      </c>
      <c r="H352" s="2">
        <v>20510611</v>
      </c>
      <c r="I352" s="2" t="s">
        <v>30</v>
      </c>
      <c r="J352" s="3">
        <v>45614</v>
      </c>
      <c r="K352" s="2" t="s">
        <v>31</v>
      </c>
      <c r="L352" s="2" t="s">
        <v>132</v>
      </c>
      <c r="M352" s="2" t="s">
        <v>133</v>
      </c>
      <c r="N352" s="2" t="s">
        <v>148</v>
      </c>
      <c r="O352" s="2" t="s">
        <v>1012</v>
      </c>
      <c r="P352" s="2" t="s">
        <v>36</v>
      </c>
      <c r="Q352" s="2" t="s">
        <v>423</v>
      </c>
      <c r="R352" s="2">
        <v>15822</v>
      </c>
      <c r="S352" s="2" t="s">
        <v>37</v>
      </c>
      <c r="T352" s="2" t="s">
        <v>37</v>
      </c>
      <c r="U352" s="2" t="s">
        <v>1814</v>
      </c>
      <c r="V352" s="3">
        <v>45614</v>
      </c>
      <c r="W352" s="2" t="s">
        <v>48</v>
      </c>
      <c r="X352" s="2" t="str">
        <f t="shared" si="20"/>
        <v>Pasaje Basilio Auqui Basilio, Lurin, Lima, Lima, Perú</v>
      </c>
      <c r="Y352" s="22">
        <v>-12.166975000000001</v>
      </c>
      <c r="Z352" s="22">
        <v>-76.940162999999998</v>
      </c>
      <c r="AA352" s="33">
        <f t="shared" si="21"/>
        <v>19.34</v>
      </c>
      <c r="AB352" s="2" t="str">
        <f t="shared" si="22"/>
        <v>🟠 Moderada (10-20 km)</v>
      </c>
      <c r="AC352" s="2" t="str" cm="1">
        <f t="array" ref="AC352">INDEX(PARADEROS_VALIDOS!$C$2:$C$68,MATCH(MIN(6371*ACOS(COS(RADIANS(Y352))*COS(RADIANS(PARADEROS_VALIDOS!$E$2:$E$68))*COS(RADIANS(PARADEROS_VALIDOS!$F$2:$F$68)-RADIANS(Z352))+SIN(RADIANS(Y352))*SIN(RADIANS(PARADEROS_VALIDOS!$E$2:$E$68)))),6371*ACOS(COS(RADIANS(Y352))*COS(RADIANS(PARADEROS_VALIDOS!$E$2:$E$68))*COS(RADIANS(PARADEROS_VALIDOS!$F$2:$F$68)-RADIANS(Z352))+SIN(RADIANS(Y352))*SIN(RADIANS(PARADEROS_VALIDOS!$E$2:$E$68))),0))</f>
        <v>Villa El Salvador (Cruce Av. 1ro de Mayo con ruta C)</v>
      </c>
      <c r="AD352" s="2" t="str">
        <f>IFERROR(INDEX(PARADEROS_VALIDOS!$A$2:$A$68,MATCH(AC352,PARADEROS_VALIDOS!$C$2:$C$68,0)),"")</f>
        <v>RUTA 7</v>
      </c>
      <c r="AE352" s="33" cm="1">
        <f t="array" ref="AE352">ROUND(MIN(6371*ACOS(COS(RADIANS(Y352))*COS(RADIANS(PARADEROS_VALIDOS!$E$2:$E$68))*COS(RADIANS(PARADEROS_VALIDOS!$F$2:$F$68)-RADIANS(Z352))+SIN(RADIANS(Y352))*SIN(RADIANS(PARADEROS_VALIDOS!$E$2:$E$68)))),2)</f>
        <v>3.95</v>
      </c>
      <c r="AF352" s="2" t="str">
        <f t="shared" si="23"/>
        <v>🟠 Moderada (3-5 km)</v>
      </c>
      <c r="AG352" s="2"/>
      <c r="AH352" s="2"/>
      <c r="AI352" s="51">
        <v>-11.997563</v>
      </c>
      <c r="AJ352" s="51">
        <v>-76.900062000000005</v>
      </c>
      <c r="AK352" s="2" t="str">
        <f>IFERROR(VLOOKUP(I352,tdcargo[],2,FALSE),"DESCONOCIDO")</f>
        <v>OPERARIO</v>
      </c>
    </row>
    <row r="353" spans="1:37" x14ac:dyDescent="0.35">
      <c r="A353" s="2" t="s">
        <v>1815</v>
      </c>
      <c r="B353" s="2" t="s">
        <v>1816</v>
      </c>
      <c r="C353" s="2" t="s">
        <v>451</v>
      </c>
      <c r="D353" s="2" t="s">
        <v>525</v>
      </c>
      <c r="E353" s="2">
        <v>31</v>
      </c>
      <c r="F353" s="2" t="s">
        <v>28</v>
      </c>
      <c r="G353" s="2" t="s">
        <v>29</v>
      </c>
      <c r="H353" s="2">
        <v>20508776</v>
      </c>
      <c r="I353" s="2" t="s">
        <v>62</v>
      </c>
      <c r="J353" s="3">
        <v>44504</v>
      </c>
      <c r="K353" s="2" t="s">
        <v>31</v>
      </c>
      <c r="L353" s="2" t="s">
        <v>72</v>
      </c>
      <c r="M353" s="2" t="s">
        <v>73</v>
      </c>
      <c r="N353" s="2" t="s">
        <v>36</v>
      </c>
      <c r="O353" s="2" t="s">
        <v>1817</v>
      </c>
      <c r="P353" s="2" t="s">
        <v>36</v>
      </c>
      <c r="Q353" s="2" t="s">
        <v>1818</v>
      </c>
      <c r="R353" s="2">
        <v>15457</v>
      </c>
      <c r="S353" s="2" t="s">
        <v>37</v>
      </c>
      <c r="T353" s="2" t="s">
        <v>37</v>
      </c>
      <c r="U353" s="2" t="s">
        <v>76</v>
      </c>
      <c r="V353" s="3">
        <v>44504</v>
      </c>
      <c r="W353" s="2" t="s">
        <v>48</v>
      </c>
      <c r="X353" s="2" t="str">
        <f t="shared" si="20"/>
        <v>Casa Huerta La Campiña Lurigancho Chosica Mz Ch3 L Casa Huerta, Lurigancho, Lima, Lima, Perú</v>
      </c>
      <c r="Y353" s="22">
        <v>-11.975028399999999</v>
      </c>
      <c r="Z353" s="22">
        <v>-76.917244999999994</v>
      </c>
      <c r="AA353" s="33">
        <f t="shared" si="21"/>
        <v>3.13</v>
      </c>
      <c r="AB353" s="2" t="str">
        <f t="shared" si="22"/>
        <v>🟢 Muy Cerca (0-5 km)</v>
      </c>
      <c r="AC353" s="2" t="str" cm="1">
        <f t="array" ref="AC353">INDEX(PARADEROS_VALIDOS!$C$2:$C$68,MATCH(MIN(6371*ACOS(COS(RADIANS(Y353))*COS(RADIANS(PARADEROS_VALIDOS!$E$2:$E$68))*COS(RADIANS(PARADEROS_VALIDOS!$F$2:$F$68)-RADIANS(Z353))+SIN(RADIANS(Y353))*SIN(RADIANS(PARADEROS_VALIDOS!$E$2:$E$68)))),6371*ACOS(COS(RADIANS(Y353))*COS(RADIANS(PARADEROS_VALIDOS!$E$2:$E$68))*COS(RADIANS(PARADEROS_VALIDOS!$F$2:$F$68)-RADIANS(Z353))+SIN(RADIANS(Y353))*SIN(RADIANS(PARADEROS_VALIDOS!$E$2:$E$68))),0))</f>
        <v>Paradero Arco San Antonio</v>
      </c>
      <c r="AD353" s="2" t="str">
        <f>IFERROR(INDEX(PARADEROS_VALIDOS!$A$2:$A$68,MATCH(AC353,PARADEROS_VALIDOS!$C$2:$C$68,0)),"")</f>
        <v>RUTA 2</v>
      </c>
      <c r="AE353" s="33" cm="1">
        <f t="array" ref="AE353">ROUND(MIN(6371*ACOS(COS(RADIANS(Y353))*COS(RADIANS(PARADEROS_VALIDOS!$E$2:$E$68))*COS(RADIANS(PARADEROS_VALIDOS!$F$2:$F$68)-RADIANS(Z353))+SIN(RADIANS(Y353))*SIN(RADIANS(PARADEROS_VALIDOS!$E$2:$E$68)))),2)</f>
        <v>2.56</v>
      </c>
      <c r="AF353" s="2" t="str">
        <f t="shared" si="23"/>
        <v>🟡 Cerca (1-3 km)</v>
      </c>
      <c r="AG353" s="2"/>
      <c r="AH353" s="2"/>
      <c r="AI353" s="51">
        <v>-11.997563</v>
      </c>
      <c r="AJ353" s="51">
        <v>-76.900062000000005</v>
      </c>
      <c r="AK353" s="2" t="str">
        <f>IFERROR(VLOOKUP(I353,tdcargo[],2,FALSE),"DESCONOCIDO")</f>
        <v>OPERARIO</v>
      </c>
    </row>
    <row r="354" spans="1:37" x14ac:dyDescent="0.35">
      <c r="A354" s="2" t="s">
        <v>1819</v>
      </c>
      <c r="B354" s="2" t="s">
        <v>1820</v>
      </c>
      <c r="C354" s="2" t="s">
        <v>1821</v>
      </c>
      <c r="D354" s="2" t="s">
        <v>1822</v>
      </c>
      <c r="E354" s="2">
        <v>35</v>
      </c>
      <c r="F354" s="2" t="s">
        <v>28</v>
      </c>
      <c r="G354" s="2" t="s">
        <v>29</v>
      </c>
      <c r="H354" s="2">
        <v>20510598</v>
      </c>
      <c r="I354" s="2" t="s">
        <v>62</v>
      </c>
      <c r="J354" s="3">
        <v>45474</v>
      </c>
      <c r="K354" s="2" t="s">
        <v>31</v>
      </c>
      <c r="L354" s="2" t="s">
        <v>164</v>
      </c>
      <c r="M354" s="2" t="s">
        <v>165</v>
      </c>
      <c r="N354" s="2" t="s">
        <v>36</v>
      </c>
      <c r="O354" s="2" t="s">
        <v>1823</v>
      </c>
      <c r="P354" s="2" t="s">
        <v>36</v>
      </c>
      <c r="Q354" s="2" t="s">
        <v>1824</v>
      </c>
      <c r="R354" s="2">
        <v>15004</v>
      </c>
      <c r="S354" s="2" t="s">
        <v>37</v>
      </c>
      <c r="T354" s="2" t="s">
        <v>37</v>
      </c>
      <c r="U354" s="2" t="s">
        <v>57</v>
      </c>
      <c r="V354" s="3">
        <v>45474</v>
      </c>
      <c r="W354" s="2" t="s">
        <v>48</v>
      </c>
      <c r="X354" s="2" t="str">
        <f t="shared" si="20"/>
        <v>Coop. Viv. Alfa Y Omega Alfa Y Omega, Ate, Lima, Lima, Perú</v>
      </c>
      <c r="Y354" s="22">
        <v>-12.0433526</v>
      </c>
      <c r="Z354" s="22">
        <v>-76.919092699999993</v>
      </c>
      <c r="AA354" s="33">
        <f t="shared" si="21"/>
        <v>5.5</v>
      </c>
      <c r="AB354" s="2" t="str">
        <f t="shared" si="22"/>
        <v>🟡 Cerca (5-10 km)</v>
      </c>
      <c r="AC354" s="2" t="str" cm="1">
        <f t="array" ref="AC354">INDEX(PARADEROS_VALIDOS!$C$2:$C$68,MATCH(MIN(6371*ACOS(COS(RADIANS(Y354))*COS(RADIANS(PARADEROS_VALIDOS!$E$2:$E$68))*COS(RADIANS(PARADEROS_VALIDOS!$F$2:$F$68)-RADIANS(Z354))+SIN(RADIANS(Y354))*SIN(RADIANS(PARADEROS_VALIDOS!$E$2:$E$68)))),6371*ACOS(COS(RADIANS(Y354))*COS(RADIANS(PARADEROS_VALIDOS!$E$2:$E$68))*COS(RADIANS(PARADEROS_VALIDOS!$F$2:$F$68)-RADIANS(Z354))+SIN(RADIANS(Y354))*SIN(RADIANS(PARADEROS_VALIDOS!$E$2:$E$68))),0))</f>
        <v>Real Plaza Puruchuco (Grifo Primax)</v>
      </c>
      <c r="AD354" s="2" t="str">
        <f>IFERROR(INDEX(PARADEROS_VALIDOS!$A$2:$A$68,MATCH(AC354,PARADEROS_VALIDOS!$C$2:$C$68,0)),"")</f>
        <v>RUTA 4A</v>
      </c>
      <c r="AE354" s="33" cm="1">
        <f t="array" ref="AE354">ROUND(MIN(6371*ACOS(COS(RADIANS(Y354))*COS(RADIANS(PARADEROS_VALIDOS!$E$2:$E$68))*COS(RADIANS(PARADEROS_VALIDOS!$F$2:$F$68)-RADIANS(Z354))+SIN(RADIANS(Y354))*SIN(RADIANS(PARADEROS_VALIDOS!$E$2:$E$68)))),2)</f>
        <v>1.42</v>
      </c>
      <c r="AF354" s="2" t="str">
        <f t="shared" si="23"/>
        <v>🟡 Cerca (1-3 km)</v>
      </c>
      <c r="AG354" s="2"/>
      <c r="AH354" s="2"/>
      <c r="AI354" s="51">
        <v>-11.997563</v>
      </c>
      <c r="AJ354" s="51">
        <v>-76.900062000000005</v>
      </c>
      <c r="AK354" s="2" t="str">
        <f>IFERROR(VLOOKUP(I354,tdcargo[],2,FALSE),"DESCONOCIDO")</f>
        <v>OPERARIO</v>
      </c>
    </row>
    <row r="355" spans="1:37" x14ac:dyDescent="0.35">
      <c r="A355" s="2" t="s">
        <v>1825</v>
      </c>
      <c r="B355" s="2" t="s">
        <v>1826</v>
      </c>
      <c r="C355" s="2" t="s">
        <v>1097</v>
      </c>
      <c r="D355" s="2" t="s">
        <v>1058</v>
      </c>
      <c r="E355" s="2">
        <v>20</v>
      </c>
      <c r="F355" s="2" t="s">
        <v>28</v>
      </c>
      <c r="G355" s="2" t="s">
        <v>29</v>
      </c>
      <c r="H355" s="2">
        <v>20508839</v>
      </c>
      <c r="I355" s="2" t="s">
        <v>30</v>
      </c>
      <c r="J355" s="3">
        <v>45915</v>
      </c>
      <c r="K355" s="2" t="s">
        <v>31</v>
      </c>
      <c r="L355" s="2" t="s">
        <v>108</v>
      </c>
      <c r="M355" s="2" t="s">
        <v>109</v>
      </c>
      <c r="N355" s="2" t="s">
        <v>82</v>
      </c>
      <c r="O355" s="2" t="s">
        <v>1826</v>
      </c>
      <c r="P355" s="2" t="s">
        <v>36</v>
      </c>
      <c r="Q355" s="2" t="s">
        <v>1827</v>
      </c>
      <c r="R355" s="2">
        <v>15004</v>
      </c>
      <c r="S355" s="2" t="s">
        <v>37</v>
      </c>
      <c r="T355" s="2" t="s">
        <v>37</v>
      </c>
      <c r="U355" s="2" t="s">
        <v>57</v>
      </c>
      <c r="V355" s="3">
        <v>45915</v>
      </c>
      <c r="W355" s="2" t="s">
        <v>39</v>
      </c>
      <c r="X355" s="2" t="str">
        <f t="shared" si="20"/>
        <v>Calle Jose Diego Señor De Los Milagro, Ate, Lima, Lima, Perú</v>
      </c>
      <c r="Y355" s="22">
        <v>-12.0260795</v>
      </c>
      <c r="Z355" s="22">
        <v>-76.9234601</v>
      </c>
      <c r="AA355" s="33">
        <f t="shared" si="21"/>
        <v>4.07</v>
      </c>
      <c r="AB355" s="2" t="str">
        <f t="shared" si="22"/>
        <v>🟢 Muy Cerca (0-5 km)</v>
      </c>
      <c r="AC355" s="2" t="str" cm="1">
        <f t="array" ref="AC355">INDEX(PARADEROS_VALIDOS!$C$2:$C$68,MATCH(MIN(6371*ACOS(COS(RADIANS(Y355))*COS(RADIANS(PARADEROS_VALIDOS!$E$2:$E$68))*COS(RADIANS(PARADEROS_VALIDOS!$F$2:$F$68)-RADIANS(Z355))+SIN(RADIANS(Y355))*SIN(RADIANS(PARADEROS_VALIDOS!$E$2:$E$68)))),6371*ACOS(COS(RADIANS(Y355))*COS(RADIANS(PARADEROS_VALIDOS!$E$2:$E$68))*COS(RADIANS(PARADEROS_VALIDOS!$F$2:$F$68)-RADIANS(Z355))+SIN(RADIANS(Y355))*SIN(RADIANS(PARADEROS_VALIDOS!$E$2:$E$68))),0))</f>
        <v>Panadería Marcela (cruce de la carretera central, con Av. Jose Carlos Mariátegui)</v>
      </c>
      <c r="AD355" s="2" t="str">
        <f>IFERROR(INDEX(PARADEROS_VALIDOS!$A$2:$A$68,MATCH(AC355,PARADEROS_VALIDOS!$C$2:$C$68,0)),"")</f>
        <v>RUTA 4B</v>
      </c>
      <c r="AE355" s="33" cm="1">
        <f t="array" ref="AE355">ROUND(MIN(6371*ACOS(COS(RADIANS(Y355))*COS(RADIANS(PARADEROS_VALIDOS!$E$2:$E$68))*COS(RADIANS(PARADEROS_VALIDOS!$F$2:$F$68)-RADIANS(Z355))+SIN(RADIANS(Y355))*SIN(RADIANS(PARADEROS_VALIDOS!$E$2:$E$68)))),2)</f>
        <v>0.31</v>
      </c>
      <c r="AF355" s="2" t="str">
        <f t="shared" si="23"/>
        <v>🟢 Muy Cerca (0-1 km)</v>
      </c>
      <c r="AG355" s="2"/>
      <c r="AH355" s="2"/>
      <c r="AI355" s="51">
        <v>-11.997563</v>
      </c>
      <c r="AJ355" s="51">
        <v>-76.900062000000005</v>
      </c>
      <c r="AK355" s="2" t="str">
        <f>IFERROR(VLOOKUP(I355,tdcargo[],2,FALSE),"DESCONOCIDO")</f>
        <v>OPERARIO</v>
      </c>
    </row>
    <row r="356" spans="1:37" x14ac:dyDescent="0.35">
      <c r="A356" s="2" t="s">
        <v>1828</v>
      </c>
      <c r="B356" s="2" t="s">
        <v>1829</v>
      </c>
      <c r="C356" s="2" t="s">
        <v>1830</v>
      </c>
      <c r="D356" s="2" t="s">
        <v>145</v>
      </c>
      <c r="E356" s="2">
        <v>22</v>
      </c>
      <c r="F356" s="2" t="s">
        <v>28</v>
      </c>
      <c r="G356" s="2" t="s">
        <v>29</v>
      </c>
      <c r="H356" s="2">
        <v>20512331</v>
      </c>
      <c r="I356" s="2" t="s">
        <v>30</v>
      </c>
      <c r="J356" s="3">
        <v>45971</v>
      </c>
      <c r="K356" s="2" t="s">
        <v>31</v>
      </c>
      <c r="L356" s="2" t="s">
        <v>108</v>
      </c>
      <c r="M356" s="2" t="s">
        <v>109</v>
      </c>
      <c r="N356" s="2" t="s">
        <v>36</v>
      </c>
      <c r="O356" s="2" t="s">
        <v>1831</v>
      </c>
      <c r="P356" s="2" t="s">
        <v>36</v>
      </c>
      <c r="Q356" s="2" t="s">
        <v>1832</v>
      </c>
      <c r="R356" s="2">
        <v>15001</v>
      </c>
      <c r="S356" s="2" t="s">
        <v>37</v>
      </c>
      <c r="T356" s="2" t="s">
        <v>37</v>
      </c>
      <c r="U356" s="2" t="s">
        <v>37</v>
      </c>
      <c r="V356" s="3">
        <v>45971</v>
      </c>
      <c r="W356" s="2" t="s">
        <v>135</v>
      </c>
      <c r="X356" s="2" t="str">
        <f t="shared" si="20"/>
        <v>Mzglt9 Haras El Huayco Pampachiri Haras El Huayco, Lima, Lima, Lima, Perú</v>
      </c>
      <c r="Y356" s="22">
        <v>-11.9977234</v>
      </c>
      <c r="Z356" s="22">
        <v>-76.912954200000001</v>
      </c>
      <c r="AA356" s="33">
        <f t="shared" si="21"/>
        <v>1.4</v>
      </c>
      <c r="AB356" s="2" t="str">
        <f t="shared" si="22"/>
        <v>🟢 Muy Cerca (0-5 km)</v>
      </c>
      <c r="AC356" s="2" t="str" cm="1">
        <f t="array" ref="AC356">INDEX(PARADEROS_VALIDOS!$C$2:$C$68,MATCH(MIN(6371*ACOS(COS(RADIANS(Y356))*COS(RADIANS(PARADEROS_VALIDOS!$E$2:$E$68))*COS(RADIANS(PARADEROS_VALIDOS!$F$2:$F$68)-RADIANS(Z356))+SIN(RADIANS(Y356))*SIN(RADIANS(PARADEROS_VALIDOS!$E$2:$E$68)))),6371*ACOS(COS(RADIANS(Y356))*COS(RADIANS(PARADEROS_VALIDOS!$E$2:$E$68))*COS(RADIANS(PARADEROS_VALIDOS!$F$2:$F$68)-RADIANS(Z356))+SIN(RADIANS(Y356))*SIN(RADIANS(PARADEROS_VALIDOS!$E$2:$E$68))),0))</f>
        <v>Paradero Arco San Antonio</v>
      </c>
      <c r="AD356" s="2" t="str">
        <f>IFERROR(INDEX(PARADEROS_VALIDOS!$A$2:$A$68,MATCH(AC356,PARADEROS_VALIDOS!$C$2:$C$68,0)),"")</f>
        <v>RUTA 2</v>
      </c>
      <c r="AE356" s="33" cm="1">
        <f t="array" ref="AE356">ROUND(MIN(6371*ACOS(COS(RADIANS(Y356))*COS(RADIANS(PARADEROS_VALIDOS!$E$2:$E$68))*COS(RADIANS(PARADEROS_VALIDOS!$F$2:$F$68)-RADIANS(Z356))+SIN(RADIANS(Y356))*SIN(RADIANS(PARADEROS_VALIDOS!$E$2:$E$68)))),2)</f>
        <v>1.17</v>
      </c>
      <c r="AF356" s="2" t="str">
        <f t="shared" si="23"/>
        <v>🟡 Cerca (1-3 km)</v>
      </c>
      <c r="AG356" s="2"/>
      <c r="AH356" s="2"/>
      <c r="AI356" s="51">
        <v>-11.997563</v>
      </c>
      <c r="AJ356" s="51">
        <v>-76.900062000000005</v>
      </c>
      <c r="AK356" s="2" t="str">
        <f>IFERROR(VLOOKUP(I356,tdcargo[],2,FALSE),"DESCONOCIDO")</f>
        <v>OPERARIO</v>
      </c>
    </row>
    <row r="357" spans="1:37" x14ac:dyDescent="0.35">
      <c r="A357" s="2" t="s">
        <v>1833</v>
      </c>
      <c r="B357" s="2" t="s">
        <v>1834</v>
      </c>
      <c r="C357" s="2" t="s">
        <v>1835</v>
      </c>
      <c r="D357" s="2" t="s">
        <v>1836</v>
      </c>
      <c r="E357" s="2">
        <v>38</v>
      </c>
      <c r="F357" s="2" t="s">
        <v>28</v>
      </c>
      <c r="G357" s="2" t="s">
        <v>29</v>
      </c>
      <c r="H357" s="2">
        <v>20515649</v>
      </c>
      <c r="I357" s="2" t="s">
        <v>266</v>
      </c>
      <c r="J357" s="3">
        <v>43314</v>
      </c>
      <c r="K357" s="2" t="s">
        <v>31</v>
      </c>
      <c r="L357" s="2" t="s">
        <v>1060</v>
      </c>
      <c r="M357" s="2" t="s">
        <v>281</v>
      </c>
      <c r="N357" s="2" t="s">
        <v>82</v>
      </c>
      <c r="O357" s="2" t="s">
        <v>1237</v>
      </c>
      <c r="P357" s="2" t="s">
        <v>186</v>
      </c>
      <c r="Q357" s="2" t="s">
        <v>1837</v>
      </c>
      <c r="R357" s="2">
        <v>15101</v>
      </c>
      <c r="S357" s="2" t="s">
        <v>37</v>
      </c>
      <c r="T357" s="2" t="s">
        <v>37</v>
      </c>
      <c r="U357" s="2" t="s">
        <v>210</v>
      </c>
      <c r="V357" s="3">
        <v>43314</v>
      </c>
      <c r="W357" s="2" t="s">
        <v>48</v>
      </c>
      <c r="X357" s="2" t="str">
        <f t="shared" si="20"/>
        <v>Calle Los Jacintos, Urb. Urbanización Fiori, San Martin De Porres, Lima, Lima, Perú</v>
      </c>
      <c r="Y357" s="22">
        <v>-12.010926100000001</v>
      </c>
      <c r="Z357" s="22">
        <v>-77.055407900000006</v>
      </c>
      <c r="AA357" s="33">
        <f t="shared" si="21"/>
        <v>16.96</v>
      </c>
      <c r="AB357" s="2" t="str">
        <f t="shared" si="22"/>
        <v>🟠 Moderada (10-20 km)</v>
      </c>
      <c r="AC357" s="2" t="str" cm="1">
        <f t="array" ref="AC357">INDEX(PARADEROS_VALIDOS!$C$2:$C$68,MATCH(MIN(6371*ACOS(COS(RADIANS(Y357))*COS(RADIANS(PARADEROS_VALIDOS!$E$2:$E$68))*COS(RADIANS(PARADEROS_VALIDOS!$F$2:$F$68)-RADIANS(Z357))+SIN(RADIANS(Y357))*SIN(RADIANS(PARADEROS_VALIDOS!$E$2:$E$68)))),6371*ACOS(COS(RADIANS(Y357))*COS(RADIANS(PARADEROS_VALIDOS!$E$2:$E$68))*COS(RADIANS(PARADEROS_VALIDOS!$F$2:$F$68)-RADIANS(Z357))+SIN(RADIANS(Y357))*SIN(RADIANS(PARADEROS_VALIDOS!$E$2:$E$68))),0))</f>
        <v>Paradero Habich</v>
      </c>
      <c r="AD357" s="2" t="str">
        <f>IFERROR(INDEX(PARADEROS_VALIDOS!$A$2:$A$68,MATCH(AC357,PARADEROS_VALIDOS!$C$2:$C$68,0)),"")</f>
        <v>RUTA 8</v>
      </c>
      <c r="AE357" s="33" cm="1">
        <f t="array" ref="AE357">ROUND(MIN(6371*ACOS(COS(RADIANS(Y357))*COS(RADIANS(PARADEROS_VALIDOS!$E$2:$E$68))*COS(RADIANS(PARADEROS_VALIDOS!$F$2:$F$68)-RADIANS(Z357))+SIN(RADIANS(Y357))*SIN(RADIANS(PARADEROS_VALIDOS!$E$2:$E$68)))),2)</f>
        <v>1.8</v>
      </c>
      <c r="AF357" s="2" t="str">
        <f t="shared" si="23"/>
        <v>🟡 Cerca (1-3 km)</v>
      </c>
      <c r="AG357" s="2"/>
      <c r="AH357" s="2"/>
      <c r="AI357" s="51">
        <v>-11.997563</v>
      </c>
      <c r="AJ357" s="51">
        <v>-76.900062000000005</v>
      </c>
      <c r="AK357" s="2" t="str">
        <f>IFERROR(VLOOKUP(I357,tdcargo[],2,FALSE),"DESCONOCIDO")</f>
        <v>STAFF</v>
      </c>
    </row>
    <row r="358" spans="1:37" x14ac:dyDescent="0.35">
      <c r="A358" s="2" t="s">
        <v>1838</v>
      </c>
      <c r="B358" s="2" t="s">
        <v>1839</v>
      </c>
      <c r="C358" s="2" t="s">
        <v>1840</v>
      </c>
      <c r="D358" s="2" t="s">
        <v>219</v>
      </c>
      <c r="E358" s="2">
        <v>26</v>
      </c>
      <c r="F358" s="2" t="s">
        <v>28</v>
      </c>
      <c r="G358" s="2" t="s">
        <v>29</v>
      </c>
      <c r="H358" s="2">
        <v>20515897</v>
      </c>
      <c r="I358" s="2" t="s">
        <v>44</v>
      </c>
      <c r="J358" s="3">
        <v>44445</v>
      </c>
      <c r="K358" s="2" t="s">
        <v>31</v>
      </c>
      <c r="L358" s="2" t="s">
        <v>267</v>
      </c>
      <c r="M358" s="2" t="s">
        <v>268</v>
      </c>
      <c r="N358" s="2" t="s">
        <v>36</v>
      </c>
      <c r="O358" s="2" t="s">
        <v>46</v>
      </c>
      <c r="P358" s="2" t="s">
        <v>88</v>
      </c>
      <c r="Q358" s="2" t="s">
        <v>1841</v>
      </c>
      <c r="R358" s="2">
        <v>15004</v>
      </c>
      <c r="S358" s="2" t="s">
        <v>37</v>
      </c>
      <c r="T358" s="2" t="s">
        <v>37</v>
      </c>
      <c r="U358" s="2" t="s">
        <v>57</v>
      </c>
      <c r="V358" s="3">
        <v>44445</v>
      </c>
      <c r="W358" s="2" t="s">
        <v>48</v>
      </c>
      <c r="X358" s="2" t="str">
        <f t="shared" si="20"/>
        <v>Nd, A.H. Asentamiento Humano Amuta 1, Ate, Lima, Lima, Perú</v>
      </c>
      <c r="Y358" s="22">
        <v>-12.0424606</v>
      </c>
      <c r="Z358" s="22">
        <v>-76.898463599999999</v>
      </c>
      <c r="AA358" s="33">
        <f t="shared" si="21"/>
        <v>5</v>
      </c>
      <c r="AB358" s="2" t="str">
        <f t="shared" si="22"/>
        <v>🟢 Muy Cerca (0-5 km)</v>
      </c>
      <c r="AC358" s="2" t="str" cm="1">
        <f t="array" ref="AC358">INDEX(PARADEROS_VALIDOS!$C$2:$C$68,MATCH(MIN(6371*ACOS(COS(RADIANS(Y358))*COS(RADIANS(PARADEROS_VALIDOS!$E$2:$E$68))*COS(RADIANS(PARADEROS_VALIDOS!$F$2:$F$68)-RADIANS(Z358))+SIN(RADIANS(Y358))*SIN(RADIANS(PARADEROS_VALIDOS!$E$2:$E$68)))),6371*ACOS(COS(RADIANS(Y358))*COS(RADIANS(PARADEROS_VALIDOS!$E$2:$E$68))*COS(RADIANS(PARADEROS_VALIDOS!$F$2:$F$68)-RADIANS(Z358))+SIN(RADIANS(Y358))*SIN(RADIANS(PARADEROS_VALIDOS!$E$2:$E$68))),0))</f>
        <v>Paradero Esperanza</v>
      </c>
      <c r="AD358" s="2" t="str">
        <f>IFERROR(INDEX(PARADEROS_VALIDOS!$A$2:$A$68,MATCH(AC358,PARADEROS_VALIDOS!$C$2:$C$68,0)),"")</f>
        <v>RUTA 4B</v>
      </c>
      <c r="AE358" s="33" cm="1">
        <f t="array" ref="AE358">ROUND(MIN(6371*ACOS(COS(RADIANS(Y358))*COS(RADIANS(PARADEROS_VALIDOS!$E$2:$E$68))*COS(RADIANS(PARADEROS_VALIDOS!$F$2:$F$68)-RADIANS(Z358))+SIN(RADIANS(Y358))*SIN(RADIANS(PARADEROS_VALIDOS!$E$2:$E$68)))),2)</f>
        <v>2.48</v>
      </c>
      <c r="AF358" s="2" t="str">
        <f t="shared" si="23"/>
        <v>🟡 Cerca (1-3 km)</v>
      </c>
      <c r="AG358" s="2"/>
      <c r="AH358" s="2"/>
      <c r="AI358" s="51">
        <v>-11.997563</v>
      </c>
      <c r="AJ358" s="51">
        <v>-76.900062000000005</v>
      </c>
      <c r="AK358" s="2" t="str">
        <f>IFERROR(VLOOKUP(I358,tdcargo[],2,FALSE),"DESCONOCIDO")</f>
        <v>OPERARIO</v>
      </c>
    </row>
    <row r="359" spans="1:37" x14ac:dyDescent="0.35">
      <c r="A359" s="2" t="s">
        <v>1842</v>
      </c>
      <c r="B359" s="2" t="s">
        <v>1843</v>
      </c>
      <c r="C359" s="2" t="s">
        <v>1844</v>
      </c>
      <c r="D359" s="2" t="s">
        <v>26</v>
      </c>
      <c r="E359" s="2">
        <v>35</v>
      </c>
      <c r="F359" s="2" t="s">
        <v>28</v>
      </c>
      <c r="G359" s="2" t="s">
        <v>29</v>
      </c>
      <c r="H359" s="2">
        <v>20508982</v>
      </c>
      <c r="I359" s="2" t="s">
        <v>62</v>
      </c>
      <c r="J359" s="3">
        <v>43061</v>
      </c>
      <c r="K359" s="2" t="s">
        <v>31</v>
      </c>
      <c r="L359" s="2" t="s">
        <v>63</v>
      </c>
      <c r="M359" s="2" t="s">
        <v>64</v>
      </c>
      <c r="N359" s="2" t="s">
        <v>36</v>
      </c>
      <c r="O359" s="2" t="s">
        <v>1845</v>
      </c>
      <c r="P359" s="2" t="s">
        <v>88</v>
      </c>
      <c r="Q359" s="2" t="s">
        <v>1845</v>
      </c>
      <c r="R359" s="2">
        <v>15004</v>
      </c>
      <c r="S359" s="2" t="s">
        <v>37</v>
      </c>
      <c r="T359" s="2" t="s">
        <v>37</v>
      </c>
      <c r="U359" s="2" t="s">
        <v>57</v>
      </c>
      <c r="V359" s="3">
        <v>43061</v>
      </c>
      <c r="W359" s="2" t="s">
        <v>48</v>
      </c>
      <c r="X359" s="2" t="str">
        <f t="shared" si="20"/>
        <v>Santa Maria De Vitarte, A.H. Asentamiento Humano Santa Maria De Vitarte, Ate, Lima, Lima, Perú</v>
      </c>
      <c r="Y359" s="22">
        <v>-12.044828600000001</v>
      </c>
      <c r="Z359" s="22">
        <v>-76.924693099999999</v>
      </c>
      <c r="AA359" s="33">
        <f t="shared" si="21"/>
        <v>5.9</v>
      </c>
      <c r="AB359" s="2" t="str">
        <f t="shared" si="22"/>
        <v>🟡 Cerca (5-10 km)</v>
      </c>
      <c r="AC359" s="2" t="str" cm="1">
        <f t="array" ref="AC359">INDEX(PARADEROS_VALIDOS!$C$2:$C$68,MATCH(MIN(6371*ACOS(COS(RADIANS(Y359))*COS(RADIANS(PARADEROS_VALIDOS!$E$2:$E$68))*COS(RADIANS(PARADEROS_VALIDOS!$F$2:$F$68)-RADIANS(Z359))+SIN(RADIANS(Y359))*SIN(RADIANS(PARADEROS_VALIDOS!$E$2:$E$68)))),6371*ACOS(COS(RADIANS(Y359))*COS(RADIANS(PARADEROS_VALIDOS!$E$2:$E$68))*COS(RADIANS(PARADEROS_VALIDOS!$F$2:$F$68)-RADIANS(Z359))+SIN(RADIANS(Y359))*SIN(RADIANS(PARADEROS_VALIDOS!$E$2:$E$68))),0))</f>
        <v>Real Plaza Puruchuco (Grifo Primax)</v>
      </c>
      <c r="AD359" s="2" t="str">
        <f>IFERROR(INDEX(PARADEROS_VALIDOS!$A$2:$A$68,MATCH(AC359,PARADEROS_VALIDOS!$C$2:$C$68,0)),"")</f>
        <v>RUTA 4A</v>
      </c>
      <c r="AE359" s="33" cm="1">
        <f t="array" ref="AE359">ROUND(MIN(6371*ACOS(COS(RADIANS(Y359))*COS(RADIANS(PARADEROS_VALIDOS!$E$2:$E$68))*COS(RADIANS(PARADEROS_VALIDOS!$F$2:$F$68)-RADIANS(Z359))+SIN(RADIANS(Y359))*SIN(RADIANS(PARADEROS_VALIDOS!$E$2:$E$68)))),2)</f>
        <v>0.88</v>
      </c>
      <c r="AF359" s="2" t="str">
        <f t="shared" si="23"/>
        <v>🟢 Muy Cerca (0-1 km)</v>
      </c>
      <c r="AG359" s="2"/>
      <c r="AH359" s="2"/>
      <c r="AI359" s="51">
        <v>-11.997563</v>
      </c>
      <c r="AJ359" s="51">
        <v>-76.900062000000005</v>
      </c>
      <c r="AK359" s="2" t="str">
        <f>IFERROR(VLOOKUP(I359,tdcargo[],2,FALSE),"DESCONOCIDO")</f>
        <v>OPERARIO</v>
      </c>
    </row>
    <row r="360" spans="1:37" x14ac:dyDescent="0.35">
      <c r="A360" s="2" t="s">
        <v>1846</v>
      </c>
      <c r="B360" s="2" t="s">
        <v>1847</v>
      </c>
      <c r="C360" s="2" t="s">
        <v>1848</v>
      </c>
      <c r="D360" s="2" t="s">
        <v>630</v>
      </c>
      <c r="E360" s="2">
        <v>28</v>
      </c>
      <c r="F360" s="2" t="s">
        <v>28</v>
      </c>
      <c r="G360" s="2" t="s">
        <v>29</v>
      </c>
      <c r="H360" s="2">
        <v>20508901</v>
      </c>
      <c r="I360" s="2" t="s">
        <v>30</v>
      </c>
      <c r="J360" s="3">
        <v>44998</v>
      </c>
      <c r="K360" s="2" t="s">
        <v>31</v>
      </c>
      <c r="L360" s="2" t="s">
        <v>32</v>
      </c>
      <c r="M360" s="2" t="s">
        <v>33</v>
      </c>
      <c r="N360" s="2" t="s">
        <v>36</v>
      </c>
      <c r="O360" s="2" t="s">
        <v>1849</v>
      </c>
      <c r="P360" s="2" t="s">
        <v>36</v>
      </c>
      <c r="Q360" s="2" t="s">
        <v>1850</v>
      </c>
      <c r="R360" s="2">
        <v>15457</v>
      </c>
      <c r="S360" s="2" t="s">
        <v>37</v>
      </c>
      <c r="T360" s="2" t="s">
        <v>37</v>
      </c>
      <c r="U360" s="2" t="s">
        <v>76</v>
      </c>
      <c r="V360" s="3">
        <v>44998</v>
      </c>
      <c r="W360" s="2" t="s">
        <v>48</v>
      </c>
      <c r="X360" s="2" t="str">
        <f t="shared" si="20"/>
        <v>Agrup. Union Colectora Nieveria Etapa Ii Mz. A Lo Nieveria - Los Hayala- Altiplano, Lurigancho, Lima, Lima, Perú</v>
      </c>
      <c r="Y360" s="22">
        <v>-11.9918245</v>
      </c>
      <c r="Z360" s="22">
        <v>-76.920910599999999</v>
      </c>
      <c r="AA360" s="33">
        <f t="shared" si="21"/>
        <v>2.36</v>
      </c>
      <c r="AB360" s="2" t="str">
        <f t="shared" si="22"/>
        <v>🟢 Muy Cerca (0-5 km)</v>
      </c>
      <c r="AC360" s="2" t="str" cm="1">
        <f t="array" ref="AC360">INDEX(PARADEROS_VALIDOS!$C$2:$C$68,MATCH(MIN(6371*ACOS(COS(RADIANS(Y360))*COS(RADIANS(PARADEROS_VALIDOS!$E$2:$E$68))*COS(RADIANS(PARADEROS_VALIDOS!$F$2:$F$68)-RADIANS(Z360))+SIN(RADIANS(Y360))*SIN(RADIANS(PARADEROS_VALIDOS!$E$2:$E$68)))),6371*ACOS(COS(RADIANS(Y360))*COS(RADIANS(PARADEROS_VALIDOS!$E$2:$E$68))*COS(RADIANS(PARADEROS_VALIDOS!$F$2:$F$68)-RADIANS(Z360))+SIN(RADIANS(Y360))*SIN(RADIANS(PARADEROS_VALIDOS!$E$2:$E$68))),0))</f>
        <v>Paradero Arco San Antonio</v>
      </c>
      <c r="AD360" s="2" t="str">
        <f>IFERROR(INDEX(PARADEROS_VALIDOS!$A$2:$A$68,MATCH(AC360,PARADEROS_VALIDOS!$C$2:$C$68,0)),"")</f>
        <v>RUTA 2</v>
      </c>
      <c r="AE360" s="33" cm="1">
        <f t="array" ref="AE360">ROUND(MIN(6371*ACOS(COS(RADIANS(Y360))*COS(RADIANS(PARADEROS_VALIDOS!$E$2:$E$68))*COS(RADIANS(PARADEROS_VALIDOS!$F$2:$F$68)-RADIANS(Z360))+SIN(RADIANS(Y360))*SIN(RADIANS(PARADEROS_VALIDOS!$E$2:$E$68)))),2)</f>
        <v>1.94</v>
      </c>
      <c r="AF360" s="2" t="str">
        <f t="shared" si="23"/>
        <v>🟡 Cerca (1-3 km)</v>
      </c>
      <c r="AG360" s="2"/>
      <c r="AH360" s="2"/>
      <c r="AI360" s="51">
        <v>-11.997563</v>
      </c>
      <c r="AJ360" s="51">
        <v>-76.900062000000005</v>
      </c>
      <c r="AK360" s="2" t="str">
        <f>IFERROR(VLOOKUP(I360,tdcargo[],2,FALSE),"DESCONOCIDO")</f>
        <v>OPERARIO</v>
      </c>
    </row>
    <row r="361" spans="1:37" x14ac:dyDescent="0.35">
      <c r="A361" s="2" t="s">
        <v>1851</v>
      </c>
      <c r="B361" s="2" t="s">
        <v>1852</v>
      </c>
      <c r="C361" s="2" t="s">
        <v>792</v>
      </c>
      <c r="D361" s="2" t="s">
        <v>1853</v>
      </c>
      <c r="E361" s="2">
        <v>19</v>
      </c>
      <c r="F361" s="2" t="s">
        <v>28</v>
      </c>
      <c r="G361" s="2" t="s">
        <v>29</v>
      </c>
      <c r="H361" s="2">
        <v>20508971</v>
      </c>
      <c r="I361" s="2" t="s">
        <v>30</v>
      </c>
      <c r="J361" s="3">
        <v>46037</v>
      </c>
      <c r="K361" s="2" t="s">
        <v>31</v>
      </c>
      <c r="L361" s="2" t="s">
        <v>32</v>
      </c>
      <c r="M361" s="2" t="s">
        <v>33</v>
      </c>
      <c r="N361" s="2" t="s">
        <v>82</v>
      </c>
      <c r="O361" s="2" t="s">
        <v>1854</v>
      </c>
      <c r="P361" s="2" t="s">
        <v>88</v>
      </c>
      <c r="Q361" s="2" t="s">
        <v>1855</v>
      </c>
      <c r="R361" s="2">
        <v>15457</v>
      </c>
      <c r="S361" s="2" t="s">
        <v>37</v>
      </c>
      <c r="T361" s="2" t="s">
        <v>37</v>
      </c>
      <c r="U361" s="2" t="s">
        <v>76</v>
      </c>
      <c r="V361" s="3">
        <v>46037</v>
      </c>
      <c r="W361" s="2" t="s">
        <v>135</v>
      </c>
      <c r="X361" s="2" t="str">
        <f t="shared" si="20"/>
        <v>Calle Los Molles Paraiso, A.H. Asentamiento Humano FERRETERIA, Lurigancho, Lima, Lima, Perú</v>
      </c>
      <c r="Y361" s="22">
        <v>-12.009696699999999</v>
      </c>
      <c r="Z361" s="22">
        <v>-76.905361299999996</v>
      </c>
      <c r="AA361" s="33">
        <f t="shared" si="21"/>
        <v>1.47</v>
      </c>
      <c r="AB361" s="2" t="str">
        <f t="shared" si="22"/>
        <v>🟢 Muy Cerca (0-5 km)</v>
      </c>
      <c r="AC361" s="2" t="str" cm="1">
        <f t="array" ref="AC361">INDEX(PARADEROS_VALIDOS!$C$2:$C$68,MATCH(MIN(6371*ACOS(COS(RADIANS(Y361))*COS(RADIANS(PARADEROS_VALIDOS!$E$2:$E$68))*COS(RADIANS(PARADEROS_VALIDOS!$F$2:$F$68)-RADIANS(Z361))+SIN(RADIANS(Y361))*SIN(RADIANS(PARADEROS_VALIDOS!$E$2:$E$68)))),6371*ACOS(COS(RADIANS(Y361))*COS(RADIANS(PARADEROS_VALIDOS!$E$2:$E$68))*COS(RADIANS(PARADEROS_VALIDOS!$F$2:$F$68)-RADIANS(Z361))+SIN(RADIANS(Y361))*SIN(RADIANS(PARADEROS_VALIDOS!$E$2:$E$68))),0))</f>
        <v>Tottus Huachipa</v>
      </c>
      <c r="AD361" s="2" t="str">
        <f>IFERROR(INDEX(PARADEROS_VALIDOS!$A$2:$A$68,MATCH(AC361,PARADEROS_VALIDOS!$C$2:$C$68,0)),"")</f>
        <v>RUTA 1</v>
      </c>
      <c r="AE361" s="33" cm="1">
        <f t="array" ref="AE361">ROUND(MIN(6371*ACOS(COS(RADIANS(Y361))*COS(RADIANS(PARADEROS_VALIDOS!$E$2:$E$68))*COS(RADIANS(PARADEROS_VALIDOS!$F$2:$F$68)-RADIANS(Z361))+SIN(RADIANS(Y361))*SIN(RADIANS(PARADEROS_VALIDOS!$E$2:$E$68)))),2)</f>
        <v>1.18</v>
      </c>
      <c r="AF361" s="2" t="str">
        <f t="shared" si="23"/>
        <v>🟡 Cerca (1-3 km)</v>
      </c>
      <c r="AG361" s="2"/>
      <c r="AH361" s="2"/>
      <c r="AI361" s="51">
        <v>-11.997563</v>
      </c>
      <c r="AJ361" s="51">
        <v>-76.900062000000005</v>
      </c>
      <c r="AK361" s="2" t="str">
        <f>IFERROR(VLOOKUP(I361,tdcargo[],2,FALSE),"DESCONOCIDO")</f>
        <v>OPERARIO</v>
      </c>
    </row>
    <row r="362" spans="1:37" x14ac:dyDescent="0.35">
      <c r="A362" s="2" t="s">
        <v>1856</v>
      </c>
      <c r="B362" s="2" t="s">
        <v>1857</v>
      </c>
      <c r="C362" s="2" t="s">
        <v>1858</v>
      </c>
      <c r="D362" s="2" t="s">
        <v>1859</v>
      </c>
      <c r="E362" s="2">
        <v>23</v>
      </c>
      <c r="F362" s="2" t="s">
        <v>28</v>
      </c>
      <c r="G362" s="2" t="s">
        <v>29</v>
      </c>
      <c r="H362" s="2">
        <v>20508785</v>
      </c>
      <c r="I362" s="2" t="s">
        <v>30</v>
      </c>
      <c r="J362" s="3">
        <v>46041</v>
      </c>
      <c r="K362" s="2" t="s">
        <v>31</v>
      </c>
      <c r="L362" s="2" t="s">
        <v>100</v>
      </c>
      <c r="M362" s="2" t="s">
        <v>101</v>
      </c>
      <c r="N362" s="2" t="s">
        <v>82</v>
      </c>
      <c r="O362" s="2" t="s">
        <v>1860</v>
      </c>
      <c r="P362" s="2" t="s">
        <v>186</v>
      </c>
      <c r="Q362" s="2" t="s">
        <v>1861</v>
      </c>
      <c r="R362" s="2">
        <v>15001</v>
      </c>
      <c r="S362" s="2" t="s">
        <v>37</v>
      </c>
      <c r="T362" s="2" t="s">
        <v>37</v>
      </c>
      <c r="U362" s="2" t="s">
        <v>37</v>
      </c>
      <c r="V362" s="3">
        <v>46041</v>
      </c>
      <c r="W362" s="2" t="s">
        <v>135</v>
      </c>
      <c r="X362" s="2" t="str">
        <f t="shared" si="20"/>
        <v>Calle Ucv63 Lote 9 Zona D, Urb. Urbanización D, Lima, Lima, Lima, Perú</v>
      </c>
      <c r="Y362" s="22">
        <v>-12.0315409</v>
      </c>
      <c r="Z362" s="22">
        <v>-76.998538100000005</v>
      </c>
      <c r="AA362" s="33">
        <f t="shared" si="21"/>
        <v>11.36</v>
      </c>
      <c r="AB362" s="2" t="str">
        <f t="shared" si="22"/>
        <v>🟠 Moderada (10-20 km)</v>
      </c>
      <c r="AC362" s="2" t="str" cm="1">
        <f t="array" ref="AC362">INDEX(PARADEROS_VALIDOS!$C$2:$C$68,MATCH(MIN(6371*ACOS(COS(RADIANS(Y362))*COS(RADIANS(PARADEROS_VALIDOS!$E$2:$E$68))*COS(RADIANS(PARADEROS_VALIDOS!$F$2:$F$68)-RADIANS(Z362))+SIN(RADIANS(Y362))*SIN(RADIANS(PARADEROS_VALIDOS!$E$2:$E$68)))),6371*ACOS(COS(RADIANS(Y362))*COS(RADIANS(PARADEROS_VALIDOS!$E$2:$E$68))*COS(RADIANS(PARADEROS_VALIDOS!$F$2:$F$68)-RADIANS(Z362))+SIN(RADIANS(Y362))*SIN(RADIANS(PARADEROS_VALIDOS!$E$2:$E$68))),0))</f>
        <v>Puente Nuevo (Av. Chinchaysuyo &amp; Av. Malecón Checa)</v>
      </c>
      <c r="AD362" s="2" t="str">
        <f>IFERROR(INDEX(PARADEROS_VALIDOS!$A$2:$A$68,MATCH(AC362,PARADEROS_VALIDOS!$C$2:$C$68,0)),"")</f>
        <v>RUTA 6C</v>
      </c>
      <c r="AE362" s="33" cm="1">
        <f t="array" ref="AE362">ROUND(MIN(6371*ACOS(COS(RADIANS(Y362))*COS(RADIANS(PARADEROS_VALIDOS!$E$2:$E$68))*COS(RADIANS(PARADEROS_VALIDOS!$F$2:$F$68)-RADIANS(Z362))+SIN(RADIANS(Y362))*SIN(RADIANS(PARADEROS_VALIDOS!$E$2:$E$68)))),2)</f>
        <v>0.62</v>
      </c>
      <c r="AF362" s="2" t="str">
        <f t="shared" si="23"/>
        <v>🟢 Muy Cerca (0-1 km)</v>
      </c>
      <c r="AG362" s="2"/>
      <c r="AH362" s="2"/>
      <c r="AI362" s="51">
        <v>-11.997563</v>
      </c>
      <c r="AJ362" s="51">
        <v>-76.900062000000005</v>
      </c>
      <c r="AK362" s="2" t="str">
        <f>IFERROR(VLOOKUP(I362,tdcargo[],2,FALSE),"DESCONOCIDO")</f>
        <v>OPERARIO</v>
      </c>
    </row>
    <row r="363" spans="1:37" x14ac:dyDescent="0.35">
      <c r="A363" s="2" t="s">
        <v>1862</v>
      </c>
      <c r="B363" s="2" t="s">
        <v>1040</v>
      </c>
      <c r="C363" s="2" t="s">
        <v>1863</v>
      </c>
      <c r="D363" s="2" t="s">
        <v>1864</v>
      </c>
      <c r="E363" s="2">
        <v>26</v>
      </c>
      <c r="F363" s="2" t="s">
        <v>28</v>
      </c>
      <c r="G363" s="2" t="s">
        <v>29</v>
      </c>
      <c r="H363" s="2">
        <v>20515688</v>
      </c>
      <c r="I363" s="2" t="s">
        <v>62</v>
      </c>
      <c r="J363" s="3">
        <v>44966</v>
      </c>
      <c r="K363" s="2" t="s">
        <v>31</v>
      </c>
      <c r="L363" s="2" t="s">
        <v>1060</v>
      </c>
      <c r="M363" s="2" t="s">
        <v>281</v>
      </c>
      <c r="N363" s="2" t="s">
        <v>34</v>
      </c>
      <c r="O363" s="2" t="s">
        <v>996</v>
      </c>
      <c r="P363" s="2" t="s">
        <v>36</v>
      </c>
      <c r="Q363" s="2" t="s">
        <v>1865</v>
      </c>
      <c r="R363" s="2">
        <v>15457</v>
      </c>
      <c r="S363" s="2" t="s">
        <v>37</v>
      </c>
      <c r="T363" s="2" t="s">
        <v>37</v>
      </c>
      <c r="U363" s="2" t="s">
        <v>76</v>
      </c>
      <c r="V363" s="3">
        <v>46054</v>
      </c>
      <c r="W363" s="2" t="s">
        <v>39</v>
      </c>
      <c r="X363" s="2" t="str">
        <f t="shared" si="20"/>
        <v>Avenida SAN FRANCISCO Nieveria . San Francisco, Lurigancho, Lima, Lima, Perú</v>
      </c>
      <c r="Y363" s="22">
        <v>-11.8388486</v>
      </c>
      <c r="Z363" s="22">
        <v>-77.110362699999996</v>
      </c>
      <c r="AA363" s="33">
        <f t="shared" si="21"/>
        <v>28.9</v>
      </c>
      <c r="AB363" s="2" t="str">
        <f t="shared" si="22"/>
        <v>🔴 Lejos (&gt;20 km)</v>
      </c>
      <c r="AC363" s="2" t="str" cm="1">
        <f t="array" ref="AC363">INDEX(PARADEROS_VALIDOS!$C$2:$C$68,MATCH(MIN(6371*ACOS(COS(RADIANS(Y363))*COS(RADIANS(PARADEROS_VALIDOS!$E$2:$E$68))*COS(RADIANS(PARADEROS_VALIDOS!$F$2:$F$68)-RADIANS(Z363))+SIN(RADIANS(Y363))*SIN(RADIANS(PARADEROS_VALIDOS!$E$2:$E$68)))),6371*ACOS(COS(RADIANS(Y363))*COS(RADIANS(PARADEROS_VALIDOS!$E$2:$E$68))*COS(RADIANS(PARADEROS_VALIDOS!$F$2:$F$68)-RADIANS(Z363))+SIN(RADIANS(Y363))*SIN(RADIANS(PARADEROS_VALIDOS!$E$2:$E$68))),0))</f>
        <v>Paradero Cesar Vallejo</v>
      </c>
      <c r="AD363" s="2" t="str">
        <f>IFERROR(INDEX(PARADEROS_VALIDOS!$A$2:$A$68,MATCH(AC363,PARADEROS_VALIDOS!$C$2:$C$68,0)),"")</f>
        <v>RUTA 4B</v>
      </c>
      <c r="AE363" s="33" cm="1">
        <f t="array" ref="AE363">ROUND(MIN(6371*ACOS(COS(RADIANS(Y363))*COS(RADIANS(PARADEROS_VALIDOS!$E$2:$E$68))*COS(RADIANS(PARADEROS_VALIDOS!$F$2:$F$68)-RADIANS(Z363))+SIN(RADIANS(Y363))*SIN(RADIANS(PARADEROS_VALIDOS!$E$2:$E$68)))),2)</f>
        <v>11.67</v>
      </c>
      <c r="AF363" s="2" t="str">
        <f t="shared" si="23"/>
        <v>🔴 Lejos (&gt;5 km)</v>
      </c>
      <c r="AG363" s="2"/>
      <c r="AH363" s="2"/>
      <c r="AI363" s="51">
        <v>-11.997563</v>
      </c>
      <c r="AJ363" s="51">
        <v>-76.900062000000005</v>
      </c>
      <c r="AK363" s="2" t="str">
        <f>IFERROR(VLOOKUP(I363,tdcargo[],2,FALSE),"DESCONOCIDO")</f>
        <v>OPERARIO</v>
      </c>
    </row>
    <row r="364" spans="1:37" x14ac:dyDescent="0.35">
      <c r="A364" s="2" t="s">
        <v>1866</v>
      </c>
      <c r="B364" s="2" t="s">
        <v>1867</v>
      </c>
      <c r="C364" s="2" t="s">
        <v>1868</v>
      </c>
      <c r="D364" s="2" t="s">
        <v>130</v>
      </c>
      <c r="E364" s="2">
        <v>26</v>
      </c>
      <c r="F364" s="2" t="s">
        <v>28</v>
      </c>
      <c r="G364" s="2" t="s">
        <v>29</v>
      </c>
      <c r="H364" s="2">
        <v>20514600</v>
      </c>
      <c r="I364" s="2" t="s">
        <v>30</v>
      </c>
      <c r="J364" s="3">
        <v>46090</v>
      </c>
      <c r="K364" s="2" t="s">
        <v>31</v>
      </c>
      <c r="L364" s="2" t="s">
        <v>132</v>
      </c>
      <c r="M364" s="2" t="s">
        <v>133</v>
      </c>
      <c r="N364" s="2" t="s">
        <v>36</v>
      </c>
      <c r="O364" s="2" t="s">
        <v>1869</v>
      </c>
      <c r="P364" s="2" t="s">
        <v>36</v>
      </c>
      <c r="Q364" s="2" t="s">
        <v>1870</v>
      </c>
      <c r="R364" s="2">
        <v>11001</v>
      </c>
      <c r="S364" s="2" t="s">
        <v>1871</v>
      </c>
      <c r="T364" s="2" t="s">
        <v>1871</v>
      </c>
      <c r="U364" s="2" t="s">
        <v>1871</v>
      </c>
      <c r="V364" s="3">
        <v>46090</v>
      </c>
      <c r="W364" s="2" t="s">
        <v>135</v>
      </c>
      <c r="X364" s="2" t="s">
        <v>4610</v>
      </c>
      <c r="Y364" s="22">
        <v>-11.997563</v>
      </c>
      <c r="Z364" s="22">
        <v>-76.900062000000005</v>
      </c>
      <c r="AA364" s="33">
        <f t="shared" si="21"/>
        <v>0</v>
      </c>
      <c r="AB364" s="2" t="str">
        <f t="shared" si="22"/>
        <v>🟢 Muy Cerca (0-5 km)</v>
      </c>
      <c r="AC364" s="2" t="str" cm="1">
        <f t="array" ref="AC364">INDEX(PARADEROS_VALIDOS!$C$2:$C$68,MATCH(MIN(6371*ACOS(COS(RADIANS(Y364))*COS(RADIANS(PARADEROS_VALIDOS!$E$2:$E$68))*COS(RADIANS(PARADEROS_VALIDOS!$F$2:$F$68)-RADIANS(Z364))+SIN(RADIANS(Y364))*SIN(RADIANS(PARADEROS_VALIDOS!$E$2:$E$68)))),6371*ACOS(COS(RADIANS(Y364))*COS(RADIANS(PARADEROS_VALIDOS!$E$2:$E$68))*COS(RADIANS(PARADEROS_VALIDOS!$F$2:$F$68)-RADIANS(Z364))+SIN(RADIANS(Y364))*SIN(RADIANS(PARADEROS_VALIDOS!$E$2:$E$68))),0))</f>
        <v>Tottus Huachipa</v>
      </c>
      <c r="AD364" s="2" t="str">
        <f>IFERROR(INDEX(PARADEROS_VALIDOS!$A$2:$A$68,MATCH(AC364,PARADEROS_VALIDOS!$C$2:$C$68,0)),"")</f>
        <v>RUTA 1</v>
      </c>
      <c r="AE364" s="33" cm="1">
        <f t="array" ref="AE364">ROUND(MIN(6371*ACOS(COS(RADIANS(Y364))*COS(RADIANS(PARADEROS_VALIDOS!$E$2:$E$68))*COS(RADIANS(PARADEROS_VALIDOS!$F$2:$F$68)-RADIANS(Z364))+SIN(RADIANS(Y364))*SIN(RADIANS(PARADEROS_VALIDOS!$E$2:$E$68)))),2)</f>
        <v>0.3</v>
      </c>
      <c r="AF364" s="2" t="str">
        <f t="shared" si="23"/>
        <v>🟢 Muy Cerca (0-1 km)</v>
      </c>
      <c r="AG364" s="2"/>
      <c r="AH364" s="2"/>
      <c r="AI364" s="51">
        <v>-11.997563</v>
      </c>
      <c r="AJ364" s="51">
        <v>-76.900062000000005</v>
      </c>
      <c r="AK364" s="2" t="str">
        <f>IFERROR(VLOOKUP(I364,tdcargo[],2,FALSE),"DESCONOCIDO")</f>
        <v>OPERARIO</v>
      </c>
    </row>
    <row r="365" spans="1:37" x14ac:dyDescent="0.35">
      <c r="A365" s="2" t="s">
        <v>1872</v>
      </c>
      <c r="B365" s="2" t="s">
        <v>1873</v>
      </c>
      <c r="C365" s="2" t="s">
        <v>653</v>
      </c>
      <c r="D365" s="2" t="s">
        <v>364</v>
      </c>
      <c r="E365" s="2">
        <v>20</v>
      </c>
      <c r="F365" s="2" t="s">
        <v>28</v>
      </c>
      <c r="G365" s="2" t="s">
        <v>29</v>
      </c>
      <c r="H365" s="2">
        <v>20508876</v>
      </c>
      <c r="I365" s="2" t="s">
        <v>30</v>
      </c>
      <c r="J365" s="3">
        <v>46090</v>
      </c>
      <c r="K365" s="2" t="s">
        <v>31</v>
      </c>
      <c r="L365" s="2" t="s">
        <v>72</v>
      </c>
      <c r="M365" s="2" t="s">
        <v>73</v>
      </c>
      <c r="N365" s="2" t="s">
        <v>34</v>
      </c>
      <c r="O365" s="2" t="s">
        <v>1017</v>
      </c>
      <c r="P365" s="2" t="s">
        <v>36</v>
      </c>
      <c r="Q365" s="2" t="s">
        <v>1874</v>
      </c>
      <c r="R365" s="2">
        <v>15457</v>
      </c>
      <c r="S365" s="2" t="s">
        <v>37</v>
      </c>
      <c r="T365" s="2" t="s">
        <v>37</v>
      </c>
      <c r="U365" s="2" t="s">
        <v>76</v>
      </c>
      <c r="V365" s="3">
        <v>46090</v>
      </c>
      <c r="W365" s="2" t="s">
        <v>135</v>
      </c>
      <c r="X365" s="2" t="str">
        <f t="shared" si="20"/>
        <v>Avenida Cajamarquilla EX FUNDO NIEVERIA, Lurigancho, Lima, Lima, Perú</v>
      </c>
      <c r="Y365" s="22">
        <v>-11.9943458</v>
      </c>
      <c r="Z365" s="22">
        <v>-76.905178899999996</v>
      </c>
      <c r="AA365" s="33">
        <f t="shared" si="21"/>
        <v>0.66</v>
      </c>
      <c r="AB365" s="2" t="str">
        <f t="shared" si="22"/>
        <v>🟢 Muy Cerca (0-5 km)</v>
      </c>
      <c r="AC365" s="2" t="str" cm="1">
        <f t="array" ref="AC365">INDEX(PARADEROS_VALIDOS!$C$2:$C$68,MATCH(MIN(6371*ACOS(COS(RADIANS(Y365))*COS(RADIANS(PARADEROS_VALIDOS!$E$2:$E$68))*COS(RADIANS(PARADEROS_VALIDOS!$F$2:$F$68)-RADIANS(Z365))+SIN(RADIANS(Y365))*SIN(RADIANS(PARADEROS_VALIDOS!$E$2:$E$68)))),6371*ACOS(COS(RADIANS(Y365))*COS(RADIANS(PARADEROS_VALIDOS!$E$2:$E$68))*COS(RADIANS(PARADEROS_VALIDOS!$F$2:$F$68)-RADIANS(Z365))+SIN(RADIANS(Y365))*SIN(RADIANS(PARADEROS_VALIDOS!$E$2:$E$68))),0))</f>
        <v>Paradero Arco San Antonio</v>
      </c>
      <c r="AD365" s="2" t="str">
        <f>IFERROR(INDEX(PARADEROS_VALIDOS!$A$2:$A$68,MATCH(AC365,PARADEROS_VALIDOS!$C$2:$C$68,0)),"")</f>
        <v>RUTA 2</v>
      </c>
      <c r="AE365" s="33" cm="1">
        <f t="array" ref="AE365">ROUND(MIN(6371*ACOS(COS(RADIANS(Y365))*COS(RADIANS(PARADEROS_VALIDOS!$E$2:$E$68))*COS(RADIANS(PARADEROS_VALIDOS!$F$2:$F$68)-RADIANS(Z365))+SIN(RADIANS(Y365))*SIN(RADIANS(PARADEROS_VALIDOS!$E$2:$E$68)))),2)</f>
        <v>0.24</v>
      </c>
      <c r="AF365" s="2" t="str">
        <f t="shared" si="23"/>
        <v>🟢 Muy Cerca (0-1 km)</v>
      </c>
      <c r="AG365" s="2"/>
      <c r="AH365" s="2"/>
      <c r="AI365" s="51">
        <v>-11.997563</v>
      </c>
      <c r="AJ365" s="51">
        <v>-76.900062000000005</v>
      </c>
      <c r="AK365" s="2" t="str">
        <f>IFERROR(VLOOKUP(I365,tdcargo[],2,FALSE),"DESCONOCIDO")</f>
        <v>OPERARIO</v>
      </c>
    </row>
    <row r="366" spans="1:37" x14ac:dyDescent="0.35">
      <c r="A366" s="2" t="s">
        <v>1875</v>
      </c>
      <c r="B366" s="2" t="s">
        <v>1876</v>
      </c>
      <c r="C366" s="2" t="s">
        <v>709</v>
      </c>
      <c r="D366" s="2" t="s">
        <v>42</v>
      </c>
      <c r="E366" s="2">
        <v>40</v>
      </c>
      <c r="F366" s="2" t="s">
        <v>28</v>
      </c>
      <c r="G366" s="2" t="s">
        <v>29</v>
      </c>
      <c r="H366" s="2">
        <v>20515994</v>
      </c>
      <c r="I366" s="2" t="s">
        <v>307</v>
      </c>
      <c r="J366" s="3">
        <v>43122</v>
      </c>
      <c r="K366" s="2" t="s">
        <v>31</v>
      </c>
      <c r="L366" s="2" t="s">
        <v>164</v>
      </c>
      <c r="M366" s="2" t="s">
        <v>165</v>
      </c>
      <c r="N366" s="2" t="s">
        <v>34</v>
      </c>
      <c r="O366" s="2" t="s">
        <v>710</v>
      </c>
      <c r="P366" s="2" t="s">
        <v>186</v>
      </c>
      <c r="Q366" s="2" t="s">
        <v>1877</v>
      </c>
      <c r="R366" s="2">
        <v>15472</v>
      </c>
      <c r="S366" s="2" t="s">
        <v>37</v>
      </c>
      <c r="T366" s="2" t="s">
        <v>37</v>
      </c>
      <c r="U366" s="2" t="s">
        <v>118</v>
      </c>
      <c r="V366" s="3">
        <v>43122</v>
      </c>
      <c r="W366" s="2" t="s">
        <v>48</v>
      </c>
      <c r="X366" s="2" t="str">
        <f t="shared" si="20"/>
        <v>Avenida Las Retamas, Urb. Urbanización Vila Rica, Chaclacayo, Lima, Lima, Perú</v>
      </c>
      <c r="Y366" s="22">
        <v>-11.994483199999999</v>
      </c>
      <c r="Z366" s="22">
        <v>-76.828735499999993</v>
      </c>
      <c r="AA366" s="33">
        <f t="shared" si="21"/>
        <v>7.77</v>
      </c>
      <c r="AB366" s="2" t="str">
        <f t="shared" si="22"/>
        <v>🟡 Cerca (5-10 km)</v>
      </c>
      <c r="AC366" s="2" t="str" cm="1">
        <f t="array" ref="AC366">INDEX(PARADEROS_VALIDOS!$C$2:$C$68,MATCH(MIN(6371*ACOS(COS(RADIANS(Y366))*COS(RADIANS(PARADEROS_VALIDOS!$E$2:$E$68))*COS(RADIANS(PARADEROS_VALIDOS!$F$2:$F$68)-RADIANS(Z366))+SIN(RADIANS(Y366))*SIN(RADIANS(PARADEROS_VALIDOS!$E$2:$E$68)))),6371*ACOS(COS(RADIANS(Y366))*COS(RADIANS(PARADEROS_VALIDOS!$E$2:$E$68))*COS(RADIANS(PARADEROS_VALIDOS!$F$2:$F$68)-RADIANS(Z366))+SIN(RADIANS(Y366))*SIN(RADIANS(PARADEROS_VALIDOS!$E$2:$E$68))),0))</f>
        <v>Entrada Huaycán</v>
      </c>
      <c r="AD366" s="2" t="str">
        <f>IFERROR(INDEX(PARADEROS_VALIDOS!$A$2:$A$68,MATCH(AC366,PARADEROS_VALIDOS!$C$2:$C$68,0)),"")</f>
        <v>RUTA 5B</v>
      </c>
      <c r="AE366" s="33" cm="1">
        <f t="array" ref="AE366">ROUND(MIN(6371*ACOS(COS(RADIANS(Y366))*COS(RADIANS(PARADEROS_VALIDOS!$E$2:$E$68))*COS(RADIANS(PARADEROS_VALIDOS!$F$2:$F$68)-RADIANS(Z366))+SIN(RADIANS(Y366))*SIN(RADIANS(PARADEROS_VALIDOS!$E$2:$E$68)))),2)</f>
        <v>1.25</v>
      </c>
      <c r="AF366" s="2" t="str">
        <f t="shared" si="23"/>
        <v>🟡 Cerca (1-3 km)</v>
      </c>
      <c r="AG366" s="2"/>
      <c r="AH366" s="2"/>
      <c r="AI366" s="51">
        <v>-11.997563</v>
      </c>
      <c r="AJ366" s="51">
        <v>-76.900062000000005</v>
      </c>
      <c r="AK366" s="2" t="str">
        <f>IFERROR(VLOOKUP(I366,tdcargo[],2,FALSE),"DESCONOCIDO")</f>
        <v>OPERARIO</v>
      </c>
    </row>
    <row r="367" spans="1:37" x14ac:dyDescent="0.35">
      <c r="A367" s="2" t="s">
        <v>1878</v>
      </c>
      <c r="B367" s="2" t="s">
        <v>1879</v>
      </c>
      <c r="C367" s="2" t="s">
        <v>653</v>
      </c>
      <c r="D367" s="2" t="s">
        <v>1880</v>
      </c>
      <c r="E367" s="2">
        <v>21</v>
      </c>
      <c r="F367" s="2" t="s">
        <v>28</v>
      </c>
      <c r="G367" s="2" t="s">
        <v>29</v>
      </c>
      <c r="H367" s="2">
        <v>20514599</v>
      </c>
      <c r="I367" s="2" t="s">
        <v>30</v>
      </c>
      <c r="J367" s="3">
        <v>46100</v>
      </c>
      <c r="K367" s="2" t="s">
        <v>31</v>
      </c>
      <c r="L367" s="2" t="s">
        <v>132</v>
      </c>
      <c r="M367" s="2" t="s">
        <v>133</v>
      </c>
      <c r="N367" s="2" t="s">
        <v>82</v>
      </c>
      <c r="O367" s="2" t="s">
        <v>1881</v>
      </c>
      <c r="P367" s="2" t="s">
        <v>36</v>
      </c>
      <c r="Q367" s="2" t="s">
        <v>1882</v>
      </c>
      <c r="R367" s="2">
        <v>15401</v>
      </c>
      <c r="S367" s="2" t="s">
        <v>37</v>
      </c>
      <c r="T367" s="2" t="s">
        <v>37</v>
      </c>
      <c r="U367" s="2" t="s">
        <v>38</v>
      </c>
      <c r="V367" s="3">
        <v>46100</v>
      </c>
      <c r="W367" s="2" t="s">
        <v>135</v>
      </c>
      <c r="X367" s="2" t="str">
        <f t="shared" si="20"/>
        <v>Calle Cevilla SAN MIGUEL, San Juan De Lurigancho, Lima, Lima, Perú</v>
      </c>
      <c r="Y367" s="22">
        <v>-11.9638677</v>
      </c>
      <c r="Z367" s="22">
        <v>-76.983253700000006</v>
      </c>
      <c r="AA367" s="33">
        <f t="shared" si="21"/>
        <v>9.7899999999999991</v>
      </c>
      <c r="AB367" s="2" t="str">
        <f t="shared" si="22"/>
        <v>🟡 Cerca (5-10 km)</v>
      </c>
      <c r="AC367" s="2" t="str" cm="1">
        <f t="array" ref="AC367">INDEX(PARADEROS_VALIDOS!$C$2:$C$68,MATCH(MIN(6371*ACOS(COS(RADIANS(Y367))*COS(RADIANS(PARADEROS_VALIDOS!$E$2:$E$68))*COS(RADIANS(PARADEROS_VALIDOS!$F$2:$F$68)-RADIANS(Z367))+SIN(RADIANS(Y367))*SIN(RADIANS(PARADEROS_VALIDOS!$E$2:$E$68)))),6371*ACOS(COS(RADIANS(Y367))*COS(RADIANS(PARADEROS_VALIDOS!$E$2:$E$68))*COS(RADIANS(PARADEROS_VALIDOS!$F$2:$F$68)-RADIANS(Z367))+SIN(RADIANS(Y367))*SIN(RADIANS(PARADEROS_VALIDOS!$E$2:$E$68))),0))</f>
        <v>Paradero San Martin</v>
      </c>
      <c r="AD367" s="2" t="str">
        <f>IFERROR(INDEX(PARADEROS_VALIDOS!$A$2:$A$68,MATCH(AC367,PARADEROS_VALIDOS!$C$2:$C$68,0)),"")</f>
        <v>RUTA 6A</v>
      </c>
      <c r="AE367" s="33" cm="1">
        <f t="array" ref="AE367">ROUND(MIN(6371*ACOS(COS(RADIANS(Y367))*COS(RADIANS(PARADEROS_VALIDOS!$E$2:$E$68))*COS(RADIANS(PARADEROS_VALIDOS!$F$2:$F$68)-RADIANS(Z367))+SIN(RADIANS(Y367))*SIN(RADIANS(PARADEROS_VALIDOS!$E$2:$E$68)))),2)</f>
        <v>2.2200000000000002</v>
      </c>
      <c r="AF367" s="2" t="str">
        <f t="shared" si="23"/>
        <v>🟡 Cerca (1-3 km)</v>
      </c>
      <c r="AG367" s="2"/>
      <c r="AH367" s="2"/>
      <c r="AI367" s="51">
        <v>-11.997563</v>
      </c>
      <c r="AJ367" s="51">
        <v>-76.900062000000005</v>
      </c>
      <c r="AK367" s="2" t="str">
        <f>IFERROR(VLOOKUP(I367,tdcargo[],2,FALSE),"DESCONOCIDO")</f>
        <v>OPERARIO</v>
      </c>
    </row>
    <row r="368" spans="1:37" x14ac:dyDescent="0.35">
      <c r="A368" s="2" t="s">
        <v>1883</v>
      </c>
      <c r="B368" s="2" t="s">
        <v>1884</v>
      </c>
      <c r="C368" s="2" t="s">
        <v>415</v>
      </c>
      <c r="D368" s="2" t="s">
        <v>1885</v>
      </c>
      <c r="E368" s="2">
        <v>38</v>
      </c>
      <c r="F368" s="2" t="s">
        <v>28</v>
      </c>
      <c r="G368" s="2" t="s">
        <v>29</v>
      </c>
      <c r="H368" s="2">
        <v>20510608</v>
      </c>
      <c r="I368" s="2" t="s">
        <v>62</v>
      </c>
      <c r="J368" s="3">
        <v>45113</v>
      </c>
      <c r="K368" s="2" t="s">
        <v>31</v>
      </c>
      <c r="L368" s="2" t="s">
        <v>32</v>
      </c>
      <c r="M368" s="2" t="s">
        <v>33</v>
      </c>
      <c r="N368" s="2" t="s">
        <v>36</v>
      </c>
      <c r="O368" s="2" t="s">
        <v>1886</v>
      </c>
      <c r="P368" s="2" t="s">
        <v>36</v>
      </c>
      <c r="Q368" s="2" t="s">
        <v>580</v>
      </c>
      <c r="R368" s="2">
        <v>15004</v>
      </c>
      <c r="S368" s="2" t="s">
        <v>37</v>
      </c>
      <c r="T368" s="2" t="s">
        <v>37</v>
      </c>
      <c r="U368" s="2" t="s">
        <v>57</v>
      </c>
      <c r="V368" s="3">
        <v>45113</v>
      </c>
      <c r="W368" s="2" t="s">
        <v>48</v>
      </c>
      <c r="X368" s="2" t="str">
        <f t="shared" si="20"/>
        <v>Asociacion 13 De Febrero| Santa Clara, Ate, Lima, Lima, Perú</v>
      </c>
      <c r="Y368" s="22">
        <v>-12.020955900000001</v>
      </c>
      <c r="Z368" s="22">
        <v>-76.889210599999998</v>
      </c>
      <c r="AA368" s="33">
        <f t="shared" si="21"/>
        <v>2.86</v>
      </c>
      <c r="AB368" s="2" t="str">
        <f t="shared" si="22"/>
        <v>🟢 Muy Cerca (0-5 km)</v>
      </c>
      <c r="AC368" s="2" t="str" cm="1">
        <f t="array" ref="AC368">INDEX(PARADEROS_VALIDOS!$C$2:$C$68,MATCH(MIN(6371*ACOS(COS(RADIANS(Y368))*COS(RADIANS(PARADEROS_VALIDOS!$E$2:$E$68))*COS(RADIANS(PARADEROS_VALIDOS!$F$2:$F$68)-RADIANS(Z368))+SIN(RADIANS(Y368))*SIN(RADIANS(PARADEROS_VALIDOS!$E$2:$E$68)))),6371*ACOS(COS(RADIANS(Y368))*COS(RADIANS(PARADEROS_VALIDOS!$E$2:$E$68))*COS(RADIANS(PARADEROS_VALIDOS!$F$2:$F$68)-RADIANS(Z368))+SIN(RADIANS(Y368))*SIN(RADIANS(PARADEROS_VALIDOS!$E$2:$E$68))),0))</f>
        <v>Paradero Sta. Clara</v>
      </c>
      <c r="AD368" s="2" t="str">
        <f>IFERROR(INDEX(PARADEROS_VALIDOS!$A$2:$A$68,MATCH(AC368,PARADEROS_VALIDOS!$C$2:$C$68,0)),"")</f>
        <v>RUTA 5C</v>
      </c>
      <c r="AE368" s="33" cm="1">
        <f t="array" ref="AE368">ROUND(MIN(6371*ACOS(COS(RADIANS(Y368))*COS(RADIANS(PARADEROS_VALIDOS!$E$2:$E$68))*COS(RADIANS(PARADEROS_VALIDOS!$F$2:$F$68)-RADIANS(Z368))+SIN(RADIANS(Y368))*SIN(RADIANS(PARADEROS_VALIDOS!$E$2:$E$68)))),2)</f>
        <v>0.81</v>
      </c>
      <c r="AF368" s="2" t="str">
        <f t="shared" si="23"/>
        <v>🟢 Muy Cerca (0-1 km)</v>
      </c>
      <c r="AG368" s="2"/>
      <c r="AH368" s="2"/>
      <c r="AI368" s="51">
        <v>-11.997563</v>
      </c>
      <c r="AJ368" s="51">
        <v>-76.900062000000005</v>
      </c>
      <c r="AK368" s="2" t="str">
        <f>IFERROR(VLOOKUP(I368,tdcargo[],2,FALSE),"DESCONOCIDO")</f>
        <v>OPERARIO</v>
      </c>
    </row>
    <row r="369" spans="1:37" x14ac:dyDescent="0.35">
      <c r="A369" s="2" t="s">
        <v>1887</v>
      </c>
      <c r="B369" s="2" t="s">
        <v>832</v>
      </c>
      <c r="C369" s="2" t="s">
        <v>1888</v>
      </c>
      <c r="D369" s="2" t="s">
        <v>1889</v>
      </c>
      <c r="E369" s="2">
        <v>29</v>
      </c>
      <c r="F369" s="2" t="s">
        <v>28</v>
      </c>
      <c r="G369" s="2" t="s">
        <v>29</v>
      </c>
      <c r="H369" s="2">
        <v>20508791</v>
      </c>
      <c r="I369" s="2" t="s">
        <v>30</v>
      </c>
      <c r="J369" s="3">
        <v>46034</v>
      </c>
      <c r="K369" s="2" t="s">
        <v>31</v>
      </c>
      <c r="L369" s="2" t="s">
        <v>100</v>
      </c>
      <c r="M369" s="2" t="s">
        <v>101</v>
      </c>
      <c r="N369" s="2" t="s">
        <v>34</v>
      </c>
      <c r="O369" s="2" t="s">
        <v>1890</v>
      </c>
      <c r="P369" s="2" t="s">
        <v>36</v>
      </c>
      <c r="Q369" s="2"/>
      <c r="R369" s="2">
        <v>15004</v>
      </c>
      <c r="S369" s="2" t="s">
        <v>37</v>
      </c>
      <c r="T369" s="2" t="s">
        <v>37</v>
      </c>
      <c r="U369" s="2" t="s">
        <v>57</v>
      </c>
      <c r="V369" s="3">
        <v>46034</v>
      </c>
      <c r="W369" s="2" t="s">
        <v>135</v>
      </c>
      <c r="X369" s="2" t="str">
        <f t="shared" si="20"/>
        <v>Avenida 177 Lote 22 Zona N, Ate, Lima, Lima, Perú</v>
      </c>
      <c r="Y369" s="22">
        <v>-12.0011095</v>
      </c>
      <c r="Z369" s="22">
        <v>-76.835663600000004</v>
      </c>
      <c r="AA369" s="33">
        <f t="shared" si="21"/>
        <v>7.02</v>
      </c>
      <c r="AB369" s="2" t="str">
        <f t="shared" si="22"/>
        <v>🟡 Cerca (5-10 km)</v>
      </c>
      <c r="AC369" s="2" t="str" cm="1">
        <f t="array" ref="AC369">INDEX(PARADEROS_VALIDOS!$C$2:$C$68,MATCH(MIN(6371*ACOS(COS(RADIANS(Y369))*COS(RADIANS(PARADEROS_VALIDOS!$E$2:$E$68))*COS(RADIANS(PARADEROS_VALIDOS!$F$2:$F$68)-RADIANS(Z369))+SIN(RADIANS(Y369))*SIN(RADIANS(PARADEROS_VALIDOS!$E$2:$E$68)))),6371*ACOS(COS(RADIANS(Y369))*COS(RADIANS(PARADEROS_VALIDOS!$E$2:$E$68))*COS(RADIANS(PARADEROS_VALIDOS!$F$2:$F$68)-RADIANS(Z369))+SIN(RADIANS(Y369))*SIN(RADIANS(PARADEROS_VALIDOS!$E$2:$E$68))),0))</f>
        <v>Entrada Huaycán</v>
      </c>
      <c r="AD369" s="2" t="str">
        <f>IFERROR(INDEX(PARADEROS_VALIDOS!$A$2:$A$68,MATCH(AC369,PARADEROS_VALIDOS!$C$2:$C$68,0)),"")</f>
        <v>RUTA 5B</v>
      </c>
      <c r="AE369" s="33" cm="1">
        <f t="array" ref="AE369">ROUND(MIN(6371*ACOS(COS(RADIANS(Y369))*COS(RADIANS(PARADEROS_VALIDOS!$E$2:$E$68))*COS(RADIANS(PARADEROS_VALIDOS!$F$2:$F$68)-RADIANS(Z369))+SIN(RADIANS(Y369))*SIN(RADIANS(PARADEROS_VALIDOS!$E$2:$E$68)))),2)</f>
        <v>0.32</v>
      </c>
      <c r="AF369" s="2" t="str">
        <f t="shared" si="23"/>
        <v>🟢 Muy Cerca (0-1 km)</v>
      </c>
      <c r="AG369" s="2"/>
      <c r="AH369" s="2"/>
      <c r="AI369" s="51">
        <v>-11.997563</v>
      </c>
      <c r="AJ369" s="51">
        <v>-76.900062000000005</v>
      </c>
      <c r="AK369" s="2" t="str">
        <f>IFERROR(VLOOKUP(I369,tdcargo[],2,FALSE),"DESCONOCIDO")</f>
        <v>OPERARIO</v>
      </c>
    </row>
    <row r="370" spans="1:37" x14ac:dyDescent="0.35">
      <c r="A370" s="2" t="s">
        <v>1891</v>
      </c>
      <c r="B370" s="2" t="s">
        <v>1892</v>
      </c>
      <c r="C370" s="2" t="s">
        <v>1893</v>
      </c>
      <c r="D370" s="2" t="s">
        <v>87</v>
      </c>
      <c r="E370" s="2">
        <v>35</v>
      </c>
      <c r="F370" s="2" t="s">
        <v>28</v>
      </c>
      <c r="G370" s="2" t="s">
        <v>29</v>
      </c>
      <c r="H370" s="2">
        <v>20509021</v>
      </c>
      <c r="I370" s="2" t="s">
        <v>372</v>
      </c>
      <c r="J370" s="3">
        <v>45761</v>
      </c>
      <c r="K370" s="2" t="s">
        <v>31</v>
      </c>
      <c r="L370" s="2" t="s">
        <v>373</v>
      </c>
      <c r="M370" s="2" t="s">
        <v>374</v>
      </c>
      <c r="N370" s="2" t="s">
        <v>36</v>
      </c>
      <c r="O370" s="2" t="s">
        <v>458</v>
      </c>
      <c r="P370" s="2" t="s">
        <v>36</v>
      </c>
      <c r="Q370" s="2" t="s">
        <v>458</v>
      </c>
      <c r="R370" s="2">
        <v>15457</v>
      </c>
      <c r="S370" s="2" t="s">
        <v>37</v>
      </c>
      <c r="T370" s="2" t="s">
        <v>37</v>
      </c>
      <c r="U370" s="2" t="s">
        <v>76</v>
      </c>
      <c r="V370" s="3">
        <v>45761</v>
      </c>
      <c r="W370" s="2" t="s">
        <v>39</v>
      </c>
      <c r="X370" s="2" t="str">
        <f t="shared" si="20"/>
        <v>San Antonio De Carapongo San Antonio De Carapongo, Lurigancho, Lima, Lima, Perú</v>
      </c>
      <c r="Y370" s="22">
        <v>-12.003313</v>
      </c>
      <c r="Z370" s="22">
        <v>-76.8745543</v>
      </c>
      <c r="AA370" s="33">
        <f t="shared" si="21"/>
        <v>2.85</v>
      </c>
      <c r="AB370" s="2" t="str">
        <f t="shared" si="22"/>
        <v>🟢 Muy Cerca (0-5 km)</v>
      </c>
      <c r="AC370" s="2" t="str" cm="1">
        <f t="array" ref="AC370">INDEX(PARADEROS_VALIDOS!$C$2:$C$68,MATCH(MIN(6371*ACOS(COS(RADIANS(Y370))*COS(RADIANS(PARADEROS_VALIDOS!$E$2:$E$68))*COS(RADIANS(PARADEROS_VALIDOS!$F$2:$F$68)-RADIANS(Z370))+SIN(RADIANS(Y370))*SIN(RADIANS(PARADEROS_VALIDOS!$E$2:$E$68)))),6371*ACOS(COS(RADIANS(Y370))*COS(RADIANS(PARADEROS_VALIDOS!$E$2:$E$68))*COS(RADIANS(PARADEROS_VALIDOS!$F$2:$F$68)-RADIANS(Z370))+SIN(RADIANS(Y370))*SIN(RADIANS(PARADEROS_VALIDOS!$E$2:$E$68))),0))</f>
        <v>Paradero la Cruz</v>
      </c>
      <c r="AD370" s="2" t="str">
        <f>IFERROR(INDEX(PARADEROS_VALIDOS!$A$2:$A$68,MATCH(AC370,PARADEROS_VALIDOS!$C$2:$C$68,0)),"")</f>
        <v>RUTA 4B</v>
      </c>
      <c r="AE370" s="33" cm="1">
        <f t="array" ref="AE370">ROUND(MIN(6371*ACOS(COS(RADIANS(Y370))*COS(RADIANS(PARADEROS_VALIDOS!$E$2:$E$68))*COS(RADIANS(PARADEROS_VALIDOS!$F$2:$F$68)-RADIANS(Z370))+SIN(RADIANS(Y370))*SIN(RADIANS(PARADEROS_VALIDOS!$E$2:$E$68)))),2)</f>
        <v>1.71</v>
      </c>
      <c r="AF370" s="2" t="str">
        <f t="shared" si="23"/>
        <v>🟡 Cerca (1-3 km)</v>
      </c>
      <c r="AG370" s="2"/>
      <c r="AH370" s="2"/>
      <c r="AI370" s="51">
        <v>-11.997563</v>
      </c>
      <c r="AJ370" s="51">
        <v>-76.900062000000005</v>
      </c>
      <c r="AK370" s="2" t="str">
        <f>IFERROR(VLOOKUP(I370,tdcargo[],2,FALSE),"DESCONOCIDO")</f>
        <v>OPERARIO</v>
      </c>
    </row>
    <row r="371" spans="1:37" x14ac:dyDescent="0.35">
      <c r="A371" s="2" t="s">
        <v>1894</v>
      </c>
      <c r="B371" s="2" t="s">
        <v>1895</v>
      </c>
      <c r="C371" s="2" t="s">
        <v>191</v>
      </c>
      <c r="D371" s="2" t="s">
        <v>1896</v>
      </c>
      <c r="E371" s="2">
        <v>29</v>
      </c>
      <c r="F371" s="2" t="s">
        <v>28</v>
      </c>
      <c r="G371" s="2" t="s">
        <v>29</v>
      </c>
      <c r="H371" s="2">
        <v>20508862</v>
      </c>
      <c r="I371" s="2" t="s">
        <v>30</v>
      </c>
      <c r="J371" s="3">
        <v>45194</v>
      </c>
      <c r="K371" s="2" t="s">
        <v>31</v>
      </c>
      <c r="L371" s="2" t="s">
        <v>164</v>
      </c>
      <c r="M371" s="2" t="s">
        <v>165</v>
      </c>
      <c r="N371" s="2" t="s">
        <v>36</v>
      </c>
      <c r="O371" s="2" t="s">
        <v>1897</v>
      </c>
      <c r="P371" s="2" t="s">
        <v>36</v>
      </c>
      <c r="Q371" s="2" t="s">
        <v>1017</v>
      </c>
      <c r="R371" s="2">
        <v>15457</v>
      </c>
      <c r="S371" s="2" t="s">
        <v>37</v>
      </c>
      <c r="T371" s="2" t="s">
        <v>37</v>
      </c>
      <c r="U371" s="2" t="s">
        <v>76</v>
      </c>
      <c r="V371" s="3">
        <v>45194</v>
      </c>
      <c r="W371" s="2" t="s">
        <v>48</v>
      </c>
      <c r="X371" s="2" t="str">
        <f t="shared" si="20"/>
        <v>Asoc. Nuevo Amanecer Cajamarquilla, Lurigancho, Lima, Lima, Perú</v>
      </c>
      <c r="Y371" s="22">
        <v>-11.9945503</v>
      </c>
      <c r="Z371" s="22">
        <v>-76.902360599999994</v>
      </c>
      <c r="AA371" s="33">
        <f t="shared" si="21"/>
        <v>0.42</v>
      </c>
      <c r="AB371" s="2" t="str">
        <f t="shared" si="22"/>
        <v>🟢 Muy Cerca (0-5 km)</v>
      </c>
      <c r="AC371" s="2" t="str" cm="1">
        <f t="array" ref="AC371">INDEX(PARADEROS_VALIDOS!$C$2:$C$68,MATCH(MIN(6371*ACOS(COS(RADIANS(Y371))*COS(RADIANS(PARADEROS_VALIDOS!$E$2:$E$68))*COS(RADIANS(PARADEROS_VALIDOS!$F$2:$F$68)-RADIANS(Z371))+SIN(RADIANS(Y371))*SIN(RADIANS(PARADEROS_VALIDOS!$E$2:$E$68)))),6371*ACOS(COS(RADIANS(Y371))*COS(RADIANS(PARADEROS_VALIDOS!$E$2:$E$68))*COS(RADIANS(PARADEROS_VALIDOS!$F$2:$F$68)-RADIANS(Z371))+SIN(RADIANS(Y371))*SIN(RADIANS(PARADEROS_VALIDOS!$E$2:$E$68))),0))</f>
        <v>Paradero Arco San Antonio</v>
      </c>
      <c r="AD371" s="2" t="str">
        <f>IFERROR(INDEX(PARADEROS_VALIDOS!$A$2:$A$68,MATCH(AC371,PARADEROS_VALIDOS!$C$2:$C$68,0)),"")</f>
        <v>RUTA 2</v>
      </c>
      <c r="AE371" s="33" cm="1">
        <f t="array" ref="AE371">ROUND(MIN(6371*ACOS(COS(RADIANS(Y371))*COS(RADIANS(PARADEROS_VALIDOS!$E$2:$E$68))*COS(RADIANS(PARADEROS_VALIDOS!$F$2:$F$68)-RADIANS(Z371))+SIN(RADIANS(Y371))*SIN(RADIANS(PARADEROS_VALIDOS!$E$2:$E$68)))),2)</f>
        <v>0.14000000000000001</v>
      </c>
      <c r="AF371" s="2" t="str">
        <f t="shared" si="23"/>
        <v>🟢 Muy Cerca (0-1 km)</v>
      </c>
      <c r="AG371" s="2"/>
      <c r="AH371" s="2"/>
      <c r="AI371" s="51">
        <v>-11.997563</v>
      </c>
      <c r="AJ371" s="51">
        <v>-76.900062000000005</v>
      </c>
      <c r="AK371" s="2" t="str">
        <f>IFERROR(VLOOKUP(I371,tdcargo[],2,FALSE),"DESCONOCIDO")</f>
        <v>OPERARIO</v>
      </c>
    </row>
    <row r="372" spans="1:37" x14ac:dyDescent="0.35">
      <c r="A372" s="2" t="s">
        <v>1898</v>
      </c>
      <c r="B372" s="2" t="s">
        <v>1899</v>
      </c>
      <c r="C372" s="2" t="s">
        <v>241</v>
      </c>
      <c r="D372" s="2" t="s">
        <v>1900</v>
      </c>
      <c r="E372" s="2">
        <v>47</v>
      </c>
      <c r="F372" s="2" t="s">
        <v>28</v>
      </c>
      <c r="G372" s="2" t="s">
        <v>29</v>
      </c>
      <c r="H372" s="2">
        <v>20515631</v>
      </c>
      <c r="I372" s="2" t="s">
        <v>62</v>
      </c>
      <c r="J372" s="3">
        <v>44469</v>
      </c>
      <c r="K372" s="2" t="s">
        <v>31</v>
      </c>
      <c r="L372" s="2" t="s">
        <v>164</v>
      </c>
      <c r="M372" s="2" t="s">
        <v>165</v>
      </c>
      <c r="N372" s="2" t="s">
        <v>36</v>
      </c>
      <c r="O372" s="2" t="s">
        <v>1438</v>
      </c>
      <c r="P372" s="2" t="s">
        <v>36</v>
      </c>
      <c r="Q372" s="2" t="s">
        <v>1901</v>
      </c>
      <c r="R372" s="2">
        <v>15510</v>
      </c>
      <c r="S372" s="2" t="s">
        <v>37</v>
      </c>
      <c r="T372" s="2" t="s">
        <v>195</v>
      </c>
      <c r="U372" s="2" t="s">
        <v>196</v>
      </c>
      <c r="V372" s="3">
        <v>44469</v>
      </c>
      <c r="W372" s="2" t="s">
        <v>48</v>
      </c>
      <c r="X372" s="2" t="str">
        <f t="shared" si="20"/>
        <v>Micaela Bastidas Los Chasquis, San Antonio, Huarochiri, Lima, Perú</v>
      </c>
      <c r="Y372" s="22">
        <v>-11.973910800000001</v>
      </c>
      <c r="Z372" s="22">
        <v>-76.935378799999995</v>
      </c>
      <c r="AA372" s="33">
        <f t="shared" si="21"/>
        <v>4.66</v>
      </c>
      <c r="AB372" s="2" t="str">
        <f t="shared" si="22"/>
        <v>🟢 Muy Cerca (0-5 km)</v>
      </c>
      <c r="AC372" s="2" t="str" cm="1">
        <f t="array" ref="AC372">INDEX(PARADEROS_VALIDOS!$C$2:$C$68,MATCH(MIN(6371*ACOS(COS(RADIANS(Y372))*COS(RADIANS(PARADEROS_VALIDOS!$E$2:$E$68))*COS(RADIANS(PARADEROS_VALIDOS!$F$2:$F$68)-RADIANS(Z372))+SIN(RADIANS(Y372))*SIN(RADIANS(PARADEROS_VALIDOS!$E$2:$E$68)))),6371*ACOS(COS(RADIANS(Y372))*COS(RADIANS(PARADEROS_VALIDOS!$E$2:$E$68))*COS(RADIANS(PARADEROS_VALIDOS!$F$2:$F$68)-RADIANS(Z372))+SIN(RADIANS(Y372))*SIN(RADIANS(PARADEROS_VALIDOS!$E$2:$E$68))),0))</f>
        <v>Paradero Arco San Antonio</v>
      </c>
      <c r="AD372" s="2" t="str">
        <f>IFERROR(INDEX(PARADEROS_VALIDOS!$A$2:$A$68,MATCH(AC372,PARADEROS_VALIDOS!$C$2:$C$68,0)),"")</f>
        <v>RUTA 2</v>
      </c>
      <c r="AE372" s="33" cm="1">
        <f t="array" ref="AE372">ROUND(MIN(6371*ACOS(COS(RADIANS(Y372))*COS(RADIANS(PARADEROS_VALIDOS!$E$2:$E$68))*COS(RADIANS(PARADEROS_VALIDOS!$F$2:$F$68)-RADIANS(Z372))+SIN(RADIANS(Y372))*SIN(RADIANS(PARADEROS_VALIDOS!$E$2:$E$68)))),2)</f>
        <v>4.13</v>
      </c>
      <c r="AF372" s="2" t="str">
        <f t="shared" si="23"/>
        <v>🟠 Moderada (3-5 km)</v>
      </c>
      <c r="AG372" s="2"/>
      <c r="AH372" s="2"/>
      <c r="AI372" s="51">
        <v>-11.997563</v>
      </c>
      <c r="AJ372" s="51">
        <v>-76.900062000000005</v>
      </c>
      <c r="AK372" s="2" t="str">
        <f>IFERROR(VLOOKUP(I372,tdcargo[],2,FALSE),"DESCONOCIDO")</f>
        <v>OPERARIO</v>
      </c>
    </row>
    <row r="373" spans="1:37" x14ac:dyDescent="0.35">
      <c r="A373" s="2" t="s">
        <v>1902</v>
      </c>
      <c r="B373" s="2" t="s">
        <v>1903</v>
      </c>
      <c r="C373" s="2" t="s">
        <v>451</v>
      </c>
      <c r="D373" s="2" t="s">
        <v>1904</v>
      </c>
      <c r="E373" s="2">
        <v>26</v>
      </c>
      <c r="F373" s="2" t="s">
        <v>28</v>
      </c>
      <c r="G373" s="2" t="s">
        <v>29</v>
      </c>
      <c r="H373" s="2">
        <v>20508816</v>
      </c>
      <c r="I373" s="2" t="s">
        <v>30</v>
      </c>
      <c r="J373" s="3">
        <v>45901</v>
      </c>
      <c r="K373" s="2" t="s">
        <v>31</v>
      </c>
      <c r="L373" s="2" t="s">
        <v>108</v>
      </c>
      <c r="M373" s="2" t="s">
        <v>109</v>
      </c>
      <c r="N373" s="2" t="s">
        <v>36</v>
      </c>
      <c r="O373" s="2" t="s">
        <v>1905</v>
      </c>
      <c r="P373" s="2" t="s">
        <v>36</v>
      </c>
      <c r="Q373" s="2" t="s">
        <v>1906</v>
      </c>
      <c r="R373" s="2">
        <v>15004</v>
      </c>
      <c r="S373" s="2" t="s">
        <v>37</v>
      </c>
      <c r="T373" s="2" t="s">
        <v>37</v>
      </c>
      <c r="U373" s="2" t="s">
        <v>57</v>
      </c>
      <c r="V373" s="3">
        <v>45901</v>
      </c>
      <c r="W373" s="2" t="s">
        <v>39</v>
      </c>
      <c r="X373" s="2" t="str">
        <f t="shared" si="20"/>
        <v>Ucv 192 Zona P, Ate, Lima, Lima, Perú</v>
      </c>
      <c r="Y373" s="22">
        <v>-12.010109</v>
      </c>
      <c r="Z373" s="22">
        <v>-76.827872200000002</v>
      </c>
      <c r="AA373" s="33">
        <f t="shared" si="21"/>
        <v>7.97</v>
      </c>
      <c r="AB373" s="2" t="str">
        <f t="shared" si="22"/>
        <v>🟡 Cerca (5-10 km)</v>
      </c>
      <c r="AC373" s="2" t="str" cm="1">
        <f t="array" ref="AC373">INDEX(PARADEROS_VALIDOS!$C$2:$C$68,MATCH(MIN(6371*ACOS(COS(RADIANS(Y373))*COS(RADIANS(PARADEROS_VALIDOS!$E$2:$E$68))*COS(RADIANS(PARADEROS_VALIDOS!$F$2:$F$68)-RADIANS(Z373))+SIN(RADIANS(Y373))*SIN(RADIANS(PARADEROS_VALIDOS!$E$2:$E$68)))),6371*ACOS(COS(RADIANS(Y373))*COS(RADIANS(PARADEROS_VALIDOS!$E$2:$E$68))*COS(RADIANS(PARADEROS_VALIDOS!$F$2:$F$68)-RADIANS(Z373))+SIN(RADIANS(Y373))*SIN(RADIANS(PARADEROS_VALIDOS!$E$2:$E$68))),0))</f>
        <v>Entrada Horacio</v>
      </c>
      <c r="AD373" s="2" t="str">
        <f>IFERROR(INDEX(PARADEROS_VALIDOS!$A$2:$A$68,MATCH(AC373,PARADEROS_VALIDOS!$C$2:$C$68,0)),"")</f>
        <v>RUTA 5B</v>
      </c>
      <c r="AE373" s="33" cm="1">
        <f t="array" ref="AE373">ROUND(MIN(6371*ACOS(COS(RADIANS(Y373))*COS(RADIANS(PARADEROS_VALIDOS!$E$2:$E$68))*COS(RADIANS(PARADEROS_VALIDOS!$F$2:$F$68)-RADIANS(Z373))+SIN(RADIANS(Y373))*SIN(RADIANS(PARADEROS_VALIDOS!$E$2:$E$68)))),2)</f>
        <v>1.55</v>
      </c>
      <c r="AF373" s="2" t="str">
        <f t="shared" si="23"/>
        <v>🟡 Cerca (1-3 km)</v>
      </c>
      <c r="AG373" s="2"/>
      <c r="AH373" s="2"/>
      <c r="AI373" s="51">
        <v>-11.997563</v>
      </c>
      <c r="AJ373" s="51">
        <v>-76.900062000000005</v>
      </c>
      <c r="AK373" s="2" t="str">
        <f>IFERROR(VLOOKUP(I373,tdcargo[],2,FALSE),"DESCONOCIDO")</f>
        <v>OPERARIO</v>
      </c>
    </row>
    <row r="374" spans="1:37" x14ac:dyDescent="0.35">
      <c r="A374" s="2" t="s">
        <v>1907</v>
      </c>
      <c r="B374" s="2" t="s">
        <v>1908</v>
      </c>
      <c r="C374" s="2" t="s">
        <v>230</v>
      </c>
      <c r="D374" s="2" t="s">
        <v>467</v>
      </c>
      <c r="E374" s="2">
        <v>30</v>
      </c>
      <c r="F374" s="2" t="s">
        <v>28</v>
      </c>
      <c r="G374" s="2" t="s">
        <v>29</v>
      </c>
      <c r="H374" s="2">
        <v>20510579</v>
      </c>
      <c r="I374" s="2" t="s">
        <v>30</v>
      </c>
      <c r="J374" s="3">
        <v>46055</v>
      </c>
      <c r="K374" s="2" t="s">
        <v>31</v>
      </c>
      <c r="L374" s="2" t="s">
        <v>100</v>
      </c>
      <c r="M374" s="2" t="s">
        <v>101</v>
      </c>
      <c r="N374" s="2" t="s">
        <v>82</v>
      </c>
      <c r="O374" s="2" t="s">
        <v>1909</v>
      </c>
      <c r="P374" s="2" t="s">
        <v>88</v>
      </c>
      <c r="Q374" s="2" t="s">
        <v>1910</v>
      </c>
      <c r="R374" s="2">
        <v>15457</v>
      </c>
      <c r="S374" s="2" t="s">
        <v>37</v>
      </c>
      <c r="T374" s="2" t="s">
        <v>37</v>
      </c>
      <c r="U374" s="2" t="s">
        <v>76</v>
      </c>
      <c r="V374" s="3">
        <v>46055</v>
      </c>
      <c r="W374" s="2" t="s">
        <v>135</v>
      </c>
      <c r="X374" s="2" t="str">
        <f t="shared" si="20"/>
        <v>Calle Aa.Hh. Las Praderas, A.H. Asentamiento Humano HUACHIPA, Lurigancho, Lima, Lima, Perú</v>
      </c>
      <c r="Y374" s="22">
        <v>-12.014094699999999</v>
      </c>
      <c r="Z374" s="22">
        <v>-76.916338100000004</v>
      </c>
      <c r="AA374" s="33">
        <f t="shared" si="21"/>
        <v>2.5499999999999998</v>
      </c>
      <c r="AB374" s="2" t="str">
        <f t="shared" si="22"/>
        <v>🟢 Muy Cerca (0-5 km)</v>
      </c>
      <c r="AC374" s="2" t="str" cm="1">
        <f t="array" ref="AC374">INDEX(PARADEROS_VALIDOS!$C$2:$C$68,MATCH(MIN(6371*ACOS(COS(RADIANS(Y374))*COS(RADIANS(PARADEROS_VALIDOS!$E$2:$E$68))*COS(RADIANS(PARADEROS_VALIDOS!$F$2:$F$68)-RADIANS(Z374))+SIN(RADIANS(Y374))*SIN(RADIANS(PARADEROS_VALIDOS!$E$2:$E$68)))),6371*ACOS(COS(RADIANS(Y374))*COS(RADIANS(PARADEROS_VALIDOS!$E$2:$E$68))*COS(RADIANS(PARADEROS_VALIDOS!$F$2:$F$68)-RADIANS(Z374))+SIN(RADIANS(Y374))*SIN(RADIANS(PARADEROS_VALIDOS!$E$2:$E$68))),0))</f>
        <v>Estadio Huachipa</v>
      </c>
      <c r="AD374" s="2" t="str">
        <f>IFERROR(INDEX(PARADEROS_VALIDOS!$A$2:$A$68,MATCH(AC374,PARADEROS_VALIDOS!$C$2:$C$68,0)),"")</f>
        <v>RUTA 5C</v>
      </c>
      <c r="AE374" s="33" cm="1">
        <f t="array" ref="AE374">ROUND(MIN(6371*ACOS(COS(RADIANS(Y374))*COS(RADIANS(PARADEROS_VALIDOS!$E$2:$E$68))*COS(RADIANS(PARADEROS_VALIDOS!$F$2:$F$68)-RADIANS(Z374))+SIN(RADIANS(Y374))*SIN(RADIANS(PARADEROS_VALIDOS!$E$2:$E$68)))),2)</f>
        <v>0</v>
      </c>
      <c r="AF374" s="2" t="str">
        <f t="shared" si="23"/>
        <v>🟢 Muy Cerca (0-1 km)</v>
      </c>
      <c r="AG374" s="2"/>
      <c r="AH374" s="2"/>
      <c r="AI374" s="51">
        <v>-11.997563</v>
      </c>
      <c r="AJ374" s="51">
        <v>-76.900062000000005</v>
      </c>
      <c r="AK374" s="2" t="str">
        <f>IFERROR(VLOOKUP(I374,tdcargo[],2,FALSE),"DESCONOCIDO")</f>
        <v>OPERARIO</v>
      </c>
    </row>
    <row r="375" spans="1:37" x14ac:dyDescent="0.35">
      <c r="A375" s="2" t="s">
        <v>1326</v>
      </c>
      <c r="B375" s="2" t="s">
        <v>628</v>
      </c>
      <c r="C375" s="2" t="s">
        <v>199</v>
      </c>
      <c r="D375" s="2" t="s">
        <v>452</v>
      </c>
      <c r="E375" s="2">
        <v>47</v>
      </c>
      <c r="F375" s="2" t="s">
        <v>28</v>
      </c>
      <c r="G375" s="2" t="s">
        <v>29</v>
      </c>
      <c r="H375" s="2">
        <v>20508930</v>
      </c>
      <c r="I375" s="2" t="s">
        <v>1911</v>
      </c>
      <c r="J375" s="3">
        <v>42359</v>
      </c>
      <c r="K375" s="2" t="s">
        <v>31</v>
      </c>
      <c r="L375" s="2" t="s">
        <v>183</v>
      </c>
      <c r="M375" s="2" t="s">
        <v>184</v>
      </c>
      <c r="N375" s="2" t="s">
        <v>82</v>
      </c>
      <c r="O375" s="2" t="s">
        <v>1912</v>
      </c>
      <c r="P375" s="2" t="s">
        <v>36</v>
      </c>
      <c r="Q375" s="2" t="s">
        <v>46</v>
      </c>
      <c r="R375" s="2">
        <v>7001</v>
      </c>
      <c r="S375" s="2" t="s">
        <v>872</v>
      </c>
      <c r="T375" s="2" t="s">
        <v>873</v>
      </c>
      <c r="U375" s="2" t="s">
        <v>873</v>
      </c>
      <c r="V375" s="3">
        <v>42359</v>
      </c>
      <c r="W375" s="2" t="s">
        <v>48</v>
      </c>
      <c r="X375" s="2" t="str">
        <f t="shared" si="20"/>
        <v>Calle Marquez, Callao, Callao, Const. Del Callao, Perú</v>
      </c>
      <c r="Y375" s="22">
        <v>-12.060362899999999</v>
      </c>
      <c r="Z375" s="22">
        <v>-77.114761599999994</v>
      </c>
      <c r="AA375" s="33">
        <f t="shared" si="21"/>
        <v>24.37</v>
      </c>
      <c r="AB375" s="2" t="str">
        <f t="shared" si="22"/>
        <v>🔴 Lejos (&gt;20 km)</v>
      </c>
      <c r="AC375" s="2" t="str" cm="1">
        <f t="array" ref="AC375">INDEX(PARADEROS_VALIDOS!$C$2:$C$68,MATCH(MIN(6371*ACOS(COS(RADIANS(Y375))*COS(RADIANS(PARADEROS_VALIDOS!$E$2:$E$68))*COS(RADIANS(PARADEROS_VALIDOS!$F$2:$F$68)-RADIANS(Z375))+SIN(RADIANS(Y375))*SIN(RADIANS(PARADEROS_VALIDOS!$E$2:$E$68)))),6371*ACOS(COS(RADIANS(Y375))*COS(RADIANS(PARADEROS_VALIDOS!$E$2:$E$68))*COS(RADIANS(PARADEROS_VALIDOS!$F$2:$F$68)-RADIANS(Z375))+SIN(RADIANS(Y375))*SIN(RADIANS(PARADEROS_VALIDOS!$E$2:$E$68))),0))</f>
        <v>Paradero Sta. Rosa</v>
      </c>
      <c r="AD375" s="2" t="str">
        <f>IFERROR(INDEX(PARADEROS_VALIDOS!$A$2:$A$68,MATCH(AC375,PARADEROS_VALIDOS!$C$2:$C$68,0)),"")</f>
        <v>RUTA 3</v>
      </c>
      <c r="AE375" s="33" cm="1">
        <f t="array" ref="AE375">ROUND(MIN(6371*ACOS(COS(RADIANS(Y375))*COS(RADIANS(PARADEROS_VALIDOS!$E$2:$E$68))*COS(RADIANS(PARADEROS_VALIDOS!$F$2:$F$68)-RADIANS(Z375))+SIN(RADIANS(Y375))*SIN(RADIANS(PARADEROS_VALIDOS!$E$2:$E$68)))),2)</f>
        <v>0.91</v>
      </c>
      <c r="AF375" s="2" t="str">
        <f t="shared" si="23"/>
        <v>🟢 Muy Cerca (0-1 km)</v>
      </c>
      <c r="AG375" s="2"/>
      <c r="AH375" s="2"/>
      <c r="AI375" s="51">
        <v>-11.997563</v>
      </c>
      <c r="AJ375" s="51">
        <v>-76.900062000000005</v>
      </c>
      <c r="AK375" s="2" t="str">
        <f>IFERROR(VLOOKUP(I375,tdcargo[],2,FALSE),"DESCONOCIDO")</f>
        <v>STAFF</v>
      </c>
    </row>
    <row r="376" spans="1:37" x14ac:dyDescent="0.35">
      <c r="A376" s="2" t="s">
        <v>1913</v>
      </c>
      <c r="B376" s="2" t="s">
        <v>1914</v>
      </c>
      <c r="C376" s="2" t="s">
        <v>484</v>
      </c>
      <c r="D376" s="2" t="s">
        <v>265</v>
      </c>
      <c r="E376" s="2">
        <v>24</v>
      </c>
      <c r="F376" s="2" t="s">
        <v>28</v>
      </c>
      <c r="G376" s="2" t="s">
        <v>29</v>
      </c>
      <c r="H376" s="2">
        <v>20508998</v>
      </c>
      <c r="I376" s="2" t="s">
        <v>30</v>
      </c>
      <c r="J376" s="3">
        <v>45839</v>
      </c>
      <c r="K376" s="2" t="s">
        <v>31</v>
      </c>
      <c r="L376" s="2" t="s">
        <v>63</v>
      </c>
      <c r="M376" s="2" t="s">
        <v>64</v>
      </c>
      <c r="N376" s="2" t="s">
        <v>36</v>
      </c>
      <c r="O376" s="2" t="s">
        <v>1915</v>
      </c>
      <c r="P376" s="2" t="s">
        <v>88</v>
      </c>
      <c r="Q376" s="2" t="s">
        <v>1916</v>
      </c>
      <c r="R376" s="2">
        <v>15401</v>
      </c>
      <c r="S376" s="2" t="s">
        <v>37</v>
      </c>
      <c r="T376" s="2" t="s">
        <v>37</v>
      </c>
      <c r="U376" s="2" t="s">
        <v>38</v>
      </c>
      <c r="V376" s="3">
        <v>45839</v>
      </c>
      <c r="W376" s="2" t="s">
        <v>39</v>
      </c>
      <c r="X376" s="2" t="str">
        <f t="shared" si="20"/>
        <v>X, A.H. Asentamiento Humano Bayovar, San Juan De Lurigancho, Lima, Lima, Perú</v>
      </c>
      <c r="Y376" s="22">
        <v>-11.9647687</v>
      </c>
      <c r="Z376" s="22">
        <v>-76.977665000000002</v>
      </c>
      <c r="AA376" s="33">
        <f t="shared" si="21"/>
        <v>9.1999999999999993</v>
      </c>
      <c r="AB376" s="2" t="str">
        <f t="shared" si="22"/>
        <v>🟡 Cerca (5-10 km)</v>
      </c>
      <c r="AC376" s="2" t="str" cm="1">
        <f t="array" ref="AC376">INDEX(PARADEROS_VALIDOS!$C$2:$C$68,MATCH(MIN(6371*ACOS(COS(RADIANS(Y376))*COS(RADIANS(PARADEROS_VALIDOS!$E$2:$E$68))*COS(RADIANS(PARADEROS_VALIDOS!$F$2:$F$68)-RADIANS(Z376))+SIN(RADIANS(Y376))*SIN(RADIANS(PARADEROS_VALIDOS!$E$2:$E$68)))),6371*ACOS(COS(RADIANS(Y376))*COS(RADIANS(PARADEROS_VALIDOS!$E$2:$E$68))*COS(RADIANS(PARADEROS_VALIDOS!$F$2:$F$68)-RADIANS(Z376))+SIN(RADIANS(Y376))*SIN(RADIANS(PARADEROS_VALIDOS!$E$2:$E$68))),0))</f>
        <v>Paradero San Martin</v>
      </c>
      <c r="AD376" s="2" t="str">
        <f>IFERROR(INDEX(PARADEROS_VALIDOS!$A$2:$A$68,MATCH(AC376,PARADEROS_VALIDOS!$C$2:$C$68,0)),"")</f>
        <v>RUTA 6A</v>
      </c>
      <c r="AE376" s="33" cm="1">
        <f t="array" ref="AE376">ROUND(MIN(6371*ACOS(COS(RADIANS(Y376))*COS(RADIANS(PARADEROS_VALIDOS!$E$2:$E$68))*COS(RADIANS(PARADEROS_VALIDOS!$F$2:$F$68)-RADIANS(Z376))+SIN(RADIANS(Y376))*SIN(RADIANS(PARADEROS_VALIDOS!$E$2:$E$68)))),2)</f>
        <v>2.7</v>
      </c>
      <c r="AF376" s="2" t="str">
        <f t="shared" si="23"/>
        <v>🟡 Cerca (1-3 km)</v>
      </c>
      <c r="AG376" s="2"/>
      <c r="AH376" s="2"/>
      <c r="AI376" s="51">
        <v>-11.997563</v>
      </c>
      <c r="AJ376" s="51">
        <v>-76.900062000000005</v>
      </c>
      <c r="AK376" s="2" t="str">
        <f>IFERROR(VLOOKUP(I376,tdcargo[],2,FALSE),"DESCONOCIDO")</f>
        <v>OPERARIO</v>
      </c>
    </row>
    <row r="377" spans="1:37" x14ac:dyDescent="0.35">
      <c r="A377" s="2" t="s">
        <v>1917</v>
      </c>
      <c r="B377" s="2" t="s">
        <v>1918</v>
      </c>
      <c r="C377" s="2" t="s">
        <v>531</v>
      </c>
      <c r="D377" s="2" t="s">
        <v>1919</v>
      </c>
      <c r="E377" s="2">
        <v>27</v>
      </c>
      <c r="F377" s="2" t="s">
        <v>28</v>
      </c>
      <c r="G377" s="2" t="s">
        <v>29</v>
      </c>
      <c r="H377" s="2">
        <v>20508890</v>
      </c>
      <c r="I377" s="2" t="s">
        <v>30</v>
      </c>
      <c r="J377" s="3">
        <v>45516</v>
      </c>
      <c r="K377" s="2" t="s">
        <v>31</v>
      </c>
      <c r="L377" s="2" t="s">
        <v>132</v>
      </c>
      <c r="M377" s="2" t="s">
        <v>133</v>
      </c>
      <c r="N377" s="2" t="s">
        <v>82</v>
      </c>
      <c r="O377" s="2" t="s">
        <v>898</v>
      </c>
      <c r="P377" s="2" t="s">
        <v>36</v>
      </c>
      <c r="Q377" s="2" t="s">
        <v>1920</v>
      </c>
      <c r="R377" s="2">
        <v>15007</v>
      </c>
      <c r="S377" s="2" t="s">
        <v>37</v>
      </c>
      <c r="T377" s="2" t="s">
        <v>37</v>
      </c>
      <c r="U377" s="2" t="s">
        <v>367</v>
      </c>
      <c r="V377" s="3">
        <v>45516</v>
      </c>
      <c r="W377" s="2" t="s">
        <v>48</v>
      </c>
      <c r="X377" s="2" t="str">
        <f t="shared" si="20"/>
        <v>Calle La Encalada Encalada, Santa Anita, Lima, Lima, Perú</v>
      </c>
      <c r="Y377" s="22">
        <v>-12.0280605</v>
      </c>
      <c r="Z377" s="22">
        <v>-76.955710499999995</v>
      </c>
      <c r="AA377" s="33">
        <f t="shared" si="21"/>
        <v>6.94</v>
      </c>
      <c r="AB377" s="2" t="str">
        <f t="shared" si="22"/>
        <v>🟡 Cerca (5-10 km)</v>
      </c>
      <c r="AC377" s="2" t="str" cm="1">
        <f t="array" ref="AC377">INDEX(PARADEROS_VALIDOS!$C$2:$C$68,MATCH(MIN(6371*ACOS(COS(RADIANS(Y377))*COS(RADIANS(PARADEROS_VALIDOS!$E$2:$E$68))*COS(RADIANS(PARADEROS_VALIDOS!$F$2:$F$68)-RADIANS(Z377))+SIN(RADIANS(Y377))*SIN(RADIANS(PARADEROS_VALIDOS!$E$2:$E$68)))),6371*ACOS(COS(RADIANS(Y377))*COS(RADIANS(PARADEROS_VALIDOS!$E$2:$E$68))*COS(RADIANS(PARADEROS_VALIDOS!$F$2:$F$68)-RADIANS(Z377))+SIN(RADIANS(Y377))*SIN(RADIANS(PARADEROS_VALIDOS!$E$2:$E$68))),0))</f>
        <v>Paradero Bayóvar</v>
      </c>
      <c r="AD377" s="2" t="str">
        <f>IFERROR(INDEX(PARADEROS_VALIDOS!$A$2:$A$68,MATCH(AC377,PARADEROS_VALIDOS!$C$2:$C$68,0)),"")</f>
        <v>RUTA 6A</v>
      </c>
      <c r="AE377" s="33" cm="1">
        <f t="array" ref="AE377">ROUND(MIN(6371*ACOS(COS(RADIANS(Y377))*COS(RADIANS(PARADEROS_VALIDOS!$E$2:$E$68))*COS(RADIANS(PARADEROS_VALIDOS!$F$2:$F$68)-RADIANS(Z377))+SIN(RADIANS(Y377))*SIN(RADIANS(PARADEROS_VALIDOS!$E$2:$E$68)))),2)</f>
        <v>0.52</v>
      </c>
      <c r="AF377" s="2" t="str">
        <f t="shared" si="23"/>
        <v>🟢 Muy Cerca (0-1 km)</v>
      </c>
      <c r="AG377" s="2"/>
      <c r="AH377" s="2"/>
      <c r="AI377" s="51">
        <v>-11.997563</v>
      </c>
      <c r="AJ377" s="51">
        <v>-76.900062000000005</v>
      </c>
      <c r="AK377" s="2" t="str">
        <f>IFERROR(VLOOKUP(I377,tdcargo[],2,FALSE),"DESCONOCIDO")</f>
        <v>OPERARIO</v>
      </c>
    </row>
    <row r="378" spans="1:37" x14ac:dyDescent="0.35">
      <c r="A378" s="2" t="s">
        <v>1921</v>
      </c>
      <c r="B378" s="2" t="s">
        <v>1922</v>
      </c>
      <c r="C378" s="2" t="s">
        <v>384</v>
      </c>
      <c r="D378" s="2" t="s">
        <v>385</v>
      </c>
      <c r="E378" s="2">
        <v>21</v>
      </c>
      <c r="F378" s="2" t="s">
        <v>28</v>
      </c>
      <c r="G378" s="2" t="s">
        <v>29</v>
      </c>
      <c r="H378" s="2">
        <v>20508914</v>
      </c>
      <c r="I378" s="2" t="s">
        <v>30</v>
      </c>
      <c r="J378" s="3">
        <v>45411</v>
      </c>
      <c r="K378" s="2" t="s">
        <v>31</v>
      </c>
      <c r="L378" s="2" t="s">
        <v>132</v>
      </c>
      <c r="M378" s="2" t="s">
        <v>133</v>
      </c>
      <c r="N378" s="2" t="s">
        <v>82</v>
      </c>
      <c r="O378" s="2" t="s">
        <v>1923</v>
      </c>
      <c r="P378" s="2" t="s">
        <v>36</v>
      </c>
      <c r="Q378" s="2" t="s">
        <v>1721</v>
      </c>
      <c r="R378" s="2">
        <v>15457</v>
      </c>
      <c r="S378" s="2" t="s">
        <v>37</v>
      </c>
      <c r="T378" s="2" t="s">
        <v>37</v>
      </c>
      <c r="U378" s="2" t="s">
        <v>76</v>
      </c>
      <c r="V378" s="3">
        <v>45411</v>
      </c>
      <c r="W378" s="2" t="s">
        <v>48</v>
      </c>
      <c r="X378" s="2" t="str">
        <f t="shared" si="20"/>
        <v>Calle Mzy Lt13 Los Molles Cajamarquilla Paraiso Los Molles, Lurigancho, Lima, Lima, Perú</v>
      </c>
      <c r="Y378" s="22">
        <v>-11.981</v>
      </c>
      <c r="Z378" s="22">
        <v>-76.907229999999998</v>
      </c>
      <c r="AA378" s="33">
        <f t="shared" si="21"/>
        <v>2</v>
      </c>
      <c r="AB378" s="2" t="str">
        <f t="shared" si="22"/>
        <v>🟢 Muy Cerca (0-5 km)</v>
      </c>
      <c r="AC378" s="2" t="str" cm="1">
        <f t="array" ref="AC378">INDEX(PARADEROS_VALIDOS!$C$2:$C$68,MATCH(MIN(6371*ACOS(COS(RADIANS(Y378))*COS(RADIANS(PARADEROS_VALIDOS!$E$2:$E$68))*COS(RADIANS(PARADEROS_VALIDOS!$F$2:$F$68)-RADIANS(Z378))+SIN(RADIANS(Y378))*SIN(RADIANS(PARADEROS_VALIDOS!$E$2:$E$68)))),6371*ACOS(COS(RADIANS(Y378))*COS(RADIANS(PARADEROS_VALIDOS!$E$2:$E$68))*COS(RADIANS(PARADEROS_VALIDOS!$F$2:$F$68)-RADIANS(Z378))+SIN(RADIANS(Y378))*SIN(RADIANS(PARADEROS_VALIDOS!$E$2:$E$68))),0))</f>
        <v>Paradero Arco San Antonio</v>
      </c>
      <c r="AD378" s="2" t="str">
        <f>IFERROR(INDEX(PARADEROS_VALIDOS!$A$2:$A$68,MATCH(AC378,PARADEROS_VALIDOS!$C$2:$C$68,0)),"")</f>
        <v>RUTA 2</v>
      </c>
      <c r="AE378" s="33" cm="1">
        <f t="array" ref="AE378">ROUND(MIN(6371*ACOS(COS(RADIANS(Y378))*COS(RADIANS(PARADEROS_VALIDOS!$E$2:$E$68))*COS(RADIANS(PARADEROS_VALIDOS!$F$2:$F$68)-RADIANS(Z378))+SIN(RADIANS(Y378))*SIN(RADIANS(PARADEROS_VALIDOS!$E$2:$E$68)))),2)</f>
        <v>1.46</v>
      </c>
      <c r="AF378" s="2" t="str">
        <f t="shared" si="23"/>
        <v>🟡 Cerca (1-3 km)</v>
      </c>
      <c r="AG378" s="2"/>
      <c r="AH378" s="2"/>
      <c r="AI378" s="51">
        <v>-11.997563</v>
      </c>
      <c r="AJ378" s="51">
        <v>-76.900062000000005</v>
      </c>
      <c r="AK378" s="2" t="str">
        <f>IFERROR(VLOOKUP(I378,tdcargo[],2,FALSE),"DESCONOCIDO")</f>
        <v>OPERARIO</v>
      </c>
    </row>
    <row r="379" spans="1:37" x14ac:dyDescent="0.35">
      <c r="A379" s="2" t="s">
        <v>1924</v>
      </c>
      <c r="B379" s="2" t="s">
        <v>1925</v>
      </c>
      <c r="C379" s="2" t="s">
        <v>1926</v>
      </c>
      <c r="D379" s="2" t="s">
        <v>1927</v>
      </c>
      <c r="E379" s="2">
        <v>21</v>
      </c>
      <c r="F379" s="2" t="s">
        <v>28</v>
      </c>
      <c r="G379" s="2" t="s">
        <v>29</v>
      </c>
      <c r="H379" s="2">
        <v>20508788</v>
      </c>
      <c r="I379" s="2" t="s">
        <v>30</v>
      </c>
      <c r="J379" s="3">
        <v>45881</v>
      </c>
      <c r="K379" s="2" t="s">
        <v>31</v>
      </c>
      <c r="L379" s="2" t="s">
        <v>100</v>
      </c>
      <c r="M379" s="2" t="s">
        <v>101</v>
      </c>
      <c r="N379" s="2" t="s">
        <v>82</v>
      </c>
      <c r="O379" s="2" t="s">
        <v>1928</v>
      </c>
      <c r="P379" s="2" t="s">
        <v>36</v>
      </c>
      <c r="Q379" s="2" t="s">
        <v>1929</v>
      </c>
      <c r="R379" s="2">
        <v>15004</v>
      </c>
      <c r="S379" s="2" t="s">
        <v>37</v>
      </c>
      <c r="T379" s="2" t="s">
        <v>37</v>
      </c>
      <c r="U379" s="2" t="s">
        <v>57</v>
      </c>
      <c r="V379" s="3">
        <v>45881</v>
      </c>
      <c r="W379" s="2" t="s">
        <v>39</v>
      </c>
      <c r="X379" s="2" t="str">
        <f t="shared" si="20"/>
        <v>Calle Av.Niño Jesus 1Era Etapa Santa Clara - Niño J, Ate, Lima, Lima, Perú</v>
      </c>
      <c r="Y379" s="22">
        <v>-12.000824400000001</v>
      </c>
      <c r="Z379" s="22">
        <v>-76.838959599999995</v>
      </c>
      <c r="AA379" s="33">
        <f t="shared" si="21"/>
        <v>6.66</v>
      </c>
      <c r="AB379" s="2" t="str">
        <f t="shared" si="22"/>
        <v>🟡 Cerca (5-10 km)</v>
      </c>
      <c r="AC379" s="2" t="str" cm="1">
        <f t="array" ref="AC379">INDEX(PARADEROS_VALIDOS!$C$2:$C$68,MATCH(MIN(6371*ACOS(COS(RADIANS(Y379))*COS(RADIANS(PARADEROS_VALIDOS!$E$2:$E$68))*COS(RADIANS(PARADEROS_VALIDOS!$F$2:$F$68)-RADIANS(Z379))+SIN(RADIANS(Y379))*SIN(RADIANS(PARADEROS_VALIDOS!$E$2:$E$68)))),6371*ACOS(COS(RADIANS(Y379))*COS(RADIANS(PARADEROS_VALIDOS!$E$2:$E$68))*COS(RADIANS(PARADEROS_VALIDOS!$F$2:$F$68)-RADIANS(Z379))+SIN(RADIANS(Y379))*SIN(RADIANS(PARADEROS_VALIDOS!$E$2:$E$68))),0))</f>
        <v>Entrada Huaycán</v>
      </c>
      <c r="AD379" s="2" t="str">
        <f>IFERROR(INDEX(PARADEROS_VALIDOS!$A$2:$A$68,MATCH(AC379,PARADEROS_VALIDOS!$C$2:$C$68,0)),"")</f>
        <v>RUTA 5B</v>
      </c>
      <c r="AE379" s="33" cm="1">
        <f t="array" ref="AE379">ROUND(MIN(6371*ACOS(COS(RADIANS(Y379))*COS(RADIANS(PARADEROS_VALIDOS!$E$2:$E$68))*COS(RADIANS(PARADEROS_VALIDOS!$F$2:$F$68)-RADIANS(Z379))+SIN(RADIANS(Y379))*SIN(RADIANS(PARADEROS_VALIDOS!$E$2:$E$68)))),2)</f>
        <v>7.0000000000000007E-2</v>
      </c>
      <c r="AF379" s="2" t="str">
        <f t="shared" si="23"/>
        <v>🟢 Muy Cerca (0-1 km)</v>
      </c>
      <c r="AG379" s="2"/>
      <c r="AH379" s="2"/>
      <c r="AI379" s="51">
        <v>-11.997563</v>
      </c>
      <c r="AJ379" s="51">
        <v>-76.900062000000005</v>
      </c>
      <c r="AK379" s="2" t="str">
        <f>IFERROR(VLOOKUP(I379,tdcargo[],2,FALSE),"DESCONOCIDO")</f>
        <v>OPERARIO</v>
      </c>
    </row>
    <row r="380" spans="1:37" x14ac:dyDescent="0.35">
      <c r="A380" s="2" t="s">
        <v>1930</v>
      </c>
      <c r="B380" s="2" t="s">
        <v>1931</v>
      </c>
      <c r="C380" s="2" t="s">
        <v>301</v>
      </c>
      <c r="D380" s="2"/>
      <c r="E380" s="2">
        <v>37</v>
      </c>
      <c r="F380" s="2" t="s">
        <v>28</v>
      </c>
      <c r="G380" s="2" t="s">
        <v>29</v>
      </c>
      <c r="H380" s="2">
        <v>20510614</v>
      </c>
      <c r="I380" s="2" t="s">
        <v>30</v>
      </c>
      <c r="J380" s="3">
        <v>45887</v>
      </c>
      <c r="K380" s="2" t="s">
        <v>31</v>
      </c>
      <c r="L380" s="2" t="s">
        <v>132</v>
      </c>
      <c r="M380" s="2" t="s">
        <v>133</v>
      </c>
      <c r="N380" s="2" t="s">
        <v>34</v>
      </c>
      <c r="O380" s="2" t="s">
        <v>412</v>
      </c>
      <c r="P380" s="2" t="s">
        <v>36</v>
      </c>
      <c r="Q380" s="2" t="s">
        <v>1932</v>
      </c>
      <c r="R380" s="2">
        <v>15457</v>
      </c>
      <c r="S380" s="2" t="s">
        <v>37</v>
      </c>
      <c r="T380" s="2" t="s">
        <v>37</v>
      </c>
      <c r="U380" s="2" t="s">
        <v>76</v>
      </c>
      <c r="V380" s="3">
        <v>45887</v>
      </c>
      <c r="W380" s="2" t="s">
        <v>39</v>
      </c>
      <c r="X380" s="2" t="str">
        <f t="shared" si="20"/>
        <v>Avenida Circunvalacion La Capitana Huachipa, Lurigancho, Lima, Lima, Perú</v>
      </c>
      <c r="Y380" s="22">
        <v>-12.016697000000001</v>
      </c>
      <c r="Z380" s="22">
        <v>-76.923781099999999</v>
      </c>
      <c r="AA380" s="33">
        <f t="shared" si="21"/>
        <v>3.34</v>
      </c>
      <c r="AB380" s="2" t="str">
        <f t="shared" si="22"/>
        <v>🟢 Muy Cerca (0-5 km)</v>
      </c>
      <c r="AC380" s="2" t="str" cm="1">
        <f t="array" ref="AC380">INDEX(PARADEROS_VALIDOS!$C$2:$C$68,MATCH(MIN(6371*ACOS(COS(RADIANS(Y380))*COS(RADIANS(PARADEROS_VALIDOS!$E$2:$E$68))*COS(RADIANS(PARADEROS_VALIDOS!$F$2:$F$68)-RADIANS(Z380))+SIN(RADIANS(Y380))*SIN(RADIANS(PARADEROS_VALIDOS!$E$2:$E$68)))),6371*ACOS(COS(RADIANS(Y380))*COS(RADIANS(PARADEROS_VALIDOS!$E$2:$E$68))*COS(RADIANS(PARADEROS_VALIDOS!$F$2:$F$68)-RADIANS(Z380))+SIN(RADIANS(Y380))*SIN(RADIANS(PARADEROS_VALIDOS!$E$2:$E$68))),0))</f>
        <v>Estadio Huachipa</v>
      </c>
      <c r="AD380" s="2" t="str">
        <f>IFERROR(INDEX(PARADEROS_VALIDOS!$A$2:$A$68,MATCH(AC380,PARADEROS_VALIDOS!$C$2:$C$68,0)),"")</f>
        <v>RUTA 5C</v>
      </c>
      <c r="AE380" s="33" cm="1">
        <f t="array" ref="AE380">ROUND(MIN(6371*ACOS(COS(RADIANS(Y380))*COS(RADIANS(PARADEROS_VALIDOS!$E$2:$E$68))*COS(RADIANS(PARADEROS_VALIDOS!$F$2:$F$68)-RADIANS(Z380))+SIN(RADIANS(Y380))*SIN(RADIANS(PARADEROS_VALIDOS!$E$2:$E$68)))),2)</f>
        <v>0.86</v>
      </c>
      <c r="AF380" s="2" t="str">
        <f t="shared" si="23"/>
        <v>🟢 Muy Cerca (0-1 km)</v>
      </c>
      <c r="AG380" s="2"/>
      <c r="AH380" s="2"/>
      <c r="AI380" s="51">
        <v>-11.997563</v>
      </c>
      <c r="AJ380" s="51">
        <v>-76.900062000000005</v>
      </c>
      <c r="AK380" s="2" t="str">
        <f>IFERROR(VLOOKUP(I380,tdcargo[],2,FALSE),"DESCONOCIDO")</f>
        <v>OPERARIO</v>
      </c>
    </row>
    <row r="381" spans="1:37" x14ac:dyDescent="0.35">
      <c r="A381" s="2" t="s">
        <v>1933</v>
      </c>
      <c r="B381" s="2" t="s">
        <v>1934</v>
      </c>
      <c r="C381" s="2" t="s">
        <v>714</v>
      </c>
      <c r="D381" s="2" t="s">
        <v>219</v>
      </c>
      <c r="E381" s="2">
        <v>38</v>
      </c>
      <c r="F381" s="2" t="s">
        <v>28</v>
      </c>
      <c r="G381" s="2" t="s">
        <v>29</v>
      </c>
      <c r="H381" s="2">
        <v>20511571</v>
      </c>
      <c r="I381" s="2" t="s">
        <v>30</v>
      </c>
      <c r="J381" s="3">
        <v>45964</v>
      </c>
      <c r="K381" s="2" t="s">
        <v>31</v>
      </c>
      <c r="L381" s="2" t="s">
        <v>132</v>
      </c>
      <c r="M381" s="2" t="s">
        <v>133</v>
      </c>
      <c r="N381" s="2" t="s">
        <v>148</v>
      </c>
      <c r="O381" s="2" t="s">
        <v>1935</v>
      </c>
      <c r="P381" s="2" t="s">
        <v>36</v>
      </c>
      <c r="Q381" s="2" t="s">
        <v>748</v>
      </c>
      <c r="R381" s="2">
        <v>15457</v>
      </c>
      <c r="S381" s="2" t="s">
        <v>37</v>
      </c>
      <c r="T381" s="2" t="s">
        <v>37</v>
      </c>
      <c r="U381" s="2" t="s">
        <v>76</v>
      </c>
      <c r="V381" s="3">
        <v>45964</v>
      </c>
      <c r="W381" s="2" t="s">
        <v>39</v>
      </c>
      <c r="X381" s="2" t="str">
        <f t="shared" si="20"/>
        <v>Pasaje Asociacion Los Alamos De Nieveria Nieveria, Lurigancho, Lima, Lima, Perú</v>
      </c>
      <c r="Y381" s="22">
        <v>-12.011882999999999</v>
      </c>
      <c r="Z381" s="22">
        <v>-76.877435899999995</v>
      </c>
      <c r="AA381" s="33">
        <f t="shared" si="21"/>
        <v>2.93</v>
      </c>
      <c r="AB381" s="2" t="str">
        <f t="shared" si="22"/>
        <v>🟢 Muy Cerca (0-5 km)</v>
      </c>
      <c r="AC381" s="2" t="str" cm="1">
        <f t="array" ref="AC381">INDEX(PARADEROS_VALIDOS!$C$2:$C$68,MATCH(MIN(6371*ACOS(COS(RADIANS(Y381))*COS(RADIANS(PARADEROS_VALIDOS!$E$2:$E$68))*COS(RADIANS(PARADEROS_VALIDOS!$F$2:$F$68)-RADIANS(Z381))+SIN(RADIANS(Y381))*SIN(RADIANS(PARADEROS_VALIDOS!$E$2:$E$68)))),6371*ACOS(COS(RADIANS(Y381))*COS(RADIANS(PARADEROS_VALIDOS!$E$2:$E$68))*COS(RADIANS(PARADEROS_VALIDOS!$F$2:$F$68)-RADIANS(Z381))+SIN(RADIANS(Y381))*SIN(RADIANS(PARADEROS_VALIDOS!$E$2:$E$68))),0))</f>
        <v>Paradero la Cruz</v>
      </c>
      <c r="AD381" s="2" t="str">
        <f>IFERROR(INDEX(PARADEROS_VALIDOS!$A$2:$A$68,MATCH(AC381,PARADEROS_VALIDOS!$C$2:$C$68,0)),"")</f>
        <v>RUTA 4B</v>
      </c>
      <c r="AE381" s="33" cm="1">
        <f t="array" ref="AE381">ROUND(MIN(6371*ACOS(COS(RADIANS(Y381))*COS(RADIANS(PARADEROS_VALIDOS!$E$2:$E$68))*COS(RADIANS(PARADEROS_VALIDOS!$F$2:$F$68)-RADIANS(Z381))+SIN(RADIANS(Y381))*SIN(RADIANS(PARADEROS_VALIDOS!$E$2:$E$68)))),2)</f>
        <v>0.89</v>
      </c>
      <c r="AF381" s="2" t="str">
        <f t="shared" si="23"/>
        <v>🟢 Muy Cerca (0-1 km)</v>
      </c>
      <c r="AG381" s="2"/>
      <c r="AH381" s="2"/>
      <c r="AI381" s="51">
        <v>-11.997563</v>
      </c>
      <c r="AJ381" s="51">
        <v>-76.900062000000005</v>
      </c>
      <c r="AK381" s="2" t="str">
        <f>IFERROR(VLOOKUP(I381,tdcargo[],2,FALSE),"DESCONOCIDO")</f>
        <v>OPERARIO</v>
      </c>
    </row>
    <row r="382" spans="1:37" x14ac:dyDescent="0.35">
      <c r="A382" s="2" t="s">
        <v>1936</v>
      </c>
      <c r="B382" s="2" t="s">
        <v>1937</v>
      </c>
      <c r="C382" s="2" t="s">
        <v>363</v>
      </c>
      <c r="D382" s="2" t="s">
        <v>1649</v>
      </c>
      <c r="E382" s="2">
        <v>21</v>
      </c>
      <c r="F382" s="2" t="s">
        <v>28</v>
      </c>
      <c r="G382" s="2" t="s">
        <v>29</v>
      </c>
      <c r="H382" s="2">
        <v>20515001</v>
      </c>
      <c r="I382" s="2" t="s">
        <v>30</v>
      </c>
      <c r="J382" s="3">
        <v>45964</v>
      </c>
      <c r="K382" s="2" t="s">
        <v>31</v>
      </c>
      <c r="L382" s="2" t="s">
        <v>63</v>
      </c>
      <c r="M382" s="2" t="s">
        <v>64</v>
      </c>
      <c r="N382" s="2" t="s">
        <v>36</v>
      </c>
      <c r="O382" s="2" t="s">
        <v>1938</v>
      </c>
      <c r="P382" s="2" t="s">
        <v>36</v>
      </c>
      <c r="Q382" s="2" t="s">
        <v>1939</v>
      </c>
      <c r="R382" s="2">
        <v>15001</v>
      </c>
      <c r="S382" s="2" t="s">
        <v>37</v>
      </c>
      <c r="T382" s="2" t="s">
        <v>37</v>
      </c>
      <c r="U382" s="2" t="s">
        <v>37</v>
      </c>
      <c r="V382" s="3">
        <v>45964</v>
      </c>
      <c r="W382" s="2" t="s">
        <v>39</v>
      </c>
      <c r="X382" s="2" t="str">
        <f t="shared" si="20"/>
        <v>San Juan De Lurigancho De Canto Chico Agrupacion .Familia., Lima, Lima, Lima, Perú</v>
      </c>
      <c r="Y382" s="22">
        <v>-11.930337099999999</v>
      </c>
      <c r="Z382" s="22">
        <v>-76.989313800000005</v>
      </c>
      <c r="AA382" s="33">
        <f t="shared" si="21"/>
        <v>12.25</v>
      </c>
      <c r="AB382" s="2" t="str">
        <f t="shared" si="22"/>
        <v>🟠 Moderada (10-20 km)</v>
      </c>
      <c r="AC382" s="2" t="str" cm="1">
        <f t="array" ref="AC382">INDEX(PARADEROS_VALIDOS!$C$2:$C$68,MATCH(MIN(6371*ACOS(COS(RADIANS(Y382))*COS(RADIANS(PARADEROS_VALIDOS!$E$2:$E$68))*COS(RADIANS(PARADEROS_VALIDOS!$F$2:$F$68)-RADIANS(Z382))+SIN(RADIANS(Y382))*SIN(RADIANS(PARADEROS_VALIDOS!$E$2:$E$68)))),6371*ACOS(COS(RADIANS(Y382))*COS(RADIANS(PARADEROS_VALIDOS!$E$2:$E$68))*COS(RADIANS(PARADEROS_VALIDOS!$F$2:$F$68)-RADIANS(Z382))+SIN(RADIANS(Y382))*SIN(RADIANS(PARADEROS_VALIDOS!$E$2:$E$68))),0))</f>
        <v>Paradero Acho</v>
      </c>
      <c r="AD382" s="2" t="str">
        <f>IFERROR(INDEX(PARADEROS_VALIDOS!$A$2:$A$68,MATCH(AC382,PARADEROS_VALIDOS!$C$2:$C$68,0)),"")</f>
        <v>RUTA 8</v>
      </c>
      <c r="AE382" s="33" cm="1">
        <f t="array" ref="AE382">ROUND(MIN(6371*ACOS(COS(RADIANS(Y382))*COS(RADIANS(PARADEROS_VALIDOS!$E$2:$E$68))*COS(RADIANS(PARADEROS_VALIDOS!$F$2:$F$68)-RADIANS(Z382))+SIN(RADIANS(Y382))*SIN(RADIANS(PARADEROS_VALIDOS!$E$2:$E$68)))),2)</f>
        <v>4.93</v>
      </c>
      <c r="AF382" s="2" t="str">
        <f t="shared" si="23"/>
        <v>🟠 Moderada (3-5 km)</v>
      </c>
      <c r="AG382" s="2"/>
      <c r="AH382" s="2"/>
      <c r="AI382" s="51">
        <v>-11.997563</v>
      </c>
      <c r="AJ382" s="51">
        <v>-76.900062000000005</v>
      </c>
      <c r="AK382" s="2" t="str">
        <f>IFERROR(VLOOKUP(I382,tdcargo[],2,FALSE),"DESCONOCIDO")</f>
        <v>OPERARIO</v>
      </c>
    </row>
    <row r="383" spans="1:37" x14ac:dyDescent="0.35">
      <c r="A383" s="2" t="s">
        <v>1940</v>
      </c>
      <c r="B383" s="2" t="s">
        <v>1941</v>
      </c>
      <c r="C383" s="2" t="s">
        <v>1942</v>
      </c>
      <c r="D383" s="2" t="s">
        <v>1943</v>
      </c>
      <c r="E383" s="2">
        <v>27</v>
      </c>
      <c r="F383" s="2" t="s">
        <v>28</v>
      </c>
      <c r="G383" s="2" t="s">
        <v>29</v>
      </c>
      <c r="H383" s="2">
        <v>20514660</v>
      </c>
      <c r="I383" s="2" t="s">
        <v>30</v>
      </c>
      <c r="J383" s="3">
        <v>45964</v>
      </c>
      <c r="K383" s="2" t="s">
        <v>31</v>
      </c>
      <c r="L383" s="2" t="s">
        <v>100</v>
      </c>
      <c r="M383" s="2" t="s">
        <v>101</v>
      </c>
      <c r="N383" s="2" t="s">
        <v>82</v>
      </c>
      <c r="O383" s="2" t="s">
        <v>1944</v>
      </c>
      <c r="P383" s="2" t="s">
        <v>36</v>
      </c>
      <c r="Q383" s="2" t="s">
        <v>1945</v>
      </c>
      <c r="R383" s="2">
        <v>15001</v>
      </c>
      <c r="S383" s="2" t="s">
        <v>37</v>
      </c>
      <c r="T383" s="2" t="s">
        <v>37</v>
      </c>
      <c r="U383" s="2" t="s">
        <v>37</v>
      </c>
      <c r="V383" s="3">
        <v>45964</v>
      </c>
      <c r="W383" s="2" t="s">
        <v>39</v>
      </c>
      <c r="X383" s="2" t="str">
        <f t="shared" si="20"/>
        <v>Calle Huancayo San Antonio De Jicam, Lima, Lima, Lima, Perú</v>
      </c>
      <c r="Y383" s="22">
        <v>-11.8204964</v>
      </c>
      <c r="Z383" s="22">
        <v>-77.100584900000001</v>
      </c>
      <c r="AA383" s="33">
        <f t="shared" si="21"/>
        <v>29.39</v>
      </c>
      <c r="AB383" s="2" t="str">
        <f t="shared" si="22"/>
        <v>🔴 Lejos (&gt;20 km)</v>
      </c>
      <c r="AC383" s="2" t="str" cm="1">
        <f t="array" ref="AC383">INDEX(PARADEROS_VALIDOS!$C$2:$C$68,MATCH(MIN(6371*ACOS(COS(RADIANS(Y383))*COS(RADIANS(PARADEROS_VALIDOS!$E$2:$E$68))*COS(RADIANS(PARADEROS_VALIDOS!$F$2:$F$68)-RADIANS(Z383))+SIN(RADIANS(Y383))*SIN(RADIANS(PARADEROS_VALIDOS!$E$2:$E$68)))),6371*ACOS(COS(RADIANS(Y383))*COS(RADIANS(PARADEROS_VALIDOS!$E$2:$E$68))*COS(RADIANS(PARADEROS_VALIDOS!$F$2:$F$68)-RADIANS(Z383))+SIN(RADIANS(Y383))*SIN(RADIANS(PARADEROS_VALIDOS!$E$2:$E$68))),0))</f>
        <v>Paradero Cesar Vallejo</v>
      </c>
      <c r="AD383" s="2" t="str">
        <f>IFERROR(INDEX(PARADEROS_VALIDOS!$A$2:$A$68,MATCH(AC383,PARADEROS_VALIDOS!$C$2:$C$68,0)),"")</f>
        <v>RUTA 4B</v>
      </c>
      <c r="AE383" s="33" cm="1">
        <f t="array" ref="AE383">ROUND(MIN(6371*ACOS(COS(RADIANS(Y383))*COS(RADIANS(PARADEROS_VALIDOS!$E$2:$E$68))*COS(RADIANS(PARADEROS_VALIDOS!$F$2:$F$68)-RADIANS(Z383))+SIN(RADIANS(Y383))*SIN(RADIANS(PARADEROS_VALIDOS!$E$2:$E$68)))),2)</f>
        <v>10.06</v>
      </c>
      <c r="AF383" s="2" t="str">
        <f t="shared" si="23"/>
        <v>🔴 Lejos (&gt;5 km)</v>
      </c>
      <c r="AG383" s="2"/>
      <c r="AH383" s="2"/>
      <c r="AI383" s="51">
        <v>-11.997563</v>
      </c>
      <c r="AJ383" s="51">
        <v>-76.900062000000005</v>
      </c>
      <c r="AK383" s="2" t="str">
        <f>IFERROR(VLOOKUP(I383,tdcargo[],2,FALSE),"DESCONOCIDO")</f>
        <v>OPERARIO</v>
      </c>
    </row>
    <row r="384" spans="1:37" x14ac:dyDescent="0.35">
      <c r="A384" s="2" t="s">
        <v>1946</v>
      </c>
      <c r="B384" s="2" t="s">
        <v>1834</v>
      </c>
      <c r="C384" s="2" t="s">
        <v>1211</v>
      </c>
      <c r="D384" s="2" t="s">
        <v>1363</v>
      </c>
      <c r="E384" s="2">
        <v>23</v>
      </c>
      <c r="F384" s="2" t="s">
        <v>28</v>
      </c>
      <c r="G384" s="2" t="s">
        <v>29</v>
      </c>
      <c r="H384" s="2">
        <v>20512086</v>
      </c>
      <c r="I384" s="2" t="s">
        <v>30</v>
      </c>
      <c r="J384" s="3">
        <v>45992</v>
      </c>
      <c r="K384" s="2" t="s">
        <v>31</v>
      </c>
      <c r="L384" s="2" t="s">
        <v>108</v>
      </c>
      <c r="M384" s="2" t="s">
        <v>109</v>
      </c>
      <c r="N384" s="2" t="s">
        <v>36</v>
      </c>
      <c r="O384" s="2" t="s">
        <v>1364</v>
      </c>
      <c r="P384" s="2" t="s">
        <v>36</v>
      </c>
      <c r="Q384" s="2" t="s">
        <v>322</v>
      </c>
      <c r="R384" s="2">
        <v>15457</v>
      </c>
      <c r="S384" s="2" t="s">
        <v>37</v>
      </c>
      <c r="T384" s="2" t="s">
        <v>37</v>
      </c>
      <c r="U384" s="2" t="s">
        <v>76</v>
      </c>
      <c r="V384" s="3">
        <v>45992</v>
      </c>
      <c r="W384" s="2" t="s">
        <v>135</v>
      </c>
      <c r="X384" s="2" t="str">
        <f t="shared" si="20"/>
        <v>Alfonso Ugarte Cerro Camote, Lurigancho, Lima, Lima, Perú</v>
      </c>
      <c r="Y384" s="22">
        <v>-11.966666699999999</v>
      </c>
      <c r="Z384" s="22">
        <v>-76.933333300000001</v>
      </c>
      <c r="AA384" s="33">
        <f t="shared" si="21"/>
        <v>4.99</v>
      </c>
      <c r="AB384" s="2" t="str">
        <f t="shared" si="22"/>
        <v>🟢 Muy Cerca (0-5 km)</v>
      </c>
      <c r="AC384" s="2" t="str" cm="1">
        <f t="array" ref="AC384">INDEX(PARADEROS_VALIDOS!$C$2:$C$68,MATCH(MIN(6371*ACOS(COS(RADIANS(Y384))*COS(RADIANS(PARADEROS_VALIDOS!$E$2:$E$68))*COS(RADIANS(PARADEROS_VALIDOS!$F$2:$F$68)-RADIANS(Z384))+SIN(RADIANS(Y384))*SIN(RADIANS(PARADEROS_VALIDOS!$E$2:$E$68)))),6371*ACOS(COS(RADIANS(Y384))*COS(RADIANS(PARADEROS_VALIDOS!$E$2:$E$68))*COS(RADIANS(PARADEROS_VALIDOS!$F$2:$F$68)-RADIANS(Z384))+SIN(RADIANS(Y384))*SIN(RADIANS(PARADEROS_VALIDOS!$E$2:$E$68))),0))</f>
        <v>Paradero Arco San Antonio</v>
      </c>
      <c r="AD384" s="2" t="str">
        <f>IFERROR(INDEX(PARADEROS_VALIDOS!$A$2:$A$68,MATCH(AC384,PARADEROS_VALIDOS!$C$2:$C$68,0)),"")</f>
        <v>RUTA 2</v>
      </c>
      <c r="AE384" s="33" cm="1">
        <f t="array" ref="AE384">ROUND(MIN(6371*ACOS(COS(RADIANS(Y384))*COS(RADIANS(PARADEROS_VALIDOS!$E$2:$E$68))*COS(RADIANS(PARADEROS_VALIDOS!$F$2:$F$68)-RADIANS(Z384))+SIN(RADIANS(Y384))*SIN(RADIANS(PARADEROS_VALIDOS!$E$2:$E$68)))),2)</f>
        <v>4.4400000000000004</v>
      </c>
      <c r="AF384" s="2" t="str">
        <f t="shared" si="23"/>
        <v>🟠 Moderada (3-5 km)</v>
      </c>
      <c r="AG384" s="2"/>
      <c r="AH384" s="2"/>
      <c r="AI384" s="51">
        <v>-11.997563</v>
      </c>
      <c r="AJ384" s="51">
        <v>-76.900062000000005</v>
      </c>
      <c r="AK384" s="2" t="str">
        <f>IFERROR(VLOOKUP(I384,tdcargo[],2,FALSE),"DESCONOCIDO")</f>
        <v>OPERARIO</v>
      </c>
    </row>
    <row r="385" spans="1:37" x14ac:dyDescent="0.35">
      <c r="A385" s="2" t="s">
        <v>1947</v>
      </c>
      <c r="B385" s="2" t="s">
        <v>1948</v>
      </c>
      <c r="C385" s="2" t="s">
        <v>1949</v>
      </c>
      <c r="D385" s="2" t="s">
        <v>1256</v>
      </c>
      <c r="E385" s="2">
        <v>19</v>
      </c>
      <c r="F385" s="2" t="s">
        <v>28</v>
      </c>
      <c r="G385" s="2" t="s">
        <v>29</v>
      </c>
      <c r="H385" s="2">
        <v>20508975</v>
      </c>
      <c r="I385" s="2" t="s">
        <v>30</v>
      </c>
      <c r="J385" s="3">
        <v>45931</v>
      </c>
      <c r="K385" s="2" t="s">
        <v>31</v>
      </c>
      <c r="L385" s="2" t="s">
        <v>132</v>
      </c>
      <c r="M385" s="2" t="s">
        <v>133</v>
      </c>
      <c r="N385" s="2" t="s">
        <v>82</v>
      </c>
      <c r="O385" s="2" t="s">
        <v>1950</v>
      </c>
      <c r="P385" s="2" t="s">
        <v>36</v>
      </c>
      <c r="Q385" s="2" t="s">
        <v>1951</v>
      </c>
      <c r="R385" s="2">
        <v>15457</v>
      </c>
      <c r="S385" s="2" t="s">
        <v>37</v>
      </c>
      <c r="T385" s="2" t="s">
        <v>37</v>
      </c>
      <c r="U385" s="2" t="s">
        <v>76</v>
      </c>
      <c r="V385" s="3">
        <v>45931</v>
      </c>
      <c r="W385" s="2" t="s">
        <v>39</v>
      </c>
      <c r="X385" s="2" t="str">
        <f t="shared" si="20"/>
        <v>Calle Calle 44 San Antonio De Carap, Lurigancho, Lima, Lima, Perú</v>
      </c>
      <c r="Y385" s="22">
        <v>-11.9368485</v>
      </c>
      <c r="Z385" s="22">
        <v>-76.9758061</v>
      </c>
      <c r="AA385" s="33">
        <f t="shared" si="21"/>
        <v>10.65</v>
      </c>
      <c r="AB385" s="2" t="str">
        <f t="shared" si="22"/>
        <v>🟠 Moderada (10-20 km)</v>
      </c>
      <c r="AC385" s="2" t="str" cm="1">
        <f t="array" ref="AC385">INDEX(PARADEROS_VALIDOS!$C$2:$C$68,MATCH(MIN(6371*ACOS(COS(RADIANS(Y385))*COS(RADIANS(PARADEROS_VALIDOS!$E$2:$E$68))*COS(RADIANS(PARADEROS_VALIDOS!$F$2:$F$68)-RADIANS(Z385))+SIN(RADIANS(Y385))*SIN(RADIANS(PARADEROS_VALIDOS!$E$2:$E$68)))),6371*ACOS(COS(RADIANS(Y385))*COS(RADIANS(PARADEROS_VALIDOS!$E$2:$E$68))*COS(RADIANS(PARADEROS_VALIDOS!$F$2:$F$68)-RADIANS(Z385))+SIN(RADIANS(Y385))*SIN(RADIANS(PARADEROS_VALIDOS!$E$2:$E$68))),0))</f>
        <v>Paradero Acho</v>
      </c>
      <c r="AD385" s="2" t="str">
        <f>IFERROR(INDEX(PARADEROS_VALIDOS!$A$2:$A$68,MATCH(AC385,PARADEROS_VALIDOS!$C$2:$C$68,0)),"")</f>
        <v>RUTA 8</v>
      </c>
      <c r="AE385" s="33" cm="1">
        <f t="array" ref="AE385">ROUND(MIN(6371*ACOS(COS(RADIANS(Y385))*COS(RADIANS(PARADEROS_VALIDOS!$E$2:$E$68))*COS(RADIANS(PARADEROS_VALIDOS!$F$2:$F$68)-RADIANS(Z385))+SIN(RADIANS(Y385))*SIN(RADIANS(PARADEROS_VALIDOS!$E$2:$E$68)))),2)</f>
        <v>5</v>
      </c>
      <c r="AF385" s="2" t="str">
        <f t="shared" si="23"/>
        <v>🟠 Moderada (3-5 km)</v>
      </c>
      <c r="AG385" s="2"/>
      <c r="AH385" s="2"/>
      <c r="AI385" s="51">
        <v>-11.997563</v>
      </c>
      <c r="AJ385" s="51">
        <v>-76.900062000000005</v>
      </c>
      <c r="AK385" s="2" t="str">
        <f>IFERROR(VLOOKUP(I385,tdcargo[],2,FALSE),"DESCONOCIDO")</f>
        <v>OPERARIO</v>
      </c>
    </row>
    <row r="386" spans="1:37" x14ac:dyDescent="0.35">
      <c r="A386" s="2" t="s">
        <v>1952</v>
      </c>
      <c r="B386" s="2" t="s">
        <v>1953</v>
      </c>
      <c r="C386" s="2" t="s">
        <v>130</v>
      </c>
      <c r="D386" s="2" t="s">
        <v>1954</v>
      </c>
      <c r="E386" s="2">
        <v>35</v>
      </c>
      <c r="F386" s="2" t="s">
        <v>28</v>
      </c>
      <c r="G386" s="2" t="s">
        <v>29</v>
      </c>
      <c r="H386" s="2">
        <v>20508977</v>
      </c>
      <c r="I386" s="2" t="s">
        <v>30</v>
      </c>
      <c r="J386" s="3">
        <v>45852</v>
      </c>
      <c r="K386" s="2" t="s">
        <v>31</v>
      </c>
      <c r="L386" s="2" t="s">
        <v>132</v>
      </c>
      <c r="M386" s="2" t="s">
        <v>133</v>
      </c>
      <c r="N386" s="2" t="s">
        <v>34</v>
      </c>
      <c r="O386" s="2" t="s">
        <v>798</v>
      </c>
      <c r="P386" s="2" t="s">
        <v>36</v>
      </c>
      <c r="Q386" s="2" t="s">
        <v>1955</v>
      </c>
      <c r="R386" s="2">
        <v>15004</v>
      </c>
      <c r="S386" s="2" t="s">
        <v>37</v>
      </c>
      <c r="T386" s="2" t="s">
        <v>37</v>
      </c>
      <c r="U386" s="2" t="s">
        <v>57</v>
      </c>
      <c r="V386" s="3">
        <v>45852</v>
      </c>
      <c r="W386" s="2" t="s">
        <v>39</v>
      </c>
      <c r="X386" s="2" t="str">
        <f t="shared" si="20"/>
        <v>Avenida 15 De Julio Aurora, Ate, Lima, Lima, Perú</v>
      </c>
      <c r="Y386" s="22">
        <v>-12.016420999999999</v>
      </c>
      <c r="Z386" s="22">
        <v>-76.825003800000005</v>
      </c>
      <c r="AA386" s="33">
        <f>ROUND(6371*ACOS(COS(RADIANS(-11.997563))*COS(RADIANS(Y386))*COS(RADIANS(Z386)-RADIANS(-76.900062))+SIN(RADIANS(-11.997563))*SIN(RADIANS(Y386))),2)</f>
        <v>8.43</v>
      </c>
      <c r="AB386" s="2" t="str">
        <f>IF(AA386&lt;=5,"🟢 Muy Cerca (0-5 km)",IF(AA386&lt;=10,"🟡 Cerca (5-10 km)",IF(AA386&lt;=20,"🟠 Moderada (10-20 km)","🔴 Lejos (&gt;20 km)")))</f>
        <v>🟡 Cerca (5-10 km)</v>
      </c>
      <c r="AC386" s="2" t="str" cm="1">
        <f t="array" ref="AC386">INDEX(PARADEROS_VALIDOS!$C$2:$C$68,MATCH(MIN(6371*ACOS(COS(RADIANS(Y386))*COS(RADIANS(PARADEROS_VALIDOS!$E$2:$E$68))*COS(RADIANS(PARADEROS_VALIDOS!$F$2:$F$68)-RADIANS(Z386))+SIN(RADIANS(Y386))*SIN(RADIANS(PARADEROS_VALIDOS!$E$2:$E$68)))),6371*ACOS(COS(RADIANS(Y386))*COS(RADIANS(PARADEROS_VALIDOS!$E$2:$E$68))*COS(RADIANS(PARADEROS_VALIDOS!$F$2:$F$68)-RADIANS(Z386))+SIN(RADIANS(Y386))*SIN(RADIANS(PARADEROS_VALIDOS!$E$2:$E$68))),0))</f>
        <v>Paradero Aurora</v>
      </c>
      <c r="AD386" s="2" t="str">
        <f>IFERROR(INDEX(PARADEROS_VALIDOS!$A$2:$A$68,MATCH(AC386,PARADEROS_VALIDOS!$C$2:$C$68,0)),"")</f>
        <v>RUTA 3</v>
      </c>
      <c r="AE386" s="33" cm="1">
        <f t="array" ref="AE386">ROUND(MIN(6371*ACOS(COS(RADIANS(Y386))*COS(RADIANS(PARADEROS_VALIDOS!$E$2:$E$68))*COS(RADIANS(PARADEROS_VALIDOS!$F$2:$F$68)-RADIANS(Z386))+SIN(RADIANS(Y386))*SIN(RADIANS(PARADEROS_VALIDOS!$E$2:$E$68)))),2)</f>
        <v>1.08</v>
      </c>
      <c r="AF386" s="2" t="str">
        <f>IF(AE386&lt;=1,"🟢 Muy Cerca (0-1 km)",IF(AE386&lt;=3,"🟡 Cerca (1-3 km)",IF(AE386&lt;=5,"🟠 Moderada (3-5 km)","🔴 Lejos (&gt;5 km)")))</f>
        <v>🟡 Cerca (1-3 km)</v>
      </c>
      <c r="AG386" s="2"/>
      <c r="AH386" s="2"/>
      <c r="AI386" s="51">
        <v>-11.997563</v>
      </c>
      <c r="AJ386" s="51">
        <v>-76.900062000000005</v>
      </c>
      <c r="AK386" s="2" t="str">
        <f>IFERROR(VLOOKUP(I386,tdcargo[],2,FALSE),"DESCONOCIDO")</f>
        <v>OPERARIO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4E152-9335-40E3-AD83-5D51A8E10933}">
  <dimension ref="A1:F68"/>
  <sheetViews>
    <sheetView zoomScale="85" zoomScaleNormal="85" workbookViewId="0">
      <selection activeCell="I5" sqref="I5"/>
    </sheetView>
  </sheetViews>
  <sheetFormatPr baseColWidth="10" defaultRowHeight="14.5" x14ac:dyDescent="0.35"/>
  <cols>
    <col min="1" max="1" width="8.1796875" bestFit="1" customWidth="1"/>
    <col min="2" max="2" width="11.7265625" bestFit="1" customWidth="1"/>
    <col min="3" max="3" width="67.453125" bestFit="1" customWidth="1"/>
    <col min="4" max="4" width="77.26953125" bestFit="1" customWidth="1"/>
    <col min="5" max="5" width="12.26953125" bestFit="1" customWidth="1"/>
    <col min="6" max="6" width="12.6328125" bestFit="1" customWidth="1"/>
    <col min="9" max="9" width="66.453125" bestFit="1" customWidth="1"/>
    <col min="10" max="10" width="11.453125" bestFit="1" customWidth="1"/>
    <col min="11" max="11" width="12.6328125" bestFit="1" customWidth="1"/>
    <col min="12" max="12" width="10.453125" bestFit="1" customWidth="1"/>
    <col min="13" max="21" width="11.453125" bestFit="1" customWidth="1"/>
    <col min="22" max="22" width="10.453125" bestFit="1" customWidth="1"/>
    <col min="23" max="29" width="11.453125" bestFit="1" customWidth="1"/>
    <col min="30" max="30" width="9.453125" bestFit="1" customWidth="1"/>
    <col min="31" max="35" width="11.453125" bestFit="1" customWidth="1"/>
    <col min="36" max="36" width="9.453125" bestFit="1" customWidth="1"/>
    <col min="37" max="37" width="10.453125" bestFit="1" customWidth="1"/>
    <col min="38" max="38" width="11.453125" bestFit="1" customWidth="1"/>
    <col min="39" max="39" width="10.453125" bestFit="1" customWidth="1"/>
    <col min="40" max="62" width="11.453125" bestFit="1" customWidth="1"/>
    <col min="63" max="63" width="9.453125" bestFit="1" customWidth="1"/>
    <col min="64" max="65" width="11.453125" bestFit="1" customWidth="1"/>
    <col min="66" max="66" width="12.453125" bestFit="1" customWidth="1"/>
  </cols>
  <sheetData>
    <row r="1" spans="1:6" x14ac:dyDescent="0.35">
      <c r="A1" s="16" t="s">
        <v>4235</v>
      </c>
      <c r="B1" s="16" t="s">
        <v>4354</v>
      </c>
      <c r="C1" s="16" t="s">
        <v>4382</v>
      </c>
      <c r="D1" s="16" t="s">
        <v>4383</v>
      </c>
      <c r="E1" s="16" t="s">
        <v>4232</v>
      </c>
      <c r="F1" s="16" t="s">
        <v>4233</v>
      </c>
    </row>
    <row r="2" spans="1:6" x14ac:dyDescent="0.35">
      <c r="A2" t="s">
        <v>4237</v>
      </c>
      <c r="B2" t="s">
        <v>4238</v>
      </c>
      <c r="C2" t="s">
        <v>4239</v>
      </c>
      <c r="D2" t="s">
        <v>4384</v>
      </c>
      <c r="E2">
        <v>-11.968456</v>
      </c>
      <c r="F2">
        <v>-77.088847999999999</v>
      </c>
    </row>
    <row r="3" spans="1:6" x14ac:dyDescent="0.35">
      <c r="A3" t="s">
        <v>4237</v>
      </c>
      <c r="B3" t="s">
        <v>4240</v>
      </c>
      <c r="C3" t="s">
        <v>4241</v>
      </c>
      <c r="D3" t="s">
        <v>4385</v>
      </c>
      <c r="E3">
        <v>-12.011564399999999</v>
      </c>
      <c r="F3">
        <v>-76.982143800000003</v>
      </c>
    </row>
    <row r="4" spans="1:6" x14ac:dyDescent="0.35">
      <c r="A4" t="s">
        <v>4237</v>
      </c>
      <c r="B4" t="s">
        <v>4244</v>
      </c>
      <c r="C4" t="s">
        <v>4245</v>
      </c>
      <c r="D4" t="s">
        <v>4386</v>
      </c>
      <c r="E4">
        <v>-12.0002005</v>
      </c>
      <c r="F4">
        <v>-76.900436600000006</v>
      </c>
    </row>
    <row r="5" spans="1:6" x14ac:dyDescent="0.35">
      <c r="A5" t="s">
        <v>4246</v>
      </c>
      <c r="B5" t="s">
        <v>4238</v>
      </c>
      <c r="C5" t="s">
        <v>4247</v>
      </c>
      <c r="D5" t="s">
        <v>4387</v>
      </c>
      <c r="E5">
        <v>-11.993506500000001</v>
      </c>
      <c r="F5">
        <v>-76.903131200000004</v>
      </c>
    </row>
    <row r="6" spans="1:6" x14ac:dyDescent="0.35">
      <c r="A6" t="s">
        <v>4246</v>
      </c>
      <c r="B6" t="s">
        <v>4248</v>
      </c>
      <c r="C6" t="s">
        <v>4249</v>
      </c>
      <c r="D6" t="s">
        <v>4388</v>
      </c>
      <c r="E6">
        <v>-12.0861146</v>
      </c>
      <c r="F6">
        <v>-76.912847799999994</v>
      </c>
    </row>
    <row r="7" spans="1:6" x14ac:dyDescent="0.35">
      <c r="A7" t="s">
        <v>4250</v>
      </c>
      <c r="B7" t="s">
        <v>4251</v>
      </c>
      <c r="C7" t="s">
        <v>4252</v>
      </c>
      <c r="D7" t="s">
        <v>4389</v>
      </c>
      <c r="E7">
        <v>-12.0522001</v>
      </c>
      <c r="F7">
        <v>-77.115333399999997</v>
      </c>
    </row>
    <row r="8" spans="1:6" x14ac:dyDescent="0.35">
      <c r="A8" t="s">
        <v>4250</v>
      </c>
      <c r="B8" t="s">
        <v>4253</v>
      </c>
      <c r="C8" t="s">
        <v>2140</v>
      </c>
      <c r="D8" t="s">
        <v>4390</v>
      </c>
      <c r="E8">
        <v>-12.0258644</v>
      </c>
      <c r="F8">
        <v>-76.822585099999998</v>
      </c>
    </row>
    <row r="9" spans="1:6" x14ac:dyDescent="0.35">
      <c r="A9" t="s">
        <v>4250</v>
      </c>
      <c r="B9" t="s">
        <v>4254</v>
      </c>
      <c r="C9" t="s">
        <v>4255</v>
      </c>
      <c r="D9" t="s">
        <v>4391</v>
      </c>
      <c r="E9">
        <v>-11.977323800000001</v>
      </c>
      <c r="F9">
        <v>-77.058960999999996</v>
      </c>
    </row>
    <row r="10" spans="1:6" x14ac:dyDescent="0.35">
      <c r="A10" t="s">
        <v>4250</v>
      </c>
      <c r="B10" t="s">
        <v>4256</v>
      </c>
      <c r="C10" t="s">
        <v>4257</v>
      </c>
      <c r="D10" t="s">
        <v>4392</v>
      </c>
      <c r="E10">
        <v>-12.0422674</v>
      </c>
      <c r="F10">
        <v>-76.986968300000001</v>
      </c>
    </row>
    <row r="11" spans="1:6" x14ac:dyDescent="0.35">
      <c r="A11" t="s">
        <v>4250</v>
      </c>
      <c r="B11" t="s">
        <v>4259</v>
      </c>
      <c r="C11" t="s">
        <v>4260</v>
      </c>
      <c r="D11" t="s">
        <v>4393</v>
      </c>
      <c r="E11">
        <v>-12.0466888</v>
      </c>
      <c r="F11">
        <v>-77.043088600000004</v>
      </c>
    </row>
    <row r="12" spans="1:6" x14ac:dyDescent="0.35">
      <c r="A12" t="s">
        <v>4261</v>
      </c>
      <c r="B12" t="s">
        <v>4259</v>
      </c>
      <c r="C12" t="s">
        <v>4262</v>
      </c>
      <c r="D12" t="s">
        <v>4394</v>
      </c>
      <c r="E12">
        <v>-12.043303099999999</v>
      </c>
      <c r="F12">
        <v>-76.970367300000007</v>
      </c>
    </row>
    <row r="13" spans="1:6" x14ac:dyDescent="0.35">
      <c r="A13" t="s">
        <v>4261</v>
      </c>
      <c r="B13" t="s">
        <v>4263</v>
      </c>
      <c r="C13" t="s">
        <v>4264</v>
      </c>
      <c r="D13" t="s">
        <v>4395</v>
      </c>
      <c r="E13">
        <v>-12.0406408</v>
      </c>
      <c r="F13">
        <v>-76.9608408</v>
      </c>
    </row>
    <row r="14" spans="1:6" x14ac:dyDescent="0.35">
      <c r="A14" t="s">
        <v>4261</v>
      </c>
      <c r="B14" t="s">
        <v>4265</v>
      </c>
      <c r="C14" t="s">
        <v>4266</v>
      </c>
      <c r="D14" t="s">
        <v>4396</v>
      </c>
      <c r="E14">
        <v>-12.0378586</v>
      </c>
      <c r="F14">
        <v>-76.953911899999994</v>
      </c>
    </row>
    <row r="15" spans="1:6" x14ac:dyDescent="0.35">
      <c r="A15" t="s">
        <v>4261</v>
      </c>
      <c r="B15" t="s">
        <v>4267</v>
      </c>
      <c r="C15" t="s">
        <v>4268</v>
      </c>
      <c r="D15" t="s">
        <v>4397</v>
      </c>
      <c r="E15">
        <v>-11.952880199999999</v>
      </c>
      <c r="F15">
        <v>-77.064598399999994</v>
      </c>
    </row>
    <row r="16" spans="1:6" x14ac:dyDescent="0.35">
      <c r="A16" t="s">
        <v>4261</v>
      </c>
      <c r="B16" t="s">
        <v>4269</v>
      </c>
      <c r="C16" t="s">
        <v>4270</v>
      </c>
      <c r="D16" t="s">
        <v>4398</v>
      </c>
      <c r="E16">
        <v>-12.041366699999999</v>
      </c>
      <c r="F16">
        <v>-76.9319773</v>
      </c>
    </row>
    <row r="17" spans="1:6" x14ac:dyDescent="0.35">
      <c r="A17" t="s">
        <v>4261</v>
      </c>
      <c r="B17" t="s">
        <v>4271</v>
      </c>
      <c r="C17" t="s">
        <v>4272</v>
      </c>
      <c r="D17" t="s">
        <v>4399</v>
      </c>
      <c r="E17">
        <v>-12.090224299999999</v>
      </c>
      <c r="F17">
        <v>-77.017361600000001</v>
      </c>
    </row>
    <row r="18" spans="1:6" x14ac:dyDescent="0.35">
      <c r="A18" t="s">
        <v>4273</v>
      </c>
      <c r="B18" t="s">
        <v>4274</v>
      </c>
      <c r="C18" t="s">
        <v>4275</v>
      </c>
      <c r="D18" t="s">
        <v>4400</v>
      </c>
      <c r="E18">
        <v>-12.026609499999999</v>
      </c>
      <c r="F18">
        <v>-76.920643400000003</v>
      </c>
    </row>
    <row r="19" spans="1:6" x14ac:dyDescent="0.35">
      <c r="A19" t="s">
        <v>4273</v>
      </c>
      <c r="B19" t="s">
        <v>4276</v>
      </c>
      <c r="C19" t="s">
        <v>4277</v>
      </c>
      <c r="D19" t="s">
        <v>4401</v>
      </c>
      <c r="E19">
        <v>-11.801477999999999</v>
      </c>
      <c r="F19">
        <v>-77.010198000000003</v>
      </c>
    </row>
    <row r="20" spans="1:6" x14ac:dyDescent="0.35">
      <c r="A20" t="s">
        <v>4273</v>
      </c>
      <c r="B20" t="s">
        <v>4238</v>
      </c>
      <c r="C20" t="s">
        <v>4278</v>
      </c>
      <c r="D20" t="s">
        <v>4402</v>
      </c>
      <c r="E20">
        <v>-12.021782200000001</v>
      </c>
      <c r="F20">
        <v>-76.9069073</v>
      </c>
    </row>
    <row r="21" spans="1:6" x14ac:dyDescent="0.35">
      <c r="A21" t="s">
        <v>4273</v>
      </c>
      <c r="B21" t="s">
        <v>4279</v>
      </c>
      <c r="C21" t="s">
        <v>4280</v>
      </c>
      <c r="D21" t="s">
        <v>4403</v>
      </c>
      <c r="E21">
        <v>-12.014773699999999</v>
      </c>
      <c r="F21">
        <v>-76.885043300000007</v>
      </c>
    </row>
    <row r="22" spans="1:6" x14ac:dyDescent="0.35">
      <c r="A22" t="s">
        <v>4281</v>
      </c>
      <c r="B22" t="s">
        <v>4259</v>
      </c>
      <c r="C22" t="s">
        <v>4282</v>
      </c>
      <c r="D22" t="s">
        <v>4404</v>
      </c>
      <c r="E22">
        <v>-12.0328871</v>
      </c>
      <c r="F22">
        <v>-77.070490699999993</v>
      </c>
    </row>
    <row r="23" spans="1:6" x14ac:dyDescent="0.35">
      <c r="A23" t="s">
        <v>4281</v>
      </c>
      <c r="B23" t="s">
        <v>4283</v>
      </c>
      <c r="C23" t="s">
        <v>4284</v>
      </c>
      <c r="D23" t="s">
        <v>4405</v>
      </c>
      <c r="E23">
        <v>-11.9775165</v>
      </c>
      <c r="F23">
        <v>-76.778042299999996</v>
      </c>
    </row>
    <row r="24" spans="1:6" x14ac:dyDescent="0.35">
      <c r="A24" t="s">
        <v>4281</v>
      </c>
      <c r="B24" t="s">
        <v>4285</v>
      </c>
      <c r="C24" t="s">
        <v>4286</v>
      </c>
      <c r="D24" t="s">
        <v>4406</v>
      </c>
      <c r="E24">
        <v>-11.976472100000001</v>
      </c>
      <c r="F24">
        <v>-76.772493499999996</v>
      </c>
    </row>
    <row r="25" spans="1:6" x14ac:dyDescent="0.35">
      <c r="A25" t="s">
        <v>4281</v>
      </c>
      <c r="B25" t="s">
        <v>4287</v>
      </c>
      <c r="C25" t="s">
        <v>4288</v>
      </c>
      <c r="D25" t="s">
        <v>4407</v>
      </c>
      <c r="E25">
        <v>-11.989179999999999</v>
      </c>
      <c r="F25">
        <v>-76.81841</v>
      </c>
    </row>
    <row r="26" spans="1:6" x14ac:dyDescent="0.35">
      <c r="A26" t="s">
        <v>4289</v>
      </c>
      <c r="B26" t="s">
        <v>4259</v>
      </c>
      <c r="C26" t="s">
        <v>4290</v>
      </c>
      <c r="D26" t="s">
        <v>4408</v>
      </c>
      <c r="E26">
        <v>-12.000375699999999</v>
      </c>
      <c r="F26">
        <v>-76.838540899999998</v>
      </c>
    </row>
    <row r="27" spans="1:6" x14ac:dyDescent="0.35">
      <c r="A27" t="s">
        <v>4289</v>
      </c>
      <c r="B27" t="s">
        <v>4285</v>
      </c>
      <c r="C27" t="s">
        <v>4291</v>
      </c>
      <c r="D27" t="s">
        <v>4409</v>
      </c>
      <c r="E27">
        <v>-12.008354000000001</v>
      </c>
      <c r="F27">
        <v>-76.8420196</v>
      </c>
    </row>
    <row r="28" spans="1:6" x14ac:dyDescent="0.35">
      <c r="A28" t="s">
        <v>4289</v>
      </c>
      <c r="B28" t="s">
        <v>4292</v>
      </c>
      <c r="C28" t="s">
        <v>4293</v>
      </c>
      <c r="D28" t="s">
        <v>4410</v>
      </c>
      <c r="E28">
        <v>-12.0074646</v>
      </c>
      <c r="F28">
        <v>-76.851555599999998</v>
      </c>
    </row>
    <row r="29" spans="1:6" x14ac:dyDescent="0.35">
      <c r="A29" t="s">
        <v>4289</v>
      </c>
      <c r="B29" t="s">
        <v>4294</v>
      </c>
      <c r="C29" t="s">
        <v>4295</v>
      </c>
      <c r="D29" t="s">
        <v>4411</v>
      </c>
      <c r="E29">
        <v>-12.1328277</v>
      </c>
      <c r="F29">
        <v>-76.9570121</v>
      </c>
    </row>
    <row r="30" spans="1:6" x14ac:dyDescent="0.35">
      <c r="A30" t="s">
        <v>4296</v>
      </c>
      <c r="B30" t="s">
        <v>4269</v>
      </c>
      <c r="C30" t="s">
        <v>4297</v>
      </c>
      <c r="D30" t="s">
        <v>4412</v>
      </c>
      <c r="E30">
        <v>-12.014806</v>
      </c>
      <c r="F30">
        <v>-76.885275800000002</v>
      </c>
    </row>
    <row r="31" spans="1:6" x14ac:dyDescent="0.35">
      <c r="A31" t="s">
        <v>4296</v>
      </c>
      <c r="B31" t="s">
        <v>4274</v>
      </c>
      <c r="C31" t="s">
        <v>4298</v>
      </c>
      <c r="D31" t="s">
        <v>4413</v>
      </c>
      <c r="E31">
        <v>-12.014094699999999</v>
      </c>
      <c r="F31">
        <v>-76.916338100000004</v>
      </c>
    </row>
    <row r="32" spans="1:6" x14ac:dyDescent="0.35">
      <c r="A32" t="s">
        <v>4299</v>
      </c>
      <c r="B32" t="s">
        <v>4253</v>
      </c>
      <c r="C32" t="s">
        <v>4300</v>
      </c>
      <c r="D32" t="s">
        <v>4414</v>
      </c>
      <c r="E32">
        <v>-12.0301145</v>
      </c>
      <c r="F32">
        <v>-76.960033999999993</v>
      </c>
    </row>
    <row r="33" spans="1:6" x14ac:dyDescent="0.35">
      <c r="A33" t="s">
        <v>4299</v>
      </c>
      <c r="B33" t="s">
        <v>4254</v>
      </c>
      <c r="C33" t="s">
        <v>4301</v>
      </c>
      <c r="D33" t="s">
        <v>4415</v>
      </c>
      <c r="E33">
        <v>-11.9749345</v>
      </c>
      <c r="F33">
        <v>-77.000217500000005</v>
      </c>
    </row>
    <row r="34" spans="1:6" x14ac:dyDescent="0.35">
      <c r="A34" t="s">
        <v>4302</v>
      </c>
      <c r="B34" t="s">
        <v>4303</v>
      </c>
      <c r="C34" t="s">
        <v>4304</v>
      </c>
      <c r="D34" t="s">
        <v>4416</v>
      </c>
      <c r="E34">
        <v>-11.975627599999999</v>
      </c>
      <c r="F34">
        <v>-77.002181100000001</v>
      </c>
    </row>
    <row r="35" spans="1:6" x14ac:dyDescent="0.35">
      <c r="A35" t="s">
        <v>4302</v>
      </c>
      <c r="B35" t="s">
        <v>4285</v>
      </c>
      <c r="C35" t="s">
        <v>4305</v>
      </c>
      <c r="D35" t="s">
        <v>4417</v>
      </c>
      <c r="E35">
        <v>-11.988982200000001</v>
      </c>
      <c r="F35">
        <v>-77.010660799999997</v>
      </c>
    </row>
    <row r="36" spans="1:6" x14ac:dyDescent="0.35">
      <c r="A36" t="s">
        <v>4302</v>
      </c>
      <c r="B36" t="s">
        <v>4292</v>
      </c>
      <c r="C36" t="s">
        <v>4306</v>
      </c>
      <c r="D36" t="s">
        <v>4418</v>
      </c>
      <c r="E36">
        <v>-11.980256499999999</v>
      </c>
      <c r="F36">
        <v>-77.084958200000003</v>
      </c>
    </row>
    <row r="37" spans="1:6" x14ac:dyDescent="0.35">
      <c r="A37" t="s">
        <v>4302</v>
      </c>
      <c r="B37" t="s">
        <v>4294</v>
      </c>
      <c r="C37" t="s">
        <v>4307</v>
      </c>
      <c r="D37" t="s">
        <v>4419</v>
      </c>
      <c r="E37">
        <v>-12.0065551</v>
      </c>
      <c r="F37">
        <v>-77.006669099999996</v>
      </c>
    </row>
    <row r="38" spans="1:6" x14ac:dyDescent="0.35">
      <c r="A38" t="s">
        <v>4308</v>
      </c>
      <c r="B38" t="s">
        <v>4285</v>
      </c>
      <c r="C38" t="s">
        <v>4309</v>
      </c>
      <c r="D38" t="s">
        <v>4420</v>
      </c>
      <c r="E38">
        <v>-12.0133604</v>
      </c>
      <c r="F38">
        <v>-77.001567800000004</v>
      </c>
    </row>
    <row r="39" spans="1:6" x14ac:dyDescent="0.35">
      <c r="A39" t="s">
        <v>4308</v>
      </c>
      <c r="B39" t="s">
        <v>4269</v>
      </c>
      <c r="C39" t="s">
        <v>4310</v>
      </c>
      <c r="D39" t="s">
        <v>4421</v>
      </c>
      <c r="E39">
        <v>-12.028634500000001</v>
      </c>
      <c r="F39">
        <v>-76.993681100000003</v>
      </c>
    </row>
    <row r="40" spans="1:6" x14ac:dyDescent="0.35">
      <c r="A40" t="s">
        <v>4308</v>
      </c>
      <c r="B40" t="s">
        <v>4271</v>
      </c>
      <c r="C40" t="s">
        <v>4311</v>
      </c>
      <c r="D40" t="s">
        <v>4422</v>
      </c>
      <c r="E40">
        <v>-12.02153</v>
      </c>
      <c r="F40">
        <v>-76.98612</v>
      </c>
    </row>
    <row r="41" spans="1:6" x14ac:dyDescent="0.35">
      <c r="A41" t="s">
        <v>4308</v>
      </c>
      <c r="B41" t="s">
        <v>4312</v>
      </c>
      <c r="C41" t="s">
        <v>4313</v>
      </c>
      <c r="D41" t="s">
        <v>4423</v>
      </c>
      <c r="E41">
        <v>-12.024037999999999</v>
      </c>
      <c r="F41">
        <v>-76.973168999999999</v>
      </c>
    </row>
    <row r="42" spans="1:6" x14ac:dyDescent="0.35">
      <c r="A42" t="s">
        <v>4308</v>
      </c>
      <c r="B42" t="s">
        <v>4314</v>
      </c>
      <c r="C42" t="s">
        <v>4315</v>
      </c>
      <c r="D42" t="s">
        <v>4424</v>
      </c>
      <c r="E42">
        <v>-12.2067026</v>
      </c>
      <c r="F42">
        <v>-76.862691100000006</v>
      </c>
    </row>
    <row r="43" spans="1:6" x14ac:dyDescent="0.35">
      <c r="A43" t="s">
        <v>4316</v>
      </c>
      <c r="B43" t="s">
        <v>4317</v>
      </c>
      <c r="C43" t="s">
        <v>4318</v>
      </c>
      <c r="D43" t="s">
        <v>4425</v>
      </c>
      <c r="E43">
        <v>-11.9954968</v>
      </c>
      <c r="F43">
        <v>-77.124786299999997</v>
      </c>
    </row>
    <row r="44" spans="1:6" x14ac:dyDescent="0.35">
      <c r="A44" t="s">
        <v>4316</v>
      </c>
      <c r="B44" t="s">
        <v>4319</v>
      </c>
      <c r="C44" t="s">
        <v>4320</v>
      </c>
      <c r="D44" t="s">
        <v>4426</v>
      </c>
      <c r="E44">
        <v>-12.2152861</v>
      </c>
      <c r="F44">
        <v>-76.923385800000005</v>
      </c>
    </row>
    <row r="45" spans="1:6" x14ac:dyDescent="0.35">
      <c r="A45" t="s">
        <v>4316</v>
      </c>
      <c r="B45" t="s">
        <v>4251</v>
      </c>
      <c r="C45" t="s">
        <v>4321</v>
      </c>
      <c r="D45" t="s">
        <v>4427</v>
      </c>
      <c r="E45">
        <v>-12.205833200000001</v>
      </c>
      <c r="F45">
        <v>-76.9527669</v>
      </c>
    </row>
    <row r="46" spans="1:6" x14ac:dyDescent="0.35">
      <c r="A46" t="s">
        <v>4316</v>
      </c>
      <c r="B46" t="s">
        <v>4253</v>
      </c>
      <c r="C46" t="s">
        <v>4322</v>
      </c>
      <c r="D46" t="s">
        <v>4428</v>
      </c>
      <c r="E46">
        <v>-12.1982584</v>
      </c>
      <c r="F46">
        <v>-76.957418000000004</v>
      </c>
    </row>
    <row r="47" spans="1:6" x14ac:dyDescent="0.35">
      <c r="A47" t="s">
        <v>4316</v>
      </c>
      <c r="B47" t="s">
        <v>4254</v>
      </c>
      <c r="C47" t="s">
        <v>4323</v>
      </c>
      <c r="D47" t="s">
        <v>4429</v>
      </c>
      <c r="E47">
        <v>-12.168670000000001</v>
      </c>
      <c r="F47">
        <v>-76.979179999999999</v>
      </c>
    </row>
    <row r="48" spans="1:6" x14ac:dyDescent="0.35">
      <c r="A48" t="s">
        <v>4316</v>
      </c>
      <c r="B48" t="s">
        <v>4303</v>
      </c>
      <c r="C48" t="s">
        <v>4324</v>
      </c>
      <c r="D48" t="s">
        <v>4430</v>
      </c>
      <c r="E48">
        <v>-12.1619726</v>
      </c>
      <c r="F48">
        <v>-76.981806700000007</v>
      </c>
    </row>
    <row r="49" spans="1:6" x14ac:dyDescent="0.35">
      <c r="A49" t="s">
        <v>4316</v>
      </c>
      <c r="B49" t="s">
        <v>4259</v>
      </c>
      <c r="C49" t="s">
        <v>4325</v>
      </c>
      <c r="D49" t="s">
        <v>4431</v>
      </c>
      <c r="E49">
        <v>-12.147255599999999</v>
      </c>
      <c r="F49">
        <v>-76.981729400000006</v>
      </c>
    </row>
    <row r="50" spans="1:6" x14ac:dyDescent="0.35">
      <c r="A50" t="s">
        <v>4316</v>
      </c>
      <c r="B50" t="s">
        <v>4285</v>
      </c>
      <c r="C50" t="s">
        <v>4326</v>
      </c>
      <c r="D50" t="s">
        <v>4432</v>
      </c>
      <c r="E50">
        <v>-11.9681505</v>
      </c>
      <c r="F50">
        <v>-77.0734657</v>
      </c>
    </row>
    <row r="51" spans="1:6" x14ac:dyDescent="0.35">
      <c r="A51" t="s">
        <v>4316</v>
      </c>
      <c r="B51" t="s">
        <v>4294</v>
      </c>
      <c r="C51" t="s">
        <v>4327</v>
      </c>
      <c r="D51" t="s">
        <v>4433</v>
      </c>
      <c r="E51">
        <v>-12.111108</v>
      </c>
      <c r="F51">
        <v>-76.977913000000001</v>
      </c>
    </row>
    <row r="52" spans="1:6" x14ac:dyDescent="0.35">
      <c r="A52" t="s">
        <v>4316</v>
      </c>
      <c r="B52" t="s">
        <v>4328</v>
      </c>
      <c r="C52" t="s">
        <v>4329</v>
      </c>
      <c r="D52" t="s">
        <v>4434</v>
      </c>
      <c r="E52">
        <v>-12.1007421</v>
      </c>
      <c r="F52">
        <v>-76.9868077</v>
      </c>
    </row>
    <row r="53" spans="1:6" x14ac:dyDescent="0.35">
      <c r="A53" t="s">
        <v>4316</v>
      </c>
      <c r="B53" t="s">
        <v>4269</v>
      </c>
      <c r="C53" t="s">
        <v>4330</v>
      </c>
      <c r="D53" t="s">
        <v>4435</v>
      </c>
      <c r="E53">
        <v>-12.0820706</v>
      </c>
      <c r="F53">
        <v>-76.979729000000006</v>
      </c>
    </row>
    <row r="54" spans="1:6" x14ac:dyDescent="0.35">
      <c r="A54" t="s">
        <v>4316</v>
      </c>
      <c r="B54" t="s">
        <v>4331</v>
      </c>
      <c r="C54" t="s">
        <v>4332</v>
      </c>
      <c r="D54" t="s">
        <v>4436</v>
      </c>
      <c r="E54">
        <v>-12.057740900000001</v>
      </c>
      <c r="F54">
        <v>-76.973791800000001</v>
      </c>
    </row>
    <row r="55" spans="1:6" x14ac:dyDescent="0.35">
      <c r="A55" t="s">
        <v>4316</v>
      </c>
      <c r="B55" t="s">
        <v>4333</v>
      </c>
      <c r="C55" t="s">
        <v>4334</v>
      </c>
      <c r="D55" t="s">
        <v>4437</v>
      </c>
      <c r="E55">
        <v>-12.047269999999999</v>
      </c>
      <c r="F55">
        <v>-76.980826699999994</v>
      </c>
    </row>
    <row r="56" spans="1:6" x14ac:dyDescent="0.35">
      <c r="A56" t="s">
        <v>4316</v>
      </c>
      <c r="B56" t="s">
        <v>4242</v>
      </c>
      <c r="C56" t="s">
        <v>4335</v>
      </c>
      <c r="D56" t="s">
        <v>4438</v>
      </c>
      <c r="E56">
        <v>-12.0534035</v>
      </c>
      <c r="F56">
        <v>-76.957381799999993</v>
      </c>
    </row>
    <row r="57" spans="1:6" x14ac:dyDescent="0.35">
      <c r="A57" t="s">
        <v>4336</v>
      </c>
      <c r="B57" t="s">
        <v>4337</v>
      </c>
      <c r="C57" t="s">
        <v>4338</v>
      </c>
      <c r="D57" t="s">
        <v>4439</v>
      </c>
      <c r="E57">
        <v>-11.9880342</v>
      </c>
      <c r="F57">
        <v>-77.063451400000005</v>
      </c>
    </row>
    <row r="58" spans="1:6" x14ac:dyDescent="0.35">
      <c r="A58" t="s">
        <v>4349</v>
      </c>
      <c r="B58" t="s">
        <v>4251</v>
      </c>
      <c r="C58" t="s">
        <v>4350</v>
      </c>
      <c r="D58" t="s">
        <v>4440</v>
      </c>
      <c r="E58">
        <v>-12.0551303</v>
      </c>
      <c r="F58">
        <v>-77.102621799999994</v>
      </c>
    </row>
    <row r="59" spans="1:6" x14ac:dyDescent="0.35">
      <c r="A59" t="s">
        <v>4349</v>
      </c>
      <c r="B59" t="s">
        <v>4254</v>
      </c>
      <c r="C59" t="s">
        <v>4351</v>
      </c>
      <c r="D59" t="s">
        <v>4441</v>
      </c>
      <c r="E59">
        <v>-12.0782829</v>
      </c>
      <c r="F59">
        <v>-77.081743799999998</v>
      </c>
    </row>
    <row r="60" spans="1:6" x14ac:dyDescent="0.35">
      <c r="A60" t="s">
        <v>4349</v>
      </c>
      <c r="B60" t="s">
        <v>4259</v>
      </c>
      <c r="C60" t="s">
        <v>4352</v>
      </c>
      <c r="D60" t="s">
        <v>4442</v>
      </c>
      <c r="E60">
        <v>-12.049841199999999</v>
      </c>
      <c r="F60">
        <v>-77.077957499999997</v>
      </c>
    </row>
    <row r="61" spans="1:6" x14ac:dyDescent="0.35">
      <c r="A61" t="s">
        <v>4349</v>
      </c>
      <c r="B61" t="s">
        <v>4283</v>
      </c>
      <c r="C61" t="s">
        <v>4353</v>
      </c>
      <c r="D61" t="s">
        <v>4443</v>
      </c>
      <c r="E61">
        <v>-11.986641799999999</v>
      </c>
      <c r="F61">
        <v>-77.085927100000006</v>
      </c>
    </row>
    <row r="62" spans="1:6" x14ac:dyDescent="0.35">
      <c r="A62" t="s">
        <v>4336</v>
      </c>
      <c r="B62" t="s">
        <v>4254</v>
      </c>
      <c r="C62" t="s">
        <v>4339</v>
      </c>
      <c r="D62" t="s">
        <v>4444</v>
      </c>
      <c r="E62">
        <v>-12.008743300000001</v>
      </c>
      <c r="F62">
        <v>-77.081984500000004</v>
      </c>
    </row>
    <row r="63" spans="1:6" x14ac:dyDescent="0.35">
      <c r="A63" t="s">
        <v>4336</v>
      </c>
      <c r="B63" t="s">
        <v>4256</v>
      </c>
      <c r="C63" t="s">
        <v>4340</v>
      </c>
      <c r="D63" t="s">
        <v>4445</v>
      </c>
      <c r="E63">
        <v>-12.0261435</v>
      </c>
      <c r="F63">
        <v>-77.075317900000002</v>
      </c>
    </row>
    <row r="64" spans="1:6" x14ac:dyDescent="0.35">
      <c r="A64" t="s">
        <v>4336</v>
      </c>
      <c r="B64" t="s">
        <v>4283</v>
      </c>
      <c r="C64" t="s">
        <v>4341</v>
      </c>
      <c r="D64" t="s">
        <v>4446</v>
      </c>
      <c r="E64">
        <v>-12.027124799999999</v>
      </c>
      <c r="F64">
        <v>-77.055757700000001</v>
      </c>
    </row>
    <row r="65" spans="1:6" x14ac:dyDescent="0.35">
      <c r="A65" t="s">
        <v>4336</v>
      </c>
      <c r="B65" t="s">
        <v>4342</v>
      </c>
      <c r="C65" t="s">
        <v>4343</v>
      </c>
      <c r="D65" t="s">
        <v>4447</v>
      </c>
      <c r="E65">
        <v>-12.041266</v>
      </c>
      <c r="F65">
        <v>-77.032644300000001</v>
      </c>
    </row>
    <row r="66" spans="1:6" x14ac:dyDescent="0.35">
      <c r="A66" t="s">
        <v>4336</v>
      </c>
      <c r="B66" t="s">
        <v>4292</v>
      </c>
      <c r="C66" t="s">
        <v>4344</v>
      </c>
      <c r="D66" t="s">
        <v>4448</v>
      </c>
      <c r="E66">
        <v>-12.0260623</v>
      </c>
      <c r="F66">
        <v>-77.028713300000007</v>
      </c>
    </row>
    <row r="67" spans="1:6" x14ac:dyDescent="0.35">
      <c r="A67" t="s">
        <v>4336</v>
      </c>
      <c r="B67" t="s">
        <v>4345</v>
      </c>
      <c r="C67" t="s">
        <v>4346</v>
      </c>
      <c r="D67" t="s">
        <v>4449</v>
      </c>
      <c r="E67">
        <v>-11.972317</v>
      </c>
      <c r="F67">
        <v>-77.004002700000001</v>
      </c>
    </row>
    <row r="68" spans="1:6" x14ac:dyDescent="0.35">
      <c r="A68" t="s">
        <v>4336</v>
      </c>
      <c r="B68" t="s">
        <v>4347</v>
      </c>
      <c r="C68" t="s">
        <v>4348</v>
      </c>
      <c r="D68" t="s">
        <v>4450</v>
      </c>
      <c r="E68">
        <v>-12.1097956</v>
      </c>
      <c r="F68">
        <v>-76.9786888</v>
      </c>
    </row>
  </sheetData>
  <autoFilter ref="A1:F68" xr:uid="{D304E152-9335-40E3-AD83-5D51A8E10933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ED34C-6B55-4F30-BA4F-7CC4F4877794}">
  <dimension ref="A5:AK88"/>
  <sheetViews>
    <sheetView topLeftCell="A19" zoomScale="85" zoomScaleNormal="85" workbookViewId="0">
      <selection activeCell="CS64" sqref="CS64"/>
    </sheetView>
  </sheetViews>
  <sheetFormatPr baseColWidth="10" defaultRowHeight="14.5" x14ac:dyDescent="0.35"/>
  <cols>
    <col min="1" max="1" width="24.90625" bestFit="1" customWidth="1"/>
    <col min="2" max="2" width="33.6328125" bestFit="1" customWidth="1"/>
    <col min="3" max="3" width="29.36328125" bestFit="1" customWidth="1"/>
    <col min="4" max="4" width="15.08984375" bestFit="1" customWidth="1"/>
    <col min="5" max="5" width="18.08984375" bestFit="1" customWidth="1"/>
    <col min="6" max="6" width="15.08984375" bestFit="1" customWidth="1"/>
    <col min="7" max="7" width="47.36328125" bestFit="1" customWidth="1"/>
    <col min="8" max="8" width="21.90625" bestFit="1" customWidth="1"/>
    <col min="9" max="9" width="16.453125" bestFit="1" customWidth="1"/>
    <col min="10" max="10" width="20.54296875" bestFit="1" customWidth="1"/>
    <col min="11" max="11" width="14.08984375" bestFit="1" customWidth="1"/>
    <col min="12" max="12" width="19" bestFit="1" customWidth="1"/>
    <col min="13" max="13" width="23.81640625" bestFit="1" customWidth="1"/>
    <col min="14" max="14" width="27.81640625" bestFit="1" customWidth="1"/>
    <col min="15" max="15" width="23.54296875" bestFit="1" customWidth="1"/>
    <col min="16" max="16" width="17.453125" bestFit="1" customWidth="1"/>
    <col min="17" max="17" width="19.36328125" bestFit="1" customWidth="1"/>
    <col min="18" max="18" width="97.08984375" bestFit="1" customWidth="1"/>
    <col min="19" max="19" width="15.1796875" bestFit="1" customWidth="1"/>
    <col min="20" max="20" width="20.54296875" bestFit="1" customWidth="1"/>
    <col min="21" max="21" width="14.81640625" bestFit="1" customWidth="1"/>
    <col min="22" max="22" width="16.36328125" bestFit="1" customWidth="1"/>
    <col min="23" max="23" width="33.26953125" bestFit="1" customWidth="1"/>
    <col min="24" max="24" width="69.6328125" bestFit="1" customWidth="1"/>
    <col min="25" max="25" width="19.453125" bestFit="1" customWidth="1"/>
    <col min="26" max="26" width="22.08984375" bestFit="1" customWidth="1"/>
    <col min="27" max="27" width="15.36328125" bestFit="1" customWidth="1"/>
    <col min="28" max="28" width="20.6328125" bestFit="1" customWidth="1"/>
    <col min="29" max="29" width="24.36328125" bestFit="1" customWidth="1"/>
    <col min="30" max="30" width="11.36328125" bestFit="1" customWidth="1"/>
    <col min="31" max="31" width="14.453125" bestFit="1" customWidth="1"/>
    <col min="32" max="32" width="16.54296875" bestFit="1" customWidth="1"/>
    <col min="33" max="33" width="11.453125" bestFit="1" customWidth="1"/>
    <col min="34" max="34" width="15.1796875" bestFit="1" customWidth="1"/>
    <col min="35" max="36" width="7.54296875" bestFit="1" customWidth="1"/>
    <col min="37" max="37" width="10.81640625" bestFit="1" customWidth="1"/>
  </cols>
  <sheetData>
    <row r="5" spans="1:1" x14ac:dyDescent="0.35">
      <c r="A5" t="s">
        <v>4562</v>
      </c>
    </row>
    <row r="6" spans="1:1" x14ac:dyDescent="0.35">
      <c r="A6" t="s">
        <v>4471</v>
      </c>
    </row>
    <row r="7" spans="1:1" x14ac:dyDescent="0.35">
      <c r="A7" t="s">
        <v>4563</v>
      </c>
    </row>
    <row r="8" spans="1:1" x14ac:dyDescent="0.35">
      <c r="A8" t="s">
        <v>4564</v>
      </c>
    </row>
    <row r="9" spans="1:1" x14ac:dyDescent="0.35">
      <c r="A9" t="s">
        <v>4565</v>
      </c>
    </row>
    <row r="10" spans="1:1" x14ac:dyDescent="0.35">
      <c r="A10" t="s">
        <v>4472</v>
      </c>
    </row>
    <row r="11" spans="1:1" x14ac:dyDescent="0.35">
      <c r="A11" t="s">
        <v>4566</v>
      </c>
    </row>
    <row r="12" spans="1:1" x14ac:dyDescent="0.35">
      <c r="A12" t="s">
        <v>4567</v>
      </c>
    </row>
    <row r="13" spans="1:1" x14ac:dyDescent="0.35">
      <c r="A13" t="s">
        <v>4568</v>
      </c>
    </row>
    <row r="14" spans="1:1" x14ac:dyDescent="0.35">
      <c r="A14" t="s">
        <v>4569</v>
      </c>
    </row>
    <row r="15" spans="1:1" x14ac:dyDescent="0.35">
      <c r="A15" t="s">
        <v>4473</v>
      </c>
    </row>
    <row r="16" spans="1:1" x14ac:dyDescent="0.35">
      <c r="A16" t="s">
        <v>4474</v>
      </c>
    </row>
    <row r="17" spans="1:1" x14ac:dyDescent="0.35">
      <c r="A17" t="s">
        <v>4475</v>
      </c>
    </row>
    <row r="18" spans="1:1" x14ac:dyDescent="0.35">
      <c r="A18" t="s">
        <v>4570</v>
      </c>
    </row>
    <row r="19" spans="1:1" x14ac:dyDescent="0.35">
      <c r="A19" t="s">
        <v>4571</v>
      </c>
    </row>
    <row r="20" spans="1:1" x14ac:dyDescent="0.35">
      <c r="A20" t="s">
        <v>4572</v>
      </c>
    </row>
    <row r="21" spans="1:1" x14ac:dyDescent="0.35">
      <c r="A21" t="s">
        <v>4573</v>
      </c>
    </row>
    <row r="22" spans="1:1" x14ac:dyDescent="0.35">
      <c r="A22" t="s">
        <v>4574</v>
      </c>
    </row>
    <row r="23" spans="1:1" x14ac:dyDescent="0.35">
      <c r="A23" t="s">
        <v>4575</v>
      </c>
    </row>
    <row r="24" spans="1:1" x14ac:dyDescent="0.35">
      <c r="A24" t="s">
        <v>4576</v>
      </c>
    </row>
    <row r="25" spans="1:1" x14ac:dyDescent="0.35">
      <c r="A25" t="s">
        <v>4577</v>
      </c>
    </row>
    <row r="26" spans="1:1" x14ac:dyDescent="0.35">
      <c r="A26" t="s">
        <v>4578</v>
      </c>
    </row>
    <row r="27" spans="1:1" x14ac:dyDescent="0.35">
      <c r="A27" t="s">
        <v>4579</v>
      </c>
    </row>
    <row r="28" spans="1:1" x14ac:dyDescent="0.35">
      <c r="A28" t="s">
        <v>4580</v>
      </c>
    </row>
    <row r="29" spans="1:1" x14ac:dyDescent="0.35">
      <c r="A29" t="s">
        <v>4581</v>
      </c>
    </row>
    <row r="30" spans="1:1" x14ac:dyDescent="0.35">
      <c r="A30" t="s">
        <v>4582</v>
      </c>
    </row>
    <row r="31" spans="1:1" x14ac:dyDescent="0.35">
      <c r="A31" t="s">
        <v>4476</v>
      </c>
    </row>
    <row r="32" spans="1:1" x14ac:dyDescent="0.35">
      <c r="A32" t="s">
        <v>4477</v>
      </c>
    </row>
    <row r="33" spans="1:1" x14ac:dyDescent="0.35">
      <c r="A33" t="s">
        <v>4478</v>
      </c>
    </row>
    <row r="34" spans="1:1" x14ac:dyDescent="0.35">
      <c r="A34" t="s">
        <v>4583</v>
      </c>
    </row>
    <row r="35" spans="1:1" x14ac:dyDescent="0.35">
      <c r="A35" t="s">
        <v>4584</v>
      </c>
    </row>
    <row r="36" spans="1:1" x14ac:dyDescent="0.35">
      <c r="A36" t="s">
        <v>4231</v>
      </c>
    </row>
    <row r="37" spans="1:1" x14ac:dyDescent="0.35">
      <c r="A37" t="s">
        <v>4232</v>
      </c>
    </row>
    <row r="38" spans="1:1" x14ac:dyDescent="0.35">
      <c r="A38" t="s">
        <v>4233</v>
      </c>
    </row>
    <row r="39" spans="1:1" x14ac:dyDescent="0.35">
      <c r="A39" t="s">
        <v>4355</v>
      </c>
    </row>
    <row r="40" spans="1:1" x14ac:dyDescent="0.35">
      <c r="A40" t="s">
        <v>4356</v>
      </c>
    </row>
    <row r="41" spans="1:1" x14ac:dyDescent="0.35">
      <c r="A41" t="s">
        <v>4357</v>
      </c>
    </row>
    <row r="42" spans="1:1" x14ac:dyDescent="0.35">
      <c r="A42" t="s">
        <v>4358</v>
      </c>
    </row>
    <row r="43" spans="1:1" x14ac:dyDescent="0.35">
      <c r="A43" t="s">
        <v>4359</v>
      </c>
    </row>
    <row r="44" spans="1:1" x14ac:dyDescent="0.35">
      <c r="A44" t="s">
        <v>4360</v>
      </c>
    </row>
    <row r="45" spans="1:1" x14ac:dyDescent="0.35">
      <c r="A45" t="s">
        <v>4451</v>
      </c>
    </row>
    <row r="46" spans="1:1" x14ac:dyDescent="0.35">
      <c r="A46" t="s">
        <v>4457</v>
      </c>
    </row>
    <row r="47" spans="1:1" x14ac:dyDescent="0.35">
      <c r="A47" t="s">
        <v>4469</v>
      </c>
    </row>
    <row r="48" spans="1:1" x14ac:dyDescent="0.35">
      <c r="A48" t="s">
        <v>4470</v>
      </c>
    </row>
    <row r="49" spans="1:37" x14ac:dyDescent="0.35">
      <c r="A49" t="s">
        <v>4537</v>
      </c>
    </row>
    <row r="52" spans="1:37" x14ac:dyDescent="0.35">
      <c r="A52" t="s">
        <v>4461</v>
      </c>
    </row>
    <row r="53" spans="1:37" x14ac:dyDescent="0.35">
      <c r="A53" s="89" t="s">
        <v>1</v>
      </c>
      <c r="B53" s="90" t="s">
        <v>2</v>
      </c>
      <c r="C53" s="90" t="s">
        <v>3</v>
      </c>
      <c r="D53" s="90" t="s">
        <v>4</v>
      </c>
      <c r="E53" s="90" t="s">
        <v>5</v>
      </c>
      <c r="F53" s="90" t="s">
        <v>6</v>
      </c>
      <c r="G53" s="90" t="s">
        <v>7</v>
      </c>
      <c r="H53" s="90" t="s">
        <v>8</v>
      </c>
      <c r="I53" s="90" t="s">
        <v>9</v>
      </c>
      <c r="J53" s="90" t="s">
        <v>10</v>
      </c>
      <c r="K53" s="90" t="s">
        <v>11</v>
      </c>
      <c r="L53" s="90" t="s">
        <v>12</v>
      </c>
      <c r="M53" s="90" t="s">
        <v>13</v>
      </c>
      <c r="N53" s="90" t="s">
        <v>14</v>
      </c>
      <c r="O53" s="90" t="s">
        <v>15</v>
      </c>
      <c r="P53" s="90" t="s">
        <v>16</v>
      </c>
      <c r="Q53" s="90" t="s">
        <v>17</v>
      </c>
      <c r="R53" s="90" t="s">
        <v>18</v>
      </c>
      <c r="S53" s="90" t="s">
        <v>19</v>
      </c>
      <c r="T53" s="90" t="s">
        <v>20</v>
      </c>
      <c r="U53" s="90" t="s">
        <v>21</v>
      </c>
      <c r="V53" s="90" t="s">
        <v>22</v>
      </c>
      <c r="W53" s="90" t="s">
        <v>23</v>
      </c>
      <c r="X53" s="91" t="s">
        <v>4231</v>
      </c>
      <c r="Y53" s="91" t="s">
        <v>4232</v>
      </c>
      <c r="Z53" s="91" t="s">
        <v>4233</v>
      </c>
      <c r="AA53" s="91" t="s">
        <v>4355</v>
      </c>
      <c r="AB53" s="91" t="s">
        <v>4356</v>
      </c>
      <c r="AC53" s="91" t="s">
        <v>4357</v>
      </c>
      <c r="AD53" s="91" t="s">
        <v>4358</v>
      </c>
      <c r="AE53" s="91" t="s">
        <v>4359</v>
      </c>
      <c r="AF53" s="91" t="s">
        <v>4360</v>
      </c>
      <c r="AG53" s="91" t="s">
        <v>4451</v>
      </c>
      <c r="AH53" s="91" t="s">
        <v>4457</v>
      </c>
      <c r="AI53" s="91" t="s">
        <v>4469</v>
      </c>
      <c r="AJ53" s="91" t="s">
        <v>4470</v>
      </c>
      <c r="AK53" s="92" t="s">
        <v>4537</v>
      </c>
    </row>
    <row r="54" spans="1:37" s="115" customFormat="1" x14ac:dyDescent="0.35">
      <c r="A54" s="116" t="s">
        <v>332</v>
      </c>
      <c r="B54" s="117" t="s">
        <v>333</v>
      </c>
      <c r="C54" s="117" t="s">
        <v>334</v>
      </c>
      <c r="D54" s="117" t="s">
        <v>335</v>
      </c>
      <c r="E54" s="117">
        <v>25</v>
      </c>
      <c r="F54" s="117" t="s">
        <v>28</v>
      </c>
      <c r="G54" s="117" t="s">
        <v>29</v>
      </c>
      <c r="H54" s="117">
        <v>20514998</v>
      </c>
      <c r="I54" s="117" t="s">
        <v>336</v>
      </c>
      <c r="J54" s="118">
        <v>45962</v>
      </c>
      <c r="K54" s="117" t="s">
        <v>31</v>
      </c>
      <c r="L54" s="117" t="s">
        <v>328</v>
      </c>
      <c r="M54" s="117" t="s">
        <v>329</v>
      </c>
      <c r="N54" s="117" t="s">
        <v>82</v>
      </c>
      <c r="O54" s="117" t="s">
        <v>337</v>
      </c>
      <c r="P54" s="117" t="s">
        <v>36</v>
      </c>
      <c r="Q54" s="117" t="s">
        <v>338</v>
      </c>
      <c r="R54" s="117">
        <v>14013</v>
      </c>
      <c r="S54" s="117" t="s">
        <v>339</v>
      </c>
      <c r="T54" s="117" t="s">
        <v>339</v>
      </c>
      <c r="U54" s="117" t="s">
        <v>339</v>
      </c>
      <c r="V54" s="118">
        <v>45962</v>
      </c>
      <c r="W54" s="117" t="s">
        <v>39</v>
      </c>
      <c r="X54" s="117" t="s">
        <v>4591</v>
      </c>
      <c r="Y54" s="108">
        <v>-6.6981973999999997</v>
      </c>
      <c r="Z54" s="108">
        <v>-79.902391800000004</v>
      </c>
      <c r="AA54" s="119">
        <v>675.02</v>
      </c>
      <c r="AB54" s="117" t="s">
        <v>3247</v>
      </c>
      <c r="AC54" s="111" t="s">
        <v>4277</v>
      </c>
      <c r="AD54" s="117" t="s">
        <v>4273</v>
      </c>
      <c r="AE54" s="112">
        <v>650.15</v>
      </c>
      <c r="AF54" s="117" t="s">
        <v>4363</v>
      </c>
      <c r="AG54" s="117"/>
      <c r="AH54" s="117"/>
      <c r="AI54" s="120">
        <v>-11.997563</v>
      </c>
      <c r="AJ54" s="120">
        <v>-76.900062000000005</v>
      </c>
      <c r="AK54" s="121" t="s">
        <v>4540</v>
      </c>
    </row>
    <row r="55" spans="1:37" x14ac:dyDescent="0.35">
      <c r="A55" s="93" t="s">
        <v>1287</v>
      </c>
      <c r="B55" s="94" t="s">
        <v>1288</v>
      </c>
      <c r="C55" s="94" t="s">
        <v>1289</v>
      </c>
      <c r="D55" s="94" t="s">
        <v>1290</v>
      </c>
      <c r="E55" s="94">
        <v>34</v>
      </c>
      <c r="F55" s="94" t="s">
        <v>28</v>
      </c>
      <c r="G55" s="94" t="s">
        <v>29</v>
      </c>
      <c r="H55" s="94">
        <v>20508960</v>
      </c>
      <c r="I55" s="94" t="s">
        <v>30</v>
      </c>
      <c r="J55" s="95">
        <v>45761</v>
      </c>
      <c r="K55" s="94" t="s">
        <v>31</v>
      </c>
      <c r="L55" s="94" t="s">
        <v>132</v>
      </c>
      <c r="M55" s="94" t="s">
        <v>133</v>
      </c>
      <c r="N55" s="94" t="s">
        <v>36</v>
      </c>
      <c r="O55" s="94" t="s">
        <v>1291</v>
      </c>
      <c r="P55" s="94" t="s">
        <v>36</v>
      </c>
      <c r="Q55" s="94" t="s">
        <v>1292</v>
      </c>
      <c r="R55" s="94">
        <v>2811</v>
      </c>
      <c r="S55" s="94" t="s">
        <v>1293</v>
      </c>
      <c r="T55" s="94" t="s">
        <v>1294</v>
      </c>
      <c r="U55" s="94" t="s">
        <v>1295</v>
      </c>
      <c r="V55" s="95">
        <v>45761</v>
      </c>
      <c r="W55" s="94" t="s">
        <v>39</v>
      </c>
      <c r="X55" s="94" t="s">
        <v>4592</v>
      </c>
      <c r="Y55" s="96">
        <v>-9.1131468000000009</v>
      </c>
      <c r="Z55" s="96">
        <v>-78.509199199999998</v>
      </c>
      <c r="AA55" s="97">
        <v>365.79</v>
      </c>
      <c r="AB55" s="94" t="s">
        <v>3247</v>
      </c>
      <c r="AC55" s="2" t="s">
        <v>4277</v>
      </c>
      <c r="AD55" s="94" t="s">
        <v>4273</v>
      </c>
      <c r="AE55" s="33">
        <v>340.91</v>
      </c>
      <c r="AF55" s="94" t="s">
        <v>4363</v>
      </c>
      <c r="AG55" s="94"/>
      <c r="AH55" s="94"/>
      <c r="AI55" s="98">
        <v>-11.997563</v>
      </c>
      <c r="AJ55" s="98">
        <v>-76.900062000000005</v>
      </c>
      <c r="AK55" s="99" t="s">
        <v>4542</v>
      </c>
    </row>
    <row r="56" spans="1:37" x14ac:dyDescent="0.35">
      <c r="A56" s="93" t="s">
        <v>1866</v>
      </c>
      <c r="B56" s="94" t="s">
        <v>1867</v>
      </c>
      <c r="C56" s="94" t="s">
        <v>1868</v>
      </c>
      <c r="D56" s="94" t="s">
        <v>130</v>
      </c>
      <c r="E56" s="94">
        <v>26</v>
      </c>
      <c r="F56" s="94" t="s">
        <v>28</v>
      </c>
      <c r="G56" s="94" t="s">
        <v>29</v>
      </c>
      <c r="H56" s="94">
        <v>20514600</v>
      </c>
      <c r="I56" s="94" t="s">
        <v>30</v>
      </c>
      <c r="J56" s="95">
        <v>46090</v>
      </c>
      <c r="K56" s="94" t="s">
        <v>31</v>
      </c>
      <c r="L56" s="94" t="s">
        <v>132</v>
      </c>
      <c r="M56" s="94" t="s">
        <v>133</v>
      </c>
      <c r="N56" s="94" t="s">
        <v>36</v>
      </c>
      <c r="O56" s="94" t="s">
        <v>1869</v>
      </c>
      <c r="P56" s="94" t="s">
        <v>36</v>
      </c>
      <c r="Q56" s="94" t="s">
        <v>1870</v>
      </c>
      <c r="R56" s="94">
        <v>11001</v>
      </c>
      <c r="S56" s="94" t="s">
        <v>1871</v>
      </c>
      <c r="T56" s="94" t="s">
        <v>1871</v>
      </c>
      <c r="U56" s="94" t="s">
        <v>1871</v>
      </c>
      <c r="V56" s="95">
        <v>46090</v>
      </c>
      <c r="W56" s="94" t="s">
        <v>135</v>
      </c>
      <c r="X56" s="94" t="s">
        <v>4593</v>
      </c>
      <c r="Y56" s="96">
        <v>-16.436349499999999</v>
      </c>
      <c r="Z56" s="96">
        <v>-71.519351</v>
      </c>
      <c r="AA56" s="97">
        <v>761.43</v>
      </c>
      <c r="AB56" s="94" t="s">
        <v>3247</v>
      </c>
      <c r="AC56" s="2" t="s">
        <v>4315</v>
      </c>
      <c r="AD56" s="94" t="s">
        <v>4308</v>
      </c>
      <c r="AE56" s="33">
        <v>743.25</v>
      </c>
      <c r="AF56" s="94" t="s">
        <v>4363</v>
      </c>
      <c r="AG56" s="94"/>
      <c r="AH56" s="94"/>
      <c r="AI56" s="98">
        <v>-11.997563</v>
      </c>
      <c r="AJ56" s="98">
        <v>-76.900062000000005</v>
      </c>
      <c r="AK56" s="99" t="s">
        <v>4542</v>
      </c>
    </row>
    <row r="58" spans="1:37" x14ac:dyDescent="0.35">
      <c r="A58" t="s">
        <v>4462</v>
      </c>
    </row>
    <row r="59" spans="1:37" x14ac:dyDescent="0.35">
      <c r="A59" s="89" t="s">
        <v>1</v>
      </c>
      <c r="B59" s="90" t="s">
        <v>2</v>
      </c>
      <c r="C59" s="90" t="s">
        <v>3</v>
      </c>
      <c r="D59" s="90" t="s">
        <v>4</v>
      </c>
      <c r="E59" s="90" t="s">
        <v>5</v>
      </c>
      <c r="F59" s="90" t="s">
        <v>7</v>
      </c>
      <c r="G59" s="90" t="s">
        <v>8</v>
      </c>
      <c r="H59" s="90" t="s">
        <v>9</v>
      </c>
      <c r="I59" s="100" t="s">
        <v>10</v>
      </c>
      <c r="J59" s="90" t="s">
        <v>11</v>
      </c>
      <c r="K59" s="100" t="s">
        <v>3250</v>
      </c>
      <c r="L59" s="90" t="s">
        <v>12</v>
      </c>
      <c r="M59" s="90" t="s">
        <v>13</v>
      </c>
      <c r="N59" s="90" t="s">
        <v>14</v>
      </c>
      <c r="O59" s="90" t="s">
        <v>15</v>
      </c>
      <c r="P59" s="90" t="s">
        <v>16</v>
      </c>
      <c r="Q59" s="90" t="s">
        <v>17</v>
      </c>
      <c r="R59" s="90" t="s">
        <v>18</v>
      </c>
      <c r="S59" s="90" t="s">
        <v>19</v>
      </c>
      <c r="T59" s="90" t="s">
        <v>20</v>
      </c>
      <c r="U59" s="90" t="s">
        <v>21</v>
      </c>
      <c r="V59" s="100" t="s">
        <v>22</v>
      </c>
      <c r="W59" s="90" t="s">
        <v>23</v>
      </c>
      <c r="X59" s="91" t="s">
        <v>4231</v>
      </c>
      <c r="Y59" s="91" t="s">
        <v>4232</v>
      </c>
      <c r="Z59" s="91" t="s">
        <v>4233</v>
      </c>
      <c r="AA59" s="91" t="s">
        <v>4355</v>
      </c>
      <c r="AB59" s="91" t="s">
        <v>4356</v>
      </c>
      <c r="AC59" s="91" t="s">
        <v>4357</v>
      </c>
      <c r="AD59" s="91" t="s">
        <v>4358</v>
      </c>
      <c r="AE59" s="91" t="s">
        <v>4359</v>
      </c>
      <c r="AF59" s="91" t="s">
        <v>4360</v>
      </c>
      <c r="AG59" s="91" t="s">
        <v>4451</v>
      </c>
      <c r="AH59" s="91" t="s">
        <v>4457</v>
      </c>
      <c r="AI59" s="91" t="s">
        <v>4469</v>
      </c>
      <c r="AJ59" s="91" t="s">
        <v>4470</v>
      </c>
      <c r="AK59" s="92" t="s">
        <v>4537</v>
      </c>
    </row>
    <row r="60" spans="1:37" s="115" customFormat="1" x14ac:dyDescent="0.35">
      <c r="A60" s="116" t="s">
        <v>3305</v>
      </c>
      <c r="B60" s="117" t="s">
        <v>3306</v>
      </c>
      <c r="C60" s="117" t="s">
        <v>213</v>
      </c>
      <c r="D60" s="117" t="s">
        <v>3286</v>
      </c>
      <c r="E60" s="117">
        <v>33</v>
      </c>
      <c r="F60" s="117" t="s">
        <v>3255</v>
      </c>
      <c r="G60" s="117">
        <v>20513944</v>
      </c>
      <c r="H60" s="117" t="s">
        <v>378</v>
      </c>
      <c r="I60" s="118">
        <v>45978</v>
      </c>
      <c r="J60" s="117" t="s">
        <v>31</v>
      </c>
      <c r="K60" s="118" t="s">
        <v>1968</v>
      </c>
      <c r="L60" s="117" t="s">
        <v>3307</v>
      </c>
      <c r="M60" s="117" t="s">
        <v>3308</v>
      </c>
      <c r="N60" s="117" t="s">
        <v>82</v>
      </c>
      <c r="O60" s="117" t="s">
        <v>3309</v>
      </c>
      <c r="P60" s="117" t="s">
        <v>36</v>
      </c>
      <c r="Q60" s="117" t="s">
        <v>3310</v>
      </c>
      <c r="R60" s="117" t="s">
        <v>3311</v>
      </c>
      <c r="S60" s="117" t="s">
        <v>3312</v>
      </c>
      <c r="T60" s="117" t="s">
        <v>3313</v>
      </c>
      <c r="U60" s="117" t="s">
        <v>3313</v>
      </c>
      <c r="V60" s="118">
        <v>45978</v>
      </c>
      <c r="W60" s="117" t="s">
        <v>135</v>
      </c>
      <c r="X60" s="117" t="s">
        <v>4594</v>
      </c>
      <c r="Y60" s="108">
        <v>-7.2314046000000003</v>
      </c>
      <c r="Z60" s="108">
        <v>-79.414002699999998</v>
      </c>
      <c r="AA60" s="119">
        <v>597.30999999999995</v>
      </c>
      <c r="AB60" s="117" t="s">
        <v>3247</v>
      </c>
      <c r="AC60" s="111" t="s">
        <v>4277</v>
      </c>
      <c r="AD60" s="117" t="s">
        <v>4273</v>
      </c>
      <c r="AE60" s="112">
        <v>572.44000000000005</v>
      </c>
      <c r="AF60" s="117" t="s">
        <v>4363</v>
      </c>
      <c r="AG60" s="117"/>
      <c r="AH60" s="117"/>
      <c r="AI60" s="120">
        <v>-11.997563</v>
      </c>
      <c r="AJ60" s="120">
        <v>-76.900062000000005</v>
      </c>
      <c r="AK60" s="121" t="s">
        <v>4540</v>
      </c>
    </row>
    <row r="61" spans="1:37" s="115" customFormat="1" x14ac:dyDescent="0.35">
      <c r="A61" s="107" t="s">
        <v>3494</v>
      </c>
      <c r="B61" s="108" t="s">
        <v>3495</v>
      </c>
      <c r="C61" s="108" t="s">
        <v>3496</v>
      </c>
      <c r="D61" s="108" t="s">
        <v>842</v>
      </c>
      <c r="E61" s="108">
        <v>35</v>
      </c>
      <c r="F61" s="108" t="s">
        <v>3255</v>
      </c>
      <c r="G61" s="108">
        <v>20508037</v>
      </c>
      <c r="H61" s="108" t="s">
        <v>1971</v>
      </c>
      <c r="I61" s="109">
        <v>42432</v>
      </c>
      <c r="J61" s="108" t="s">
        <v>31</v>
      </c>
      <c r="K61" s="109" t="s">
        <v>1968</v>
      </c>
      <c r="L61" s="108" t="s">
        <v>3278</v>
      </c>
      <c r="M61" s="108" t="s">
        <v>3279</v>
      </c>
      <c r="N61" s="108" t="s">
        <v>36</v>
      </c>
      <c r="O61" s="108" t="s">
        <v>3497</v>
      </c>
      <c r="P61" s="108" t="s">
        <v>88</v>
      </c>
      <c r="Q61" s="108" t="s">
        <v>3497</v>
      </c>
      <c r="R61" s="108" t="s">
        <v>3498</v>
      </c>
      <c r="S61" s="108" t="s">
        <v>872</v>
      </c>
      <c r="T61" s="108" t="s">
        <v>873</v>
      </c>
      <c r="U61" s="108" t="s">
        <v>874</v>
      </c>
      <c r="V61" s="109">
        <v>42432</v>
      </c>
      <c r="W61" s="108" t="s">
        <v>48</v>
      </c>
      <c r="X61" s="108" t="s">
        <v>4595</v>
      </c>
      <c r="Y61" s="108">
        <v>-11.8497401</v>
      </c>
      <c r="Z61" s="108">
        <v>-77.138090099999999</v>
      </c>
      <c r="AA61" s="110">
        <v>30.67</v>
      </c>
      <c r="AB61" s="108" t="s">
        <v>3247</v>
      </c>
      <c r="AC61" s="111" t="s">
        <v>4268</v>
      </c>
      <c r="AD61" s="108" t="s">
        <v>4261</v>
      </c>
      <c r="AE61" s="112">
        <v>13.98</v>
      </c>
      <c r="AF61" s="108" t="s">
        <v>4363</v>
      </c>
      <c r="AG61" s="108"/>
      <c r="AH61" s="108"/>
      <c r="AI61" s="113">
        <v>-11.997563</v>
      </c>
      <c r="AJ61" s="113">
        <v>-76.900062000000005</v>
      </c>
      <c r="AK61" s="114" t="s">
        <v>4542</v>
      </c>
    </row>
    <row r="62" spans="1:37" s="115" customFormat="1" x14ac:dyDescent="0.35">
      <c r="A62" s="116" t="s">
        <v>4102</v>
      </c>
      <c r="B62" s="117" t="s">
        <v>4103</v>
      </c>
      <c r="C62" s="117" t="s">
        <v>414</v>
      </c>
      <c r="D62" s="117" t="s">
        <v>4104</v>
      </c>
      <c r="E62" s="117">
        <v>21</v>
      </c>
      <c r="F62" s="117" t="s">
        <v>3255</v>
      </c>
      <c r="G62" s="117">
        <v>20514481</v>
      </c>
      <c r="H62" s="117" t="s">
        <v>1971</v>
      </c>
      <c r="I62" s="118">
        <v>46003</v>
      </c>
      <c r="J62" s="117" t="s">
        <v>31</v>
      </c>
      <c r="K62" s="118" t="s">
        <v>1968</v>
      </c>
      <c r="L62" s="117" t="s">
        <v>3299</v>
      </c>
      <c r="M62" s="117" t="s">
        <v>3300</v>
      </c>
      <c r="N62" s="117" t="s">
        <v>36</v>
      </c>
      <c r="O62" s="117" t="s">
        <v>2189</v>
      </c>
      <c r="P62" s="117" t="s">
        <v>36</v>
      </c>
      <c r="Q62" s="117" t="s">
        <v>4105</v>
      </c>
      <c r="R62" s="117" t="s">
        <v>4106</v>
      </c>
      <c r="S62" s="117" t="s">
        <v>4107</v>
      </c>
      <c r="T62" s="117" t="s">
        <v>4108</v>
      </c>
      <c r="U62" s="117" t="s">
        <v>4109</v>
      </c>
      <c r="V62" s="118">
        <v>46003</v>
      </c>
      <c r="W62" s="117" t="s">
        <v>135</v>
      </c>
      <c r="X62" s="117" t="s">
        <v>4596</v>
      </c>
      <c r="Y62" s="108">
        <v>-8.2499158999999995</v>
      </c>
      <c r="Z62" s="108">
        <v>-74.663464000000005</v>
      </c>
      <c r="AA62" s="119">
        <v>483.29</v>
      </c>
      <c r="AB62" s="117" t="s">
        <v>3247</v>
      </c>
      <c r="AC62" s="111" t="s">
        <v>4277</v>
      </c>
      <c r="AD62" s="117" t="s">
        <v>4273</v>
      </c>
      <c r="AE62" s="112">
        <v>471.13</v>
      </c>
      <c r="AF62" s="117" t="s">
        <v>4363</v>
      </c>
      <c r="AG62" s="117"/>
      <c r="AH62" s="117"/>
      <c r="AI62" s="120">
        <v>-11.997563</v>
      </c>
      <c r="AJ62" s="120">
        <v>-76.900062000000005</v>
      </c>
      <c r="AK62" s="121" t="s">
        <v>4542</v>
      </c>
    </row>
    <row r="64" spans="1:37" x14ac:dyDescent="0.35">
      <c r="A64" t="s">
        <v>4458</v>
      </c>
    </row>
    <row r="65" spans="1:31" x14ac:dyDescent="0.35">
      <c r="A65" s="101" t="s">
        <v>1957</v>
      </c>
      <c r="B65" s="101" t="s">
        <v>1958</v>
      </c>
      <c r="C65" s="101" t="s">
        <v>9</v>
      </c>
      <c r="D65" s="102" t="s">
        <v>10</v>
      </c>
      <c r="E65" s="101" t="s">
        <v>11</v>
      </c>
      <c r="F65" s="101" t="s">
        <v>14</v>
      </c>
      <c r="G65" s="101" t="s">
        <v>15</v>
      </c>
      <c r="H65" s="101" t="s">
        <v>1959</v>
      </c>
      <c r="I65" s="101" t="s">
        <v>1960</v>
      </c>
      <c r="J65" s="101" t="s">
        <v>1961</v>
      </c>
      <c r="K65" s="101" t="s">
        <v>1962</v>
      </c>
      <c r="L65" s="101" t="s">
        <v>1963</v>
      </c>
      <c r="M65" s="101" t="s">
        <v>16</v>
      </c>
      <c r="N65" s="101" t="s">
        <v>17</v>
      </c>
      <c r="O65" s="101" t="s">
        <v>19</v>
      </c>
      <c r="P65" s="101" t="s">
        <v>20</v>
      </c>
      <c r="Q65" s="103" t="s">
        <v>21</v>
      </c>
      <c r="R65" s="104" t="s">
        <v>4231</v>
      </c>
      <c r="S65" s="104" t="s">
        <v>4232</v>
      </c>
      <c r="T65" s="104" t="s">
        <v>4233</v>
      </c>
      <c r="U65" s="105" t="s">
        <v>4355</v>
      </c>
      <c r="V65" s="105" t="s">
        <v>4356</v>
      </c>
      <c r="W65" s="105" t="s">
        <v>4357</v>
      </c>
      <c r="X65" s="105" t="s">
        <v>4358</v>
      </c>
      <c r="Y65" s="105" t="s">
        <v>4359</v>
      </c>
      <c r="Z65" s="105" t="s">
        <v>4360</v>
      </c>
      <c r="AA65" s="105" t="s">
        <v>4451</v>
      </c>
      <c r="AB65" s="105" t="s">
        <v>4457</v>
      </c>
      <c r="AC65" s="104" t="s">
        <v>4469</v>
      </c>
      <c r="AD65" s="104" t="s">
        <v>4470</v>
      </c>
      <c r="AE65" s="101" t="s">
        <v>4537</v>
      </c>
    </row>
    <row r="66" spans="1:31" x14ac:dyDescent="0.35">
      <c r="A66" s="82">
        <v>40518022</v>
      </c>
      <c r="B66" s="82" t="s">
        <v>2603</v>
      </c>
      <c r="C66" s="82" t="s">
        <v>1971</v>
      </c>
      <c r="D66" s="83">
        <v>44837</v>
      </c>
      <c r="E66" s="82" t="s">
        <v>31</v>
      </c>
      <c r="F66" s="82" t="s">
        <v>36</v>
      </c>
      <c r="G66" s="82" t="s">
        <v>2604</v>
      </c>
      <c r="H66" s="82" t="s">
        <v>1956</v>
      </c>
      <c r="I66" s="82" t="s">
        <v>1968</v>
      </c>
      <c r="J66" s="82" t="s">
        <v>1968</v>
      </c>
      <c r="K66" s="82" t="s">
        <v>1968</v>
      </c>
      <c r="L66" s="82" t="s">
        <v>1968</v>
      </c>
      <c r="M66" s="82" t="s">
        <v>66</v>
      </c>
      <c r="N66" s="82" t="s">
        <v>2605</v>
      </c>
      <c r="O66" s="82" t="s">
        <v>1293</v>
      </c>
      <c r="P66" s="82" t="s">
        <v>2606</v>
      </c>
      <c r="Q66" s="84" t="s">
        <v>2607</v>
      </c>
      <c r="R66" s="82" t="s">
        <v>4597</v>
      </c>
      <c r="S66" s="82">
        <v>-9.7352430000000005</v>
      </c>
      <c r="T66" s="82">
        <v>-77.615664199999998</v>
      </c>
      <c r="U66" s="85">
        <v>263.41000000000003</v>
      </c>
      <c r="V66" s="82" t="s">
        <v>3247</v>
      </c>
      <c r="W66" s="86" t="s">
        <v>4277</v>
      </c>
      <c r="X66" s="106" t="s">
        <v>4273</v>
      </c>
      <c r="Y66" s="87">
        <v>239.08</v>
      </c>
      <c r="Z66" s="82" t="s">
        <v>4363</v>
      </c>
      <c r="AA66" s="82"/>
      <c r="AB66" s="82"/>
      <c r="AC66" s="88">
        <v>-11.997563</v>
      </c>
      <c r="AD66" s="88">
        <v>-76.900062000000005</v>
      </c>
      <c r="AE66" s="106" t="s">
        <v>4542</v>
      </c>
    </row>
    <row r="67" spans="1:31" s="115" customFormat="1" x14ac:dyDescent="0.35">
      <c r="A67" s="82">
        <v>42627475</v>
      </c>
      <c r="B67" s="82" t="s">
        <v>2724</v>
      </c>
      <c r="C67" s="82" t="s">
        <v>1971</v>
      </c>
      <c r="D67" s="83">
        <v>42646</v>
      </c>
      <c r="E67" s="82" t="s">
        <v>31</v>
      </c>
      <c r="F67" s="82" t="s">
        <v>36</v>
      </c>
      <c r="G67" s="82" t="s">
        <v>2725</v>
      </c>
      <c r="H67" s="82" t="s">
        <v>2264</v>
      </c>
      <c r="I67" s="82" t="s">
        <v>1968</v>
      </c>
      <c r="J67" s="82" t="s">
        <v>1968</v>
      </c>
      <c r="K67" s="82" t="s">
        <v>1968</v>
      </c>
      <c r="L67" s="82" t="s">
        <v>1968</v>
      </c>
      <c r="M67" s="82" t="s">
        <v>36</v>
      </c>
      <c r="N67" s="82" t="s">
        <v>46</v>
      </c>
      <c r="O67" s="82" t="s">
        <v>2726</v>
      </c>
      <c r="P67" s="82" t="s">
        <v>2727</v>
      </c>
      <c r="Q67" s="84" t="s">
        <v>2726</v>
      </c>
      <c r="R67" s="82" t="s">
        <v>4598</v>
      </c>
      <c r="S67" s="82">
        <v>-11.7392059</v>
      </c>
      <c r="T67" s="82">
        <v>-76.704434599999999</v>
      </c>
      <c r="U67" s="85">
        <v>35.76</v>
      </c>
      <c r="V67" s="82" t="s">
        <v>3247</v>
      </c>
      <c r="W67" s="86" t="s">
        <v>4286</v>
      </c>
      <c r="X67" s="106" t="s">
        <v>4281</v>
      </c>
      <c r="Y67" s="87">
        <v>27.4</v>
      </c>
      <c r="Z67" s="82" t="s">
        <v>4363</v>
      </c>
      <c r="AA67" s="82"/>
      <c r="AB67" s="82"/>
      <c r="AC67" s="88">
        <v>-11.997563</v>
      </c>
      <c r="AD67" s="88">
        <v>-76.900062000000005</v>
      </c>
      <c r="AE67" s="106" t="s">
        <v>4542</v>
      </c>
    </row>
    <row r="75" spans="1:31" x14ac:dyDescent="0.35">
      <c r="X75" s="122" t="s">
        <v>4237</v>
      </c>
      <c r="Y75" s="122" t="s">
        <v>4244</v>
      </c>
      <c r="Z75" s="122" t="s">
        <v>4245</v>
      </c>
      <c r="AA75" s="25">
        <v>-12.0002005</v>
      </c>
      <c r="AB75" s="26">
        <v>-76.900436600000006</v>
      </c>
      <c r="AC75" s="122" t="s">
        <v>4625</v>
      </c>
    </row>
    <row r="76" spans="1:31" x14ac:dyDescent="0.35">
      <c r="X76" s="4" t="s">
        <v>4246</v>
      </c>
      <c r="Y76" s="4" t="s">
        <v>4244</v>
      </c>
      <c r="Z76" s="4" t="s">
        <v>4245</v>
      </c>
      <c r="AA76" s="25">
        <v>-12.0002005</v>
      </c>
      <c r="AB76" s="26">
        <v>-76.900436600000006</v>
      </c>
      <c r="AC76" s="4" t="s">
        <v>4625</v>
      </c>
    </row>
    <row r="77" spans="1:31" x14ac:dyDescent="0.35">
      <c r="X77" s="122" t="s">
        <v>4250</v>
      </c>
      <c r="Y77" s="122" t="s">
        <v>4244</v>
      </c>
      <c r="Z77" s="122" t="s">
        <v>4245</v>
      </c>
      <c r="AA77" s="25">
        <v>-12.0002005</v>
      </c>
      <c r="AB77" s="26">
        <v>-76.900436600000006</v>
      </c>
      <c r="AC77" s="122" t="s">
        <v>4625</v>
      </c>
    </row>
    <row r="78" spans="1:31" x14ac:dyDescent="0.35">
      <c r="X78" s="4" t="s">
        <v>4261</v>
      </c>
      <c r="Y78" s="4" t="s">
        <v>4244</v>
      </c>
      <c r="Z78" s="4" t="s">
        <v>4245</v>
      </c>
      <c r="AA78" s="25">
        <v>-12.0002005</v>
      </c>
      <c r="AB78" s="26">
        <v>-76.900436600000006</v>
      </c>
      <c r="AC78" s="4" t="s">
        <v>4625</v>
      </c>
    </row>
    <row r="79" spans="1:31" x14ac:dyDescent="0.35">
      <c r="X79" s="122" t="s">
        <v>4273</v>
      </c>
      <c r="Y79" s="122" t="s">
        <v>4244</v>
      </c>
      <c r="Z79" s="122" t="s">
        <v>4245</v>
      </c>
      <c r="AA79" s="25">
        <v>-12.0002005</v>
      </c>
      <c r="AB79" s="26">
        <v>-76.900436600000006</v>
      </c>
      <c r="AC79" s="122" t="s">
        <v>4625</v>
      </c>
    </row>
    <row r="80" spans="1:31" x14ac:dyDescent="0.35">
      <c r="X80" s="4" t="s">
        <v>4281</v>
      </c>
      <c r="Y80" s="4" t="s">
        <v>4244</v>
      </c>
      <c r="Z80" s="4" t="s">
        <v>4245</v>
      </c>
      <c r="AA80" s="25">
        <v>-12.0002005</v>
      </c>
      <c r="AB80" s="26">
        <v>-76.900436600000006</v>
      </c>
      <c r="AC80" s="4" t="s">
        <v>4625</v>
      </c>
    </row>
    <row r="81" spans="24:29" x14ac:dyDescent="0.35">
      <c r="X81" s="122" t="s">
        <v>4289</v>
      </c>
      <c r="Y81" s="122" t="s">
        <v>4244</v>
      </c>
      <c r="Z81" s="122" t="s">
        <v>4245</v>
      </c>
      <c r="AA81" s="25">
        <v>-12.0002005</v>
      </c>
      <c r="AB81" s="26">
        <v>-76.900436600000006</v>
      </c>
      <c r="AC81" s="122" t="s">
        <v>4625</v>
      </c>
    </row>
    <row r="82" spans="24:29" x14ac:dyDescent="0.35">
      <c r="X82" s="4" t="s">
        <v>4296</v>
      </c>
      <c r="Y82" s="4" t="s">
        <v>4244</v>
      </c>
      <c r="Z82" s="4" t="s">
        <v>4245</v>
      </c>
      <c r="AA82" s="25">
        <v>-12.0002005</v>
      </c>
      <c r="AB82" s="26">
        <v>-76.900436600000006</v>
      </c>
      <c r="AC82" s="4" t="s">
        <v>4625</v>
      </c>
    </row>
    <row r="83" spans="24:29" x14ac:dyDescent="0.35">
      <c r="X83" s="122" t="s">
        <v>4299</v>
      </c>
      <c r="Y83" s="122" t="s">
        <v>4244</v>
      </c>
      <c r="Z83" s="122" t="s">
        <v>4245</v>
      </c>
      <c r="AA83" s="25">
        <v>-12.0002005</v>
      </c>
      <c r="AB83" s="26">
        <v>-76.900436600000006</v>
      </c>
      <c r="AC83" s="122" t="s">
        <v>4625</v>
      </c>
    </row>
    <row r="84" spans="24:29" x14ac:dyDescent="0.35">
      <c r="X84" s="4" t="s">
        <v>4302</v>
      </c>
      <c r="Y84" s="4" t="s">
        <v>4244</v>
      </c>
      <c r="Z84" s="4" t="s">
        <v>4245</v>
      </c>
      <c r="AA84" s="25">
        <v>-12.0002005</v>
      </c>
      <c r="AB84" s="26">
        <v>-76.900436600000006</v>
      </c>
      <c r="AC84" s="4" t="s">
        <v>4625</v>
      </c>
    </row>
    <row r="85" spans="24:29" x14ac:dyDescent="0.35">
      <c r="X85" s="122" t="s">
        <v>4308</v>
      </c>
      <c r="Y85" s="122" t="s">
        <v>4244</v>
      </c>
      <c r="Z85" s="122" t="s">
        <v>4245</v>
      </c>
      <c r="AA85" s="25">
        <v>-12.0002005</v>
      </c>
      <c r="AB85" s="26">
        <v>-76.900436600000006</v>
      </c>
      <c r="AC85" s="122" t="s">
        <v>4625</v>
      </c>
    </row>
    <row r="86" spans="24:29" x14ac:dyDescent="0.35">
      <c r="X86" s="4" t="s">
        <v>4316</v>
      </c>
      <c r="Y86" s="4" t="s">
        <v>4244</v>
      </c>
      <c r="Z86" s="4" t="s">
        <v>4245</v>
      </c>
      <c r="AA86" s="25">
        <v>-12.0002005</v>
      </c>
      <c r="AB86" s="26">
        <v>-76.900436600000006</v>
      </c>
      <c r="AC86" s="4" t="s">
        <v>4625</v>
      </c>
    </row>
    <row r="87" spans="24:29" x14ac:dyDescent="0.35">
      <c r="X87" s="122" t="s">
        <v>4336</v>
      </c>
      <c r="Y87" s="122" t="s">
        <v>4244</v>
      </c>
      <c r="Z87" s="122" t="s">
        <v>4245</v>
      </c>
      <c r="AA87" s="25">
        <v>-12.0002005</v>
      </c>
      <c r="AB87" s="26">
        <v>-76.900436600000006</v>
      </c>
      <c r="AC87" s="122" t="s">
        <v>4625</v>
      </c>
    </row>
    <row r="88" spans="24:29" x14ac:dyDescent="0.35">
      <c r="X88" s="4" t="s">
        <v>4349</v>
      </c>
      <c r="Y88" s="4" t="s">
        <v>4244</v>
      </c>
      <c r="Z88" s="4" t="s">
        <v>4245</v>
      </c>
      <c r="AA88" s="25">
        <v>-12.0002005</v>
      </c>
      <c r="AB88" s="26">
        <v>-76.900436600000006</v>
      </c>
      <c r="AC88" s="4" t="s">
        <v>4625</v>
      </c>
    </row>
  </sheetData>
  <conditionalFormatting sqref="A60:A62">
    <cfRule type="duplicateValues" dxfId="0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FF80F-D323-42D2-A1B6-42A33A315301}">
  <dimension ref="E2:F108"/>
  <sheetViews>
    <sheetView zoomScale="85" zoomScaleNormal="85" workbookViewId="0">
      <selection activeCell="E8" sqref="E8"/>
    </sheetView>
  </sheetViews>
  <sheetFormatPr baseColWidth="10" defaultRowHeight="14.5" x14ac:dyDescent="0.35"/>
  <cols>
    <col min="1" max="1" width="19.81640625" bestFit="1" customWidth="1"/>
    <col min="2" max="2" width="5.08984375" bestFit="1" customWidth="1"/>
    <col min="5" max="5" width="31.54296875" bestFit="1" customWidth="1"/>
    <col min="6" max="6" width="9.36328125" bestFit="1" customWidth="1"/>
  </cols>
  <sheetData>
    <row r="2" spans="5:6" x14ac:dyDescent="0.35">
      <c r="E2" s="16" t="s">
        <v>4538</v>
      </c>
      <c r="F2" s="16" t="s">
        <v>4539</v>
      </c>
    </row>
    <row r="3" spans="5:6" x14ac:dyDescent="0.35">
      <c r="E3" s="60" t="s">
        <v>2628</v>
      </c>
      <c r="F3" s="4" t="s">
        <v>4540</v>
      </c>
    </row>
    <row r="4" spans="5:6" x14ac:dyDescent="0.35">
      <c r="E4" s="60" t="s">
        <v>3625</v>
      </c>
      <c r="F4" s="4" t="s">
        <v>4540</v>
      </c>
    </row>
    <row r="5" spans="5:6" x14ac:dyDescent="0.35">
      <c r="E5" s="60" t="s">
        <v>3842</v>
      </c>
      <c r="F5" s="4" t="s">
        <v>4540</v>
      </c>
    </row>
    <row r="6" spans="5:6" x14ac:dyDescent="0.35">
      <c r="E6" s="61" t="s">
        <v>4541</v>
      </c>
      <c r="F6" s="4" t="s">
        <v>4540</v>
      </c>
    </row>
    <row r="7" spans="5:6" x14ac:dyDescent="0.35">
      <c r="E7" s="60" t="s">
        <v>3532</v>
      </c>
      <c r="F7" s="4" t="s">
        <v>4540</v>
      </c>
    </row>
    <row r="8" spans="5:6" x14ac:dyDescent="0.35">
      <c r="E8" s="60" t="s">
        <v>2031</v>
      </c>
      <c r="F8" s="4" t="s">
        <v>4540</v>
      </c>
    </row>
    <row r="9" spans="5:6" x14ac:dyDescent="0.35">
      <c r="E9" s="60" t="s">
        <v>2070</v>
      </c>
      <c r="F9" s="4" t="s">
        <v>4540</v>
      </c>
    </row>
    <row r="10" spans="5:6" x14ac:dyDescent="0.35">
      <c r="E10" s="60" t="s">
        <v>2291</v>
      </c>
      <c r="F10" s="4" t="s">
        <v>4540</v>
      </c>
    </row>
    <row r="11" spans="5:6" x14ac:dyDescent="0.35">
      <c r="E11" s="60" t="s">
        <v>2628</v>
      </c>
      <c r="F11" s="4" t="s">
        <v>4540</v>
      </c>
    </row>
    <row r="12" spans="5:6" x14ac:dyDescent="0.35">
      <c r="E12" s="60" t="s">
        <v>2256</v>
      </c>
      <c r="F12" s="4" t="s">
        <v>4540</v>
      </c>
    </row>
    <row r="13" spans="5:6" x14ac:dyDescent="0.35">
      <c r="E13" s="60" t="s">
        <v>1971</v>
      </c>
      <c r="F13" s="4" t="s">
        <v>4542</v>
      </c>
    </row>
    <row r="14" spans="5:6" x14ac:dyDescent="0.35">
      <c r="E14" s="60" t="s">
        <v>237</v>
      </c>
      <c r="F14" s="4" t="s">
        <v>4540</v>
      </c>
    </row>
    <row r="15" spans="5:6" x14ac:dyDescent="0.35">
      <c r="E15" s="60" t="s">
        <v>4543</v>
      </c>
      <c r="F15" s="4" t="s">
        <v>4540</v>
      </c>
    </row>
    <row r="16" spans="5:6" x14ac:dyDescent="0.35">
      <c r="E16" s="60" t="s">
        <v>4544</v>
      </c>
      <c r="F16" s="4" t="s">
        <v>4540</v>
      </c>
    </row>
    <row r="17" spans="5:6" x14ac:dyDescent="0.35">
      <c r="E17" s="60" t="s">
        <v>2624</v>
      </c>
      <c r="F17" s="4" t="s">
        <v>4540</v>
      </c>
    </row>
    <row r="18" spans="5:6" x14ac:dyDescent="0.35">
      <c r="E18" s="60" t="s">
        <v>2041</v>
      </c>
      <c r="F18" s="4" t="s">
        <v>4540</v>
      </c>
    </row>
    <row r="19" spans="5:6" x14ac:dyDescent="0.35">
      <c r="E19" s="60" t="s">
        <v>1745</v>
      </c>
      <c r="F19" s="4" t="s">
        <v>4540</v>
      </c>
    </row>
    <row r="20" spans="5:6" x14ac:dyDescent="0.35">
      <c r="E20" s="60" t="s">
        <v>2938</v>
      </c>
      <c r="F20" s="4" t="s">
        <v>4540</v>
      </c>
    </row>
    <row r="21" spans="5:6" x14ac:dyDescent="0.35">
      <c r="E21" s="60" t="s">
        <v>2926</v>
      </c>
      <c r="F21" s="4" t="s">
        <v>4540</v>
      </c>
    </row>
    <row r="22" spans="5:6" x14ac:dyDescent="0.35">
      <c r="E22" s="60" t="s">
        <v>3138</v>
      </c>
      <c r="F22" s="4" t="s">
        <v>4540</v>
      </c>
    </row>
    <row r="23" spans="5:6" x14ac:dyDescent="0.35">
      <c r="E23" s="60" t="s">
        <v>2064</v>
      </c>
      <c r="F23" s="4" t="s">
        <v>4540</v>
      </c>
    </row>
    <row r="24" spans="5:6" x14ac:dyDescent="0.35">
      <c r="E24" s="61" t="s">
        <v>4545</v>
      </c>
      <c r="F24" s="4" t="s">
        <v>4540</v>
      </c>
    </row>
    <row r="25" spans="5:6" x14ac:dyDescent="0.35">
      <c r="E25" s="60" t="s">
        <v>4546</v>
      </c>
      <c r="F25" s="4" t="s">
        <v>4540</v>
      </c>
    </row>
    <row r="26" spans="5:6" x14ac:dyDescent="0.35">
      <c r="E26" s="60" t="s">
        <v>2236</v>
      </c>
      <c r="F26" s="4" t="s">
        <v>4540</v>
      </c>
    </row>
    <row r="27" spans="5:6" x14ac:dyDescent="0.35">
      <c r="E27" s="60" t="s">
        <v>2236</v>
      </c>
      <c r="F27" s="4" t="s">
        <v>4540</v>
      </c>
    </row>
    <row r="28" spans="5:6" x14ac:dyDescent="0.35">
      <c r="E28" s="60" t="s">
        <v>2006</v>
      </c>
      <c r="F28" s="4" t="s">
        <v>4542</v>
      </c>
    </row>
    <row r="29" spans="5:6" x14ac:dyDescent="0.35">
      <c r="E29" s="60" t="s">
        <v>4547</v>
      </c>
      <c r="F29" s="4" t="s">
        <v>4542</v>
      </c>
    </row>
    <row r="30" spans="5:6" x14ac:dyDescent="0.35">
      <c r="E30" s="61" t="s">
        <v>4548</v>
      </c>
      <c r="F30" s="4" t="s">
        <v>4540</v>
      </c>
    </row>
    <row r="31" spans="5:6" x14ac:dyDescent="0.35">
      <c r="E31" s="60" t="s">
        <v>2382</v>
      </c>
      <c r="F31" s="4" t="s">
        <v>4540</v>
      </c>
    </row>
    <row r="32" spans="5:6" x14ac:dyDescent="0.35">
      <c r="E32" s="60" t="s">
        <v>4549</v>
      </c>
      <c r="F32" s="4" t="s">
        <v>4540</v>
      </c>
    </row>
    <row r="33" spans="5:6" x14ac:dyDescent="0.35">
      <c r="E33" s="61" t="s">
        <v>4550</v>
      </c>
      <c r="F33" s="4" t="s">
        <v>4540</v>
      </c>
    </row>
    <row r="34" spans="5:6" x14ac:dyDescent="0.35">
      <c r="E34" s="60" t="s">
        <v>2746</v>
      </c>
      <c r="F34" s="4" t="s">
        <v>4540</v>
      </c>
    </row>
    <row r="35" spans="5:6" x14ac:dyDescent="0.35">
      <c r="E35" s="60" t="s">
        <v>4551</v>
      </c>
      <c r="F35" s="4" t="s">
        <v>4540</v>
      </c>
    </row>
    <row r="36" spans="5:6" x14ac:dyDescent="0.35">
      <c r="E36" s="60" t="s">
        <v>4098</v>
      </c>
      <c r="F36" s="4" t="s">
        <v>4540</v>
      </c>
    </row>
    <row r="37" spans="5:6" x14ac:dyDescent="0.35">
      <c r="E37" s="60" t="s">
        <v>2508</v>
      </c>
      <c r="F37" s="4" t="s">
        <v>4540</v>
      </c>
    </row>
    <row r="38" spans="5:6" x14ac:dyDescent="0.35">
      <c r="E38" s="60" t="s">
        <v>4552</v>
      </c>
      <c r="F38" s="4" t="s">
        <v>4540</v>
      </c>
    </row>
    <row r="39" spans="5:6" x14ac:dyDescent="0.35">
      <c r="E39" s="60" t="s">
        <v>2291</v>
      </c>
      <c r="F39" s="4" t="s">
        <v>4540</v>
      </c>
    </row>
    <row r="40" spans="5:6" x14ac:dyDescent="0.35">
      <c r="E40" s="60" t="s">
        <v>2787</v>
      </c>
      <c r="F40" s="4" t="s">
        <v>4540</v>
      </c>
    </row>
    <row r="41" spans="5:6" x14ac:dyDescent="0.35">
      <c r="E41" s="60" t="s">
        <v>2983</v>
      </c>
      <c r="F41" s="4" t="s">
        <v>4540</v>
      </c>
    </row>
    <row r="42" spans="5:6" x14ac:dyDescent="0.35">
      <c r="E42" s="60" t="s">
        <v>4553</v>
      </c>
      <c r="F42" s="4" t="s">
        <v>4540</v>
      </c>
    </row>
    <row r="43" spans="5:6" x14ac:dyDescent="0.35">
      <c r="E43" s="60" t="s">
        <v>1474</v>
      </c>
      <c r="F43" s="4" t="s">
        <v>4540</v>
      </c>
    </row>
    <row r="44" spans="5:6" x14ac:dyDescent="0.35">
      <c r="E44" s="60" t="s">
        <v>1977</v>
      </c>
      <c r="F44" s="4" t="s">
        <v>4540</v>
      </c>
    </row>
    <row r="45" spans="5:6" x14ac:dyDescent="0.35">
      <c r="E45" s="60" t="s">
        <v>2031</v>
      </c>
      <c r="F45" s="4" t="s">
        <v>4540</v>
      </c>
    </row>
    <row r="46" spans="5:6" x14ac:dyDescent="0.35">
      <c r="E46" s="60" t="s">
        <v>2070</v>
      </c>
      <c r="F46" s="4" t="s">
        <v>4540</v>
      </c>
    </row>
    <row r="47" spans="5:6" x14ac:dyDescent="0.35">
      <c r="E47" s="60" t="s">
        <v>2045</v>
      </c>
      <c r="F47" s="4" t="s">
        <v>4540</v>
      </c>
    </row>
    <row r="48" spans="5:6" x14ac:dyDescent="0.35">
      <c r="E48" s="60" t="s">
        <v>2677</v>
      </c>
      <c r="F48" s="4" t="s">
        <v>4540</v>
      </c>
    </row>
    <row r="49" spans="5:6" x14ac:dyDescent="0.35">
      <c r="E49" s="60" t="s">
        <v>4554</v>
      </c>
      <c r="F49" s="4" t="s">
        <v>4540</v>
      </c>
    </row>
    <row r="50" spans="5:6" x14ac:dyDescent="0.35">
      <c r="E50" s="60" t="s">
        <v>2659</v>
      </c>
      <c r="F50" s="4" t="s">
        <v>4540</v>
      </c>
    </row>
    <row r="51" spans="5:6" x14ac:dyDescent="0.35">
      <c r="E51" s="60" t="s">
        <v>2001</v>
      </c>
      <c r="F51" s="4" t="s">
        <v>4542</v>
      </c>
    </row>
    <row r="52" spans="5:6" x14ac:dyDescent="0.35">
      <c r="E52" s="60" t="s">
        <v>2001</v>
      </c>
      <c r="F52" s="4" t="s">
        <v>4542</v>
      </c>
    </row>
    <row r="53" spans="5:6" x14ac:dyDescent="0.35">
      <c r="E53" s="60" t="s">
        <v>1971</v>
      </c>
      <c r="F53" s="4" t="s">
        <v>4542</v>
      </c>
    </row>
    <row r="54" spans="5:6" x14ac:dyDescent="0.35">
      <c r="E54" s="60" t="s">
        <v>237</v>
      </c>
      <c r="F54" s="4" t="s">
        <v>4540</v>
      </c>
    </row>
    <row r="55" spans="5:6" x14ac:dyDescent="0.35">
      <c r="E55" s="60" t="s">
        <v>2750</v>
      </c>
      <c r="F55" s="4" t="s">
        <v>4540</v>
      </c>
    </row>
    <row r="56" spans="5:6" x14ac:dyDescent="0.35">
      <c r="E56" s="60" t="s">
        <v>2542</v>
      </c>
      <c r="F56" s="4" t="s">
        <v>4540</v>
      </c>
    </row>
    <row r="57" spans="5:6" x14ac:dyDescent="0.35">
      <c r="E57" s="60" t="s">
        <v>2859</v>
      </c>
      <c r="F57" s="4" t="s">
        <v>4540</v>
      </c>
    </row>
    <row r="58" spans="5:6" x14ac:dyDescent="0.35">
      <c r="E58" s="60" t="s">
        <v>1433</v>
      </c>
      <c r="F58" s="4" t="s">
        <v>4540</v>
      </c>
    </row>
    <row r="59" spans="5:6" x14ac:dyDescent="0.35">
      <c r="E59" s="60" t="s">
        <v>641</v>
      </c>
      <c r="F59" s="4" t="s">
        <v>4540</v>
      </c>
    </row>
    <row r="60" spans="5:6" x14ac:dyDescent="0.35">
      <c r="E60" s="60" t="s">
        <v>2041</v>
      </c>
      <c r="F60" s="4" t="s">
        <v>4540</v>
      </c>
    </row>
    <row r="61" spans="5:6" x14ac:dyDescent="0.35">
      <c r="E61" s="60" t="s">
        <v>3182</v>
      </c>
      <c r="F61" s="4" t="s">
        <v>4542</v>
      </c>
    </row>
    <row r="62" spans="5:6" x14ac:dyDescent="0.35">
      <c r="E62" s="60" t="s">
        <v>4555</v>
      </c>
      <c r="F62" s="4" t="s">
        <v>4540</v>
      </c>
    </row>
    <row r="63" spans="5:6" x14ac:dyDescent="0.35">
      <c r="E63" s="60" t="s">
        <v>4556</v>
      </c>
      <c r="F63" s="4" t="s">
        <v>4540</v>
      </c>
    </row>
    <row r="64" spans="5:6" x14ac:dyDescent="0.35">
      <c r="E64" s="60" t="s">
        <v>3182</v>
      </c>
      <c r="F64" s="4" t="s">
        <v>4542</v>
      </c>
    </row>
    <row r="65" spans="5:6" x14ac:dyDescent="0.35">
      <c r="E65" s="60" t="s">
        <v>1965</v>
      </c>
      <c r="F65" s="4" t="s">
        <v>4540</v>
      </c>
    </row>
    <row r="66" spans="5:6" x14ac:dyDescent="0.35">
      <c r="E66" s="60" t="s">
        <v>1965</v>
      </c>
      <c r="F66" s="4" t="s">
        <v>4540</v>
      </c>
    </row>
    <row r="67" spans="5:6" x14ac:dyDescent="0.35">
      <c r="E67" s="60" t="s">
        <v>2096</v>
      </c>
      <c r="F67" s="4" t="s">
        <v>4540</v>
      </c>
    </row>
    <row r="68" spans="5:6" x14ac:dyDescent="0.35">
      <c r="E68" s="60" t="s">
        <v>344</v>
      </c>
      <c r="F68" s="4" t="s">
        <v>4540</v>
      </c>
    </row>
    <row r="69" spans="5:6" x14ac:dyDescent="0.35">
      <c r="E69" s="60" t="s">
        <v>344</v>
      </c>
      <c r="F69" s="4" t="s">
        <v>4540</v>
      </c>
    </row>
    <row r="70" spans="5:6" x14ac:dyDescent="0.35">
      <c r="E70" s="60" t="s">
        <v>3716</v>
      </c>
      <c r="F70" s="4" t="s">
        <v>4540</v>
      </c>
    </row>
    <row r="71" spans="5:6" x14ac:dyDescent="0.35">
      <c r="E71" s="60" t="s">
        <v>689</v>
      </c>
      <c r="F71" s="4" t="s">
        <v>4540</v>
      </c>
    </row>
    <row r="72" spans="5:6" x14ac:dyDescent="0.35">
      <c r="E72" s="60" t="s">
        <v>4557</v>
      </c>
      <c r="F72" s="4" t="s">
        <v>4540</v>
      </c>
    </row>
    <row r="73" spans="5:6" x14ac:dyDescent="0.35">
      <c r="E73" s="62" t="s">
        <v>2421</v>
      </c>
      <c r="F73" s="4" t="s">
        <v>4540</v>
      </c>
    </row>
    <row r="74" spans="5:6" x14ac:dyDescent="0.35">
      <c r="E74" s="60" t="s">
        <v>2421</v>
      </c>
      <c r="F74" s="4" t="s">
        <v>4540</v>
      </c>
    </row>
    <row r="75" spans="5:6" x14ac:dyDescent="0.35">
      <c r="E75" s="60" t="s">
        <v>2130</v>
      </c>
      <c r="F75" s="4" t="s">
        <v>4540</v>
      </c>
    </row>
    <row r="76" spans="5:6" x14ac:dyDescent="0.35">
      <c r="E76" s="60" t="s">
        <v>2130</v>
      </c>
      <c r="F76" s="4" t="s">
        <v>4540</v>
      </c>
    </row>
    <row r="77" spans="5:6" x14ac:dyDescent="0.35">
      <c r="E77" s="61" t="s">
        <v>4558</v>
      </c>
      <c r="F77" s="4" t="s">
        <v>4540</v>
      </c>
    </row>
    <row r="78" spans="5:6" x14ac:dyDescent="0.35">
      <c r="E78" s="61" t="s">
        <v>378</v>
      </c>
      <c r="F78" s="4" t="s">
        <v>4540</v>
      </c>
    </row>
    <row r="79" spans="5:6" x14ac:dyDescent="0.35">
      <c r="E79" s="63" t="s">
        <v>378</v>
      </c>
      <c r="F79" s="6" t="s">
        <v>4540</v>
      </c>
    </row>
    <row r="80" spans="5:6" x14ac:dyDescent="0.35">
      <c r="E80" s="60" t="s">
        <v>2476</v>
      </c>
      <c r="F80" s="4" t="s">
        <v>4540</v>
      </c>
    </row>
    <row r="81" spans="5:6" x14ac:dyDescent="0.35">
      <c r="E81" s="60" t="s">
        <v>1235</v>
      </c>
      <c r="F81" s="6" t="s">
        <v>4540</v>
      </c>
    </row>
    <row r="82" spans="5:6" x14ac:dyDescent="0.35">
      <c r="E82" s="63" t="s">
        <v>2151</v>
      </c>
      <c r="F82" s="4" t="s">
        <v>4540</v>
      </c>
    </row>
    <row r="83" spans="5:6" x14ac:dyDescent="0.35">
      <c r="E83" s="63" t="s">
        <v>2557</v>
      </c>
      <c r="F83" s="6" t="s">
        <v>4540</v>
      </c>
    </row>
    <row r="84" spans="5:6" x14ac:dyDescent="0.35">
      <c r="E84" s="63" t="s">
        <v>3029</v>
      </c>
      <c r="F84" s="6" t="s">
        <v>4540</v>
      </c>
    </row>
    <row r="85" spans="5:6" x14ac:dyDescent="0.35">
      <c r="E85" s="63" t="s">
        <v>372</v>
      </c>
      <c r="F85" s="6" t="s">
        <v>4542</v>
      </c>
    </row>
    <row r="86" spans="5:6" x14ac:dyDescent="0.35">
      <c r="E86" s="63" t="s">
        <v>372</v>
      </c>
      <c r="F86" s="6" t="s">
        <v>4542</v>
      </c>
    </row>
    <row r="87" spans="5:6" x14ac:dyDescent="0.35">
      <c r="E87" s="63" t="s">
        <v>3747</v>
      </c>
      <c r="F87" s="6" t="s">
        <v>4542</v>
      </c>
    </row>
    <row r="88" spans="5:6" x14ac:dyDescent="0.35">
      <c r="E88" s="60" t="s">
        <v>307</v>
      </c>
      <c r="F88" s="4" t="s">
        <v>4542</v>
      </c>
    </row>
    <row r="89" spans="5:6" x14ac:dyDescent="0.35">
      <c r="E89" s="60" t="s">
        <v>30</v>
      </c>
      <c r="F89" s="4" t="s">
        <v>4542</v>
      </c>
    </row>
    <row r="90" spans="5:6" x14ac:dyDescent="0.35">
      <c r="E90" s="60" t="s">
        <v>62</v>
      </c>
      <c r="F90" s="4" t="s">
        <v>4542</v>
      </c>
    </row>
    <row r="91" spans="5:6" x14ac:dyDescent="0.35">
      <c r="E91" s="63" t="s">
        <v>44</v>
      </c>
      <c r="F91" s="4" t="s">
        <v>4542</v>
      </c>
    </row>
    <row r="92" spans="5:6" x14ac:dyDescent="0.35">
      <c r="E92" s="67" t="s">
        <v>1448</v>
      </c>
      <c r="F92" s="4" t="s">
        <v>4540</v>
      </c>
    </row>
    <row r="93" spans="5:6" x14ac:dyDescent="0.35">
      <c r="E93" s="67" t="s">
        <v>285</v>
      </c>
      <c r="F93" s="4" t="s">
        <v>4540</v>
      </c>
    </row>
    <row r="94" spans="5:6" x14ac:dyDescent="0.35">
      <c r="E94" s="67" t="s">
        <v>327</v>
      </c>
      <c r="F94" s="4" t="s">
        <v>4540</v>
      </c>
    </row>
    <row r="95" spans="5:6" x14ac:dyDescent="0.35">
      <c r="E95" s="67" t="s">
        <v>1600</v>
      </c>
      <c r="F95" s="4" t="s">
        <v>4540</v>
      </c>
    </row>
    <row r="96" spans="5:6" x14ac:dyDescent="0.35">
      <c r="E96" s="67" t="s">
        <v>822</v>
      </c>
      <c r="F96" s="4" t="s">
        <v>4540</v>
      </c>
    </row>
    <row r="97" spans="5:6" x14ac:dyDescent="0.35">
      <c r="E97" s="67" t="s">
        <v>336</v>
      </c>
      <c r="F97" s="4" t="s">
        <v>4540</v>
      </c>
    </row>
    <row r="98" spans="5:6" x14ac:dyDescent="0.35">
      <c r="E98" s="67" t="s">
        <v>155</v>
      </c>
      <c r="F98" s="4" t="s">
        <v>4540</v>
      </c>
    </row>
    <row r="99" spans="5:6" x14ac:dyDescent="0.35">
      <c r="E99" s="67" t="s">
        <v>1368</v>
      </c>
      <c r="F99" s="4" t="s">
        <v>4540</v>
      </c>
    </row>
    <row r="100" spans="5:6" x14ac:dyDescent="0.35">
      <c r="E100" s="67" t="s">
        <v>1247</v>
      </c>
      <c r="F100" s="4" t="s">
        <v>4540</v>
      </c>
    </row>
    <row r="101" spans="5:6" x14ac:dyDescent="0.35">
      <c r="E101" s="67" t="s">
        <v>761</v>
      </c>
      <c r="F101" s="4" t="s">
        <v>4540</v>
      </c>
    </row>
    <row r="102" spans="5:6" x14ac:dyDescent="0.35">
      <c r="E102" s="67" t="s">
        <v>1407</v>
      </c>
      <c r="F102" s="4" t="s">
        <v>4540</v>
      </c>
    </row>
    <row r="103" spans="5:6" x14ac:dyDescent="0.35">
      <c r="E103" s="67" t="s">
        <v>182</v>
      </c>
      <c r="F103" s="4" t="s">
        <v>4540</v>
      </c>
    </row>
    <row r="104" spans="5:6" x14ac:dyDescent="0.35">
      <c r="E104" s="67" t="s">
        <v>1911</v>
      </c>
      <c r="F104" s="4" t="s">
        <v>4540</v>
      </c>
    </row>
    <row r="105" spans="5:6" x14ac:dyDescent="0.35">
      <c r="E105" s="67" t="s">
        <v>1693</v>
      </c>
      <c r="F105" s="4" t="s">
        <v>4540</v>
      </c>
    </row>
    <row r="106" spans="5:6" x14ac:dyDescent="0.35">
      <c r="E106" s="67" t="s">
        <v>1393</v>
      </c>
      <c r="F106" s="4" t="s">
        <v>4540</v>
      </c>
    </row>
    <row r="107" spans="5:6" x14ac:dyDescent="0.35">
      <c r="E107" s="67" t="s">
        <v>416</v>
      </c>
      <c r="F107" s="4" t="s">
        <v>4540</v>
      </c>
    </row>
    <row r="108" spans="5:6" x14ac:dyDescent="0.35">
      <c r="E108" s="68" t="s">
        <v>266</v>
      </c>
      <c r="F108" s="4" t="s">
        <v>4540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D935E-20B3-445C-9882-9E623E383489}">
  <dimension ref="A1:AH2000"/>
  <sheetViews>
    <sheetView zoomScaleNormal="100" workbookViewId="0">
      <selection activeCell="C7" sqref="C7"/>
    </sheetView>
  </sheetViews>
  <sheetFormatPr baseColWidth="10" defaultRowHeight="14.5" x14ac:dyDescent="0.35"/>
  <cols>
    <col min="1" max="1" width="12.7265625" customWidth="1"/>
    <col min="2" max="2" width="17.81640625" customWidth="1"/>
    <col min="3" max="3" width="44.54296875" customWidth="1"/>
    <col min="4" max="4" width="10.1796875" customWidth="1"/>
    <col min="5" max="5" width="38.1796875" style="37" customWidth="1"/>
    <col min="6" max="6" width="16.81640625" style="37" customWidth="1"/>
    <col min="7" max="7" width="19.26953125" style="37" bestFit="1" customWidth="1"/>
    <col min="8" max="8" width="23.6328125" style="37" bestFit="1" customWidth="1"/>
    <col min="9" max="9" width="24" bestFit="1" customWidth="1"/>
    <col min="10" max="10" width="17.26953125" customWidth="1"/>
    <col min="11" max="11" width="47.36328125" bestFit="1" customWidth="1"/>
    <col min="12" max="12" width="13.1796875" style="37" bestFit="1" customWidth="1"/>
    <col min="13" max="13" width="13.7265625" style="37" bestFit="1" customWidth="1"/>
    <col min="14" max="14" width="14.453125" bestFit="1" customWidth="1"/>
    <col min="15" max="15" width="12" customWidth="1"/>
    <col min="16" max="16" width="18.26953125" customWidth="1"/>
    <col min="17" max="18" width="17" customWidth="1"/>
    <col min="19" max="19" width="12.36328125" customWidth="1"/>
    <col min="20" max="20" width="31.81640625" customWidth="1"/>
    <col min="21" max="21" width="63.6328125" customWidth="1"/>
    <col min="23" max="23" width="11.90625" customWidth="1"/>
    <col min="24" max="24" width="16.81640625" customWidth="1"/>
    <col min="25" max="25" width="66.453125" bestFit="1" customWidth="1"/>
    <col min="26" max="26" width="50.90625" customWidth="1"/>
    <col min="27" max="27" width="17.36328125" customWidth="1"/>
    <col min="28" max="28" width="21.26953125" customWidth="1"/>
    <col min="29" max="29" width="24" customWidth="1"/>
    <col min="30" max="30" width="17.36328125" customWidth="1"/>
    <col min="31" max="31" width="22.453125" customWidth="1"/>
    <col min="32" max="32" width="11.08984375" customWidth="1"/>
    <col min="33" max="33" width="11.6328125" customWidth="1"/>
    <col min="34" max="34" width="19.08984375" customWidth="1"/>
  </cols>
  <sheetData>
    <row r="1" spans="1:34" x14ac:dyDescent="0.35">
      <c r="A1" s="52" t="s">
        <v>4562</v>
      </c>
      <c r="B1" s="52" t="s">
        <v>4471</v>
      </c>
      <c r="C1" s="52" t="s">
        <v>4472</v>
      </c>
      <c r="D1" s="52" t="s">
        <v>4566</v>
      </c>
      <c r="E1" s="52" t="s">
        <v>4473</v>
      </c>
      <c r="F1" s="52" t="s">
        <v>4474</v>
      </c>
      <c r="G1" s="52" t="s">
        <v>4475</v>
      </c>
      <c r="H1" s="52" t="s">
        <v>4573</v>
      </c>
      <c r="I1" s="52" t="s">
        <v>4574</v>
      </c>
      <c r="J1" s="52" t="s">
        <v>4575</v>
      </c>
      <c r="K1" s="52" t="s">
        <v>4576</v>
      </c>
      <c r="L1" s="52" t="s">
        <v>4577</v>
      </c>
      <c r="M1" s="52" t="s">
        <v>4578</v>
      </c>
      <c r="N1" s="52" t="s">
        <v>4579</v>
      </c>
      <c r="O1" s="52" t="s">
        <v>4580</v>
      </c>
      <c r="P1" s="52" t="s">
        <v>4581</v>
      </c>
      <c r="Q1" s="52" t="s">
        <v>4476</v>
      </c>
      <c r="R1" s="52" t="s">
        <v>4477</v>
      </c>
      <c r="S1" s="52" t="s">
        <v>4478</v>
      </c>
      <c r="T1" s="52" t="s">
        <v>4231</v>
      </c>
      <c r="U1" s="52" t="s">
        <v>4232</v>
      </c>
      <c r="V1" s="52" t="s">
        <v>4233</v>
      </c>
      <c r="W1" s="52" t="s">
        <v>4355</v>
      </c>
      <c r="X1" s="52" t="s">
        <v>4356</v>
      </c>
      <c r="Y1" s="52" t="s">
        <v>4357</v>
      </c>
      <c r="Z1" s="52" t="s">
        <v>4358</v>
      </c>
      <c r="AA1" s="52" t="s">
        <v>4359</v>
      </c>
      <c r="AB1" s="52" t="s">
        <v>4360</v>
      </c>
      <c r="AC1" s="52" t="s">
        <v>4451</v>
      </c>
      <c r="AD1" s="52" t="s">
        <v>4457</v>
      </c>
      <c r="AE1" s="52" t="s">
        <v>4469</v>
      </c>
      <c r="AF1" s="52" t="s">
        <v>4470</v>
      </c>
      <c r="AG1" s="52" t="s">
        <v>4537</v>
      </c>
      <c r="AH1" s="52"/>
    </row>
    <row r="2" spans="1:34" x14ac:dyDescent="0.35">
      <c r="A2" t="s">
        <v>4588</v>
      </c>
      <c r="E2"/>
      <c r="F2"/>
      <c r="G2"/>
      <c r="H2"/>
      <c r="L2"/>
      <c r="M2"/>
    </row>
    <row r="3" spans="1:34" x14ac:dyDescent="0.35">
      <c r="A3" t="s">
        <v>4589</v>
      </c>
      <c r="E3"/>
      <c r="F3"/>
      <c r="G3"/>
      <c r="H3"/>
      <c r="L3"/>
      <c r="M3"/>
    </row>
    <row r="4" spans="1:34" x14ac:dyDescent="0.35">
      <c r="A4" t="s">
        <v>4590</v>
      </c>
      <c r="E4"/>
      <c r="F4"/>
      <c r="G4"/>
      <c r="H4"/>
      <c r="L4"/>
      <c r="M4"/>
    </row>
    <row r="5" spans="1:34" x14ac:dyDescent="0.35">
      <c r="E5"/>
      <c r="F5"/>
      <c r="G5"/>
      <c r="H5"/>
      <c r="L5"/>
      <c r="M5"/>
    </row>
    <row r="6" spans="1:34" x14ac:dyDescent="0.35">
      <c r="E6"/>
      <c r="F6"/>
      <c r="G6"/>
      <c r="H6"/>
      <c r="L6"/>
      <c r="M6"/>
    </row>
    <row r="7" spans="1:34" x14ac:dyDescent="0.35">
      <c r="E7"/>
      <c r="F7"/>
      <c r="G7"/>
      <c r="H7"/>
      <c r="L7"/>
      <c r="M7"/>
    </row>
    <row r="8" spans="1:34" x14ac:dyDescent="0.35">
      <c r="E8"/>
      <c r="F8"/>
      <c r="G8"/>
      <c r="H8"/>
      <c r="L8"/>
      <c r="M8"/>
    </row>
    <row r="9" spans="1:34" x14ac:dyDescent="0.35">
      <c r="E9"/>
      <c r="F9"/>
      <c r="G9"/>
      <c r="H9"/>
      <c r="L9"/>
      <c r="M9"/>
    </row>
    <row r="10" spans="1:34" x14ac:dyDescent="0.35">
      <c r="E10"/>
      <c r="F10"/>
      <c r="G10"/>
      <c r="H10"/>
      <c r="L10"/>
      <c r="M10"/>
    </row>
    <row r="11" spans="1:34" x14ac:dyDescent="0.35">
      <c r="E11"/>
      <c r="F11"/>
      <c r="G11"/>
      <c r="H11"/>
      <c r="L11"/>
      <c r="M11"/>
    </row>
    <row r="12" spans="1:34" x14ac:dyDescent="0.35">
      <c r="E12"/>
      <c r="F12"/>
      <c r="G12"/>
      <c r="H12"/>
      <c r="L12"/>
      <c r="M12"/>
    </row>
    <row r="13" spans="1:34" x14ac:dyDescent="0.35">
      <c r="E13"/>
      <c r="F13"/>
      <c r="G13"/>
      <c r="H13"/>
      <c r="L13"/>
      <c r="M13"/>
    </row>
    <row r="14" spans="1:34" x14ac:dyDescent="0.35">
      <c r="E14"/>
      <c r="F14"/>
      <c r="G14"/>
      <c r="H14"/>
      <c r="L14"/>
      <c r="M14"/>
    </row>
    <row r="15" spans="1:34" x14ac:dyDescent="0.35">
      <c r="E15"/>
      <c r="F15"/>
      <c r="G15"/>
      <c r="H15"/>
      <c r="L15"/>
      <c r="M15"/>
    </row>
    <row r="16" spans="1:34" x14ac:dyDescent="0.35">
      <c r="E16"/>
      <c r="F16"/>
      <c r="G16"/>
      <c r="H16"/>
      <c r="L16"/>
      <c r="M16"/>
    </row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  <row r="22" customFormat="1" x14ac:dyDescent="0.35"/>
    <row r="23" customFormat="1" x14ac:dyDescent="0.35"/>
    <row r="24" customFormat="1" x14ac:dyDescent="0.35"/>
    <row r="25" customFormat="1" x14ac:dyDescent="0.35"/>
    <row r="26" customFormat="1" x14ac:dyDescent="0.35"/>
    <row r="27" customFormat="1" x14ac:dyDescent="0.35"/>
    <row r="28" customFormat="1" x14ac:dyDescent="0.35"/>
    <row r="29" customFormat="1" x14ac:dyDescent="0.35"/>
    <row r="30" customFormat="1" x14ac:dyDescent="0.35"/>
    <row r="31" customFormat="1" x14ac:dyDescent="0.35"/>
    <row r="32" customFormat="1" x14ac:dyDescent="0.35"/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  <row r="38" customFormat="1" x14ac:dyDescent="0.35"/>
    <row r="39" customFormat="1" x14ac:dyDescent="0.35"/>
    <row r="40" customFormat="1" x14ac:dyDescent="0.35"/>
    <row r="41" customFormat="1" x14ac:dyDescent="0.35"/>
    <row r="42" customFormat="1" x14ac:dyDescent="0.35"/>
    <row r="43" customFormat="1" x14ac:dyDescent="0.35"/>
    <row r="44" customFormat="1" x14ac:dyDescent="0.35"/>
    <row r="45" customFormat="1" x14ac:dyDescent="0.35"/>
    <row r="46" customFormat="1" x14ac:dyDescent="0.35"/>
    <row r="47" customFormat="1" x14ac:dyDescent="0.35"/>
    <row r="48" customFormat="1" x14ac:dyDescent="0.35"/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  <row r="70" customFormat="1" x14ac:dyDescent="0.35"/>
    <row r="71" customFormat="1" x14ac:dyDescent="0.35"/>
    <row r="72" customFormat="1" x14ac:dyDescent="0.35"/>
    <row r="73" customFormat="1" x14ac:dyDescent="0.35"/>
    <row r="74" customFormat="1" x14ac:dyDescent="0.35"/>
    <row r="75" customFormat="1" x14ac:dyDescent="0.35"/>
    <row r="76" customFormat="1" x14ac:dyDescent="0.35"/>
    <row r="77" customFormat="1" x14ac:dyDescent="0.35"/>
    <row r="78" customFormat="1" x14ac:dyDescent="0.35"/>
    <row r="79" customFormat="1" x14ac:dyDescent="0.35"/>
    <row r="80" customFormat="1" x14ac:dyDescent="0.35"/>
    <row r="81" customFormat="1" x14ac:dyDescent="0.35"/>
    <row r="82" customFormat="1" x14ac:dyDescent="0.35"/>
    <row r="83" customFormat="1" x14ac:dyDescent="0.35"/>
    <row r="84" customFormat="1" x14ac:dyDescent="0.35"/>
    <row r="85" customFormat="1" x14ac:dyDescent="0.35"/>
    <row r="86" customFormat="1" x14ac:dyDescent="0.35"/>
    <row r="87" customFormat="1" x14ac:dyDescent="0.35"/>
    <row r="88" customFormat="1" x14ac:dyDescent="0.35"/>
    <row r="89" customFormat="1" x14ac:dyDescent="0.35"/>
    <row r="90" customFormat="1" x14ac:dyDescent="0.35"/>
    <row r="91" customFormat="1" x14ac:dyDescent="0.35"/>
    <row r="92" customFormat="1" x14ac:dyDescent="0.35"/>
    <row r="93" customFormat="1" x14ac:dyDescent="0.35"/>
    <row r="94" customFormat="1" x14ac:dyDescent="0.35"/>
    <row r="95" customFormat="1" x14ac:dyDescent="0.35"/>
    <row r="96" customFormat="1" x14ac:dyDescent="0.35"/>
    <row r="97" customFormat="1" x14ac:dyDescent="0.35"/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customFormat="1" x14ac:dyDescent="0.35"/>
    <row r="105" customFormat="1" x14ac:dyDescent="0.35"/>
    <row r="106" customFormat="1" x14ac:dyDescent="0.35"/>
    <row r="107" customFormat="1" x14ac:dyDescent="0.35"/>
    <row r="108" customFormat="1" x14ac:dyDescent="0.35"/>
    <row r="109" customFormat="1" x14ac:dyDescent="0.35"/>
    <row r="110" customFormat="1" x14ac:dyDescent="0.35"/>
    <row r="111" customFormat="1" x14ac:dyDescent="0.35"/>
    <row r="112" customFormat="1" x14ac:dyDescent="0.35"/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  <row r="135" customFormat="1" x14ac:dyDescent="0.35"/>
    <row r="136" customFormat="1" x14ac:dyDescent="0.35"/>
    <row r="137" customFormat="1" x14ac:dyDescent="0.35"/>
    <row r="138" customFormat="1" x14ac:dyDescent="0.35"/>
    <row r="139" customFormat="1" x14ac:dyDescent="0.35"/>
    <row r="140" customFormat="1" x14ac:dyDescent="0.35"/>
    <row r="141" customFormat="1" x14ac:dyDescent="0.35"/>
    <row r="142" customFormat="1" x14ac:dyDescent="0.35"/>
    <row r="143" customFormat="1" x14ac:dyDescent="0.35"/>
    <row r="144" customFormat="1" x14ac:dyDescent="0.35"/>
    <row r="145" customFormat="1" x14ac:dyDescent="0.35"/>
    <row r="146" customFormat="1" x14ac:dyDescent="0.35"/>
    <row r="147" customFormat="1" x14ac:dyDescent="0.35"/>
    <row r="148" customFormat="1" x14ac:dyDescent="0.35"/>
    <row r="149" customFormat="1" x14ac:dyDescent="0.35"/>
    <row r="150" customFormat="1" x14ac:dyDescent="0.35"/>
    <row r="151" customFormat="1" x14ac:dyDescent="0.35"/>
    <row r="152" customFormat="1" x14ac:dyDescent="0.35"/>
    <row r="153" customFormat="1" x14ac:dyDescent="0.35"/>
    <row r="154" customFormat="1" x14ac:dyDescent="0.35"/>
    <row r="155" customFormat="1" x14ac:dyDescent="0.35"/>
    <row r="156" customFormat="1" x14ac:dyDescent="0.35"/>
    <row r="157" customFormat="1" x14ac:dyDescent="0.35"/>
    <row r="158" customFormat="1" x14ac:dyDescent="0.35"/>
    <row r="159" customFormat="1" x14ac:dyDescent="0.35"/>
    <row r="160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  <row r="170" customFormat="1" x14ac:dyDescent="0.35"/>
    <row r="171" customFormat="1" x14ac:dyDescent="0.35"/>
    <row r="172" customFormat="1" x14ac:dyDescent="0.35"/>
    <row r="173" customFormat="1" x14ac:dyDescent="0.35"/>
    <row r="174" customFormat="1" x14ac:dyDescent="0.35"/>
    <row r="175" customFormat="1" x14ac:dyDescent="0.35"/>
    <row r="176" customFormat="1" x14ac:dyDescent="0.35"/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  <row r="183" customFormat="1" x14ac:dyDescent="0.35"/>
    <row r="184" customFormat="1" x14ac:dyDescent="0.35"/>
    <row r="185" customFormat="1" x14ac:dyDescent="0.35"/>
    <row r="186" customFormat="1" x14ac:dyDescent="0.35"/>
    <row r="187" customFormat="1" x14ac:dyDescent="0.35"/>
    <row r="188" customFormat="1" x14ac:dyDescent="0.35"/>
    <row r="189" customFormat="1" x14ac:dyDescent="0.35"/>
    <row r="190" customFormat="1" x14ac:dyDescent="0.35"/>
    <row r="191" customFormat="1" x14ac:dyDescent="0.35"/>
    <row r="192" customFormat="1" x14ac:dyDescent="0.35"/>
    <row r="193" customFormat="1" x14ac:dyDescent="0.35"/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  <row r="207" customFormat="1" x14ac:dyDescent="0.35"/>
    <row r="208" customFormat="1" x14ac:dyDescent="0.35"/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  <row r="282" customFormat="1" x14ac:dyDescent="0.35"/>
    <row r="283" customFormat="1" x14ac:dyDescent="0.35"/>
    <row r="284" customFormat="1" x14ac:dyDescent="0.35"/>
    <row r="285" customFormat="1" x14ac:dyDescent="0.35"/>
    <row r="286" customFormat="1" x14ac:dyDescent="0.35"/>
    <row r="287" customFormat="1" x14ac:dyDescent="0.35"/>
    <row r="288" customFormat="1" x14ac:dyDescent="0.35"/>
    <row r="289" customFormat="1" x14ac:dyDescent="0.35"/>
    <row r="290" customFormat="1" x14ac:dyDescent="0.35"/>
    <row r="291" customFormat="1" x14ac:dyDescent="0.35"/>
    <row r="292" customFormat="1" x14ac:dyDescent="0.35"/>
    <row r="293" customFormat="1" x14ac:dyDescent="0.35"/>
    <row r="294" customFormat="1" x14ac:dyDescent="0.35"/>
    <row r="295" customFormat="1" x14ac:dyDescent="0.35"/>
    <row r="296" customFormat="1" x14ac:dyDescent="0.35"/>
    <row r="297" customFormat="1" x14ac:dyDescent="0.35"/>
    <row r="298" customFormat="1" x14ac:dyDescent="0.35"/>
    <row r="299" customFormat="1" x14ac:dyDescent="0.35"/>
    <row r="300" customFormat="1" x14ac:dyDescent="0.35"/>
    <row r="301" customFormat="1" x14ac:dyDescent="0.35"/>
    <row r="302" customFormat="1" x14ac:dyDescent="0.35"/>
    <row r="303" customFormat="1" x14ac:dyDescent="0.35"/>
    <row r="304" customFormat="1" x14ac:dyDescent="0.35"/>
    <row r="305" customFormat="1" x14ac:dyDescent="0.35"/>
    <row r="306" customFormat="1" x14ac:dyDescent="0.35"/>
    <row r="307" customFormat="1" x14ac:dyDescent="0.35"/>
    <row r="308" customFormat="1" x14ac:dyDescent="0.35"/>
    <row r="309" customFormat="1" x14ac:dyDescent="0.35"/>
    <row r="310" customFormat="1" x14ac:dyDescent="0.35"/>
    <row r="311" customFormat="1" x14ac:dyDescent="0.35"/>
    <row r="312" customFormat="1" x14ac:dyDescent="0.35"/>
    <row r="313" customFormat="1" x14ac:dyDescent="0.35"/>
    <row r="314" customFormat="1" x14ac:dyDescent="0.35"/>
    <row r="315" customFormat="1" x14ac:dyDescent="0.35"/>
    <row r="316" customFormat="1" x14ac:dyDescent="0.35"/>
    <row r="317" customFormat="1" x14ac:dyDescent="0.35"/>
    <row r="318" customFormat="1" x14ac:dyDescent="0.35"/>
    <row r="319" customFormat="1" x14ac:dyDescent="0.35"/>
    <row r="320" customFormat="1" x14ac:dyDescent="0.35"/>
    <row r="321" customFormat="1" x14ac:dyDescent="0.35"/>
    <row r="322" customFormat="1" x14ac:dyDescent="0.35"/>
    <row r="323" customFormat="1" x14ac:dyDescent="0.35"/>
    <row r="324" customFormat="1" x14ac:dyDescent="0.35"/>
    <row r="325" customFormat="1" x14ac:dyDescent="0.35"/>
    <row r="326" customFormat="1" x14ac:dyDescent="0.35"/>
    <row r="327" customFormat="1" x14ac:dyDescent="0.35"/>
    <row r="328" customFormat="1" x14ac:dyDescent="0.35"/>
    <row r="329" customFormat="1" x14ac:dyDescent="0.35"/>
    <row r="330" customFormat="1" x14ac:dyDescent="0.35"/>
    <row r="331" customFormat="1" x14ac:dyDescent="0.35"/>
    <row r="332" customFormat="1" x14ac:dyDescent="0.35"/>
    <row r="333" customFormat="1" x14ac:dyDescent="0.35"/>
    <row r="334" customFormat="1" x14ac:dyDescent="0.35"/>
    <row r="335" customFormat="1" x14ac:dyDescent="0.35"/>
    <row r="336" customFormat="1" x14ac:dyDescent="0.35"/>
    <row r="337" customFormat="1" x14ac:dyDescent="0.35"/>
    <row r="338" customFormat="1" x14ac:dyDescent="0.35"/>
    <row r="339" customFormat="1" x14ac:dyDescent="0.35"/>
    <row r="340" customFormat="1" x14ac:dyDescent="0.35"/>
    <row r="341" customFormat="1" x14ac:dyDescent="0.35"/>
    <row r="342" customFormat="1" x14ac:dyDescent="0.35"/>
    <row r="343" customFormat="1" x14ac:dyDescent="0.35"/>
    <row r="344" customFormat="1" x14ac:dyDescent="0.35"/>
    <row r="345" customFormat="1" x14ac:dyDescent="0.35"/>
    <row r="346" customFormat="1" x14ac:dyDescent="0.35"/>
    <row r="347" customFormat="1" x14ac:dyDescent="0.35"/>
    <row r="348" customFormat="1" x14ac:dyDescent="0.35"/>
    <row r="349" customFormat="1" x14ac:dyDescent="0.35"/>
    <row r="350" customFormat="1" x14ac:dyDescent="0.35"/>
    <row r="351" customFormat="1" x14ac:dyDescent="0.35"/>
    <row r="352" customFormat="1" x14ac:dyDescent="0.35"/>
    <row r="353" customFormat="1" x14ac:dyDescent="0.35"/>
    <row r="354" customFormat="1" x14ac:dyDescent="0.35"/>
    <row r="355" customFormat="1" x14ac:dyDescent="0.35"/>
    <row r="356" customFormat="1" x14ac:dyDescent="0.35"/>
    <row r="357" customFormat="1" x14ac:dyDescent="0.35"/>
    <row r="358" customFormat="1" x14ac:dyDescent="0.35"/>
    <row r="359" customFormat="1" x14ac:dyDescent="0.35"/>
    <row r="360" customFormat="1" x14ac:dyDescent="0.35"/>
    <row r="361" customFormat="1" x14ac:dyDescent="0.35"/>
    <row r="362" customFormat="1" x14ac:dyDescent="0.35"/>
    <row r="363" customFormat="1" x14ac:dyDescent="0.35"/>
    <row r="364" customFormat="1" x14ac:dyDescent="0.35"/>
    <row r="365" customFormat="1" x14ac:dyDescent="0.35"/>
    <row r="366" customFormat="1" x14ac:dyDescent="0.35"/>
    <row r="367" customFormat="1" x14ac:dyDescent="0.35"/>
    <row r="368" customFormat="1" x14ac:dyDescent="0.35"/>
    <row r="369" customFormat="1" x14ac:dyDescent="0.35"/>
    <row r="370" customFormat="1" x14ac:dyDescent="0.35"/>
    <row r="371" customFormat="1" x14ac:dyDescent="0.35"/>
    <row r="372" customFormat="1" x14ac:dyDescent="0.35"/>
    <row r="373" customFormat="1" x14ac:dyDescent="0.35"/>
    <row r="374" customFormat="1" x14ac:dyDescent="0.35"/>
    <row r="375" customFormat="1" x14ac:dyDescent="0.35"/>
    <row r="376" customFormat="1" x14ac:dyDescent="0.35"/>
    <row r="377" customFormat="1" x14ac:dyDescent="0.35"/>
    <row r="378" customFormat="1" x14ac:dyDescent="0.35"/>
    <row r="379" customFormat="1" x14ac:dyDescent="0.35"/>
    <row r="380" customFormat="1" x14ac:dyDescent="0.35"/>
    <row r="381" customFormat="1" x14ac:dyDescent="0.35"/>
    <row r="382" customFormat="1" x14ac:dyDescent="0.35"/>
    <row r="383" customFormat="1" x14ac:dyDescent="0.35"/>
    <row r="384" customFormat="1" x14ac:dyDescent="0.35"/>
    <row r="385" customFormat="1" x14ac:dyDescent="0.35"/>
    <row r="386" customFormat="1" x14ac:dyDescent="0.35"/>
    <row r="387" customFormat="1" x14ac:dyDescent="0.35"/>
    <row r="388" customFormat="1" x14ac:dyDescent="0.35"/>
    <row r="389" customFormat="1" x14ac:dyDescent="0.35"/>
    <row r="390" customFormat="1" x14ac:dyDescent="0.35"/>
    <row r="391" customFormat="1" x14ac:dyDescent="0.35"/>
    <row r="392" customFormat="1" x14ac:dyDescent="0.35"/>
    <row r="393" customFormat="1" x14ac:dyDescent="0.35"/>
    <row r="394" customFormat="1" x14ac:dyDescent="0.35"/>
    <row r="395" customFormat="1" x14ac:dyDescent="0.35"/>
    <row r="396" customFormat="1" x14ac:dyDescent="0.35"/>
    <row r="397" customFormat="1" x14ac:dyDescent="0.35"/>
    <row r="398" customFormat="1" x14ac:dyDescent="0.35"/>
    <row r="399" customFormat="1" x14ac:dyDescent="0.35"/>
    <row r="400" customFormat="1" x14ac:dyDescent="0.35"/>
    <row r="401" customFormat="1" x14ac:dyDescent="0.35"/>
    <row r="402" customFormat="1" x14ac:dyDescent="0.35"/>
    <row r="403" customFormat="1" x14ac:dyDescent="0.35"/>
    <row r="404" customFormat="1" x14ac:dyDescent="0.35"/>
    <row r="405" customFormat="1" x14ac:dyDescent="0.35"/>
    <row r="406" customFormat="1" x14ac:dyDescent="0.35"/>
    <row r="407" customFormat="1" x14ac:dyDescent="0.35"/>
    <row r="408" customFormat="1" x14ac:dyDescent="0.35"/>
    <row r="409" customFormat="1" x14ac:dyDescent="0.35"/>
    <row r="410" customFormat="1" x14ac:dyDescent="0.35"/>
    <row r="411" customFormat="1" x14ac:dyDescent="0.35"/>
    <row r="412" customFormat="1" x14ac:dyDescent="0.35"/>
    <row r="413" customFormat="1" x14ac:dyDescent="0.35"/>
    <row r="414" customFormat="1" x14ac:dyDescent="0.35"/>
    <row r="415" customFormat="1" x14ac:dyDescent="0.35"/>
    <row r="416" customFormat="1" x14ac:dyDescent="0.35"/>
    <row r="417" customFormat="1" x14ac:dyDescent="0.35"/>
    <row r="418" customFormat="1" x14ac:dyDescent="0.35"/>
    <row r="419" customFormat="1" x14ac:dyDescent="0.35"/>
    <row r="420" customFormat="1" x14ac:dyDescent="0.35"/>
    <row r="421" customFormat="1" x14ac:dyDescent="0.35"/>
    <row r="422" customFormat="1" x14ac:dyDescent="0.35"/>
    <row r="423" customFormat="1" x14ac:dyDescent="0.35"/>
    <row r="424" customFormat="1" x14ac:dyDescent="0.35"/>
    <row r="425" customFormat="1" x14ac:dyDescent="0.35"/>
    <row r="426" customFormat="1" x14ac:dyDescent="0.35"/>
    <row r="427" customFormat="1" x14ac:dyDescent="0.35"/>
    <row r="428" customFormat="1" x14ac:dyDescent="0.35"/>
    <row r="429" customFormat="1" x14ac:dyDescent="0.35"/>
    <row r="430" customFormat="1" x14ac:dyDescent="0.35"/>
    <row r="431" customFormat="1" x14ac:dyDescent="0.35"/>
    <row r="432" customFormat="1" x14ac:dyDescent="0.35"/>
    <row r="433" customFormat="1" x14ac:dyDescent="0.35"/>
    <row r="434" customFormat="1" x14ac:dyDescent="0.35"/>
    <row r="435" customFormat="1" x14ac:dyDescent="0.35"/>
    <row r="436" customFormat="1" x14ac:dyDescent="0.35"/>
    <row r="437" customFormat="1" x14ac:dyDescent="0.35"/>
    <row r="438" customFormat="1" x14ac:dyDescent="0.35"/>
    <row r="439" customFormat="1" x14ac:dyDescent="0.35"/>
    <row r="440" customFormat="1" x14ac:dyDescent="0.35"/>
    <row r="441" customFormat="1" x14ac:dyDescent="0.35"/>
    <row r="442" customFormat="1" x14ac:dyDescent="0.35"/>
    <row r="443" customFormat="1" x14ac:dyDescent="0.35"/>
    <row r="444" customFormat="1" x14ac:dyDescent="0.35"/>
    <row r="445" customFormat="1" x14ac:dyDescent="0.35"/>
    <row r="446" customFormat="1" x14ac:dyDescent="0.35"/>
    <row r="447" customFormat="1" x14ac:dyDescent="0.35"/>
    <row r="448" customFormat="1" x14ac:dyDescent="0.35"/>
    <row r="449" customFormat="1" x14ac:dyDescent="0.35"/>
    <row r="450" customFormat="1" x14ac:dyDescent="0.35"/>
    <row r="451" customFormat="1" x14ac:dyDescent="0.35"/>
    <row r="452" customFormat="1" x14ac:dyDescent="0.35"/>
    <row r="453" customFormat="1" x14ac:dyDescent="0.35"/>
    <row r="454" customFormat="1" x14ac:dyDescent="0.35"/>
    <row r="455" customFormat="1" x14ac:dyDescent="0.35"/>
    <row r="456" customFormat="1" x14ac:dyDescent="0.35"/>
    <row r="457" customFormat="1" x14ac:dyDescent="0.35"/>
    <row r="458" customFormat="1" x14ac:dyDescent="0.35"/>
    <row r="459" customFormat="1" x14ac:dyDescent="0.35"/>
    <row r="460" customFormat="1" x14ac:dyDescent="0.35"/>
    <row r="461" customFormat="1" x14ac:dyDescent="0.35"/>
    <row r="462" customFormat="1" x14ac:dyDescent="0.35"/>
    <row r="463" customFormat="1" x14ac:dyDescent="0.35"/>
    <row r="464" customFormat="1" x14ac:dyDescent="0.35"/>
    <row r="465" customFormat="1" x14ac:dyDescent="0.35"/>
    <row r="466" customFormat="1" x14ac:dyDescent="0.35"/>
    <row r="467" customFormat="1" x14ac:dyDescent="0.35"/>
    <row r="468" customFormat="1" x14ac:dyDescent="0.35"/>
    <row r="469" customFormat="1" x14ac:dyDescent="0.35"/>
    <row r="470" customFormat="1" x14ac:dyDescent="0.35"/>
    <row r="471" customFormat="1" x14ac:dyDescent="0.35"/>
    <row r="472" customFormat="1" x14ac:dyDescent="0.35"/>
    <row r="473" customFormat="1" x14ac:dyDescent="0.35"/>
    <row r="474" customFormat="1" x14ac:dyDescent="0.35"/>
    <row r="475" customFormat="1" x14ac:dyDescent="0.35"/>
    <row r="476" customFormat="1" x14ac:dyDescent="0.35"/>
    <row r="477" customFormat="1" x14ac:dyDescent="0.35"/>
    <row r="478" customFormat="1" x14ac:dyDescent="0.35"/>
    <row r="479" customFormat="1" x14ac:dyDescent="0.35"/>
    <row r="480" customFormat="1" x14ac:dyDescent="0.35"/>
    <row r="481" customFormat="1" x14ac:dyDescent="0.35"/>
    <row r="482" customFormat="1" x14ac:dyDescent="0.35"/>
    <row r="483" customFormat="1" x14ac:dyDescent="0.35"/>
    <row r="484" customFormat="1" x14ac:dyDescent="0.35"/>
    <row r="485" customFormat="1" x14ac:dyDescent="0.35"/>
    <row r="486" customFormat="1" x14ac:dyDescent="0.35"/>
    <row r="487" customFormat="1" x14ac:dyDescent="0.35"/>
    <row r="488" customFormat="1" x14ac:dyDescent="0.35"/>
    <row r="489" customFormat="1" x14ac:dyDescent="0.35"/>
    <row r="490" customFormat="1" x14ac:dyDescent="0.35"/>
    <row r="491" customFormat="1" x14ac:dyDescent="0.35"/>
    <row r="492" customFormat="1" x14ac:dyDescent="0.35"/>
    <row r="493" customFormat="1" x14ac:dyDescent="0.35"/>
    <row r="494" customFormat="1" x14ac:dyDescent="0.35"/>
    <row r="495" customFormat="1" x14ac:dyDescent="0.35"/>
    <row r="496" customFormat="1" x14ac:dyDescent="0.35"/>
    <row r="497" customFormat="1" x14ac:dyDescent="0.35"/>
    <row r="498" customFormat="1" x14ac:dyDescent="0.35"/>
    <row r="499" customFormat="1" x14ac:dyDescent="0.35"/>
    <row r="500" customFormat="1" x14ac:dyDescent="0.35"/>
    <row r="501" customFormat="1" x14ac:dyDescent="0.35"/>
    <row r="502" customFormat="1" x14ac:dyDescent="0.35"/>
    <row r="503" customFormat="1" x14ac:dyDescent="0.35"/>
    <row r="504" customFormat="1" x14ac:dyDescent="0.35"/>
    <row r="505" customFormat="1" x14ac:dyDescent="0.35"/>
    <row r="506" customFormat="1" x14ac:dyDescent="0.35"/>
    <row r="507" customFormat="1" x14ac:dyDescent="0.35"/>
    <row r="508" customFormat="1" x14ac:dyDescent="0.35"/>
    <row r="509" customFormat="1" x14ac:dyDescent="0.35"/>
    <row r="510" customFormat="1" x14ac:dyDescent="0.35"/>
    <row r="511" customFormat="1" x14ac:dyDescent="0.35"/>
    <row r="512" customFormat="1" x14ac:dyDescent="0.35"/>
    <row r="513" customFormat="1" x14ac:dyDescent="0.35"/>
    <row r="514" customFormat="1" x14ac:dyDescent="0.35"/>
    <row r="515" customFormat="1" x14ac:dyDescent="0.35"/>
    <row r="516" customFormat="1" x14ac:dyDescent="0.35"/>
    <row r="517" customFormat="1" x14ac:dyDescent="0.35"/>
    <row r="518" customFormat="1" x14ac:dyDescent="0.35"/>
    <row r="519" customFormat="1" x14ac:dyDescent="0.35"/>
    <row r="520" customFormat="1" x14ac:dyDescent="0.35"/>
    <row r="521" customFormat="1" x14ac:dyDescent="0.35"/>
    <row r="522" customFormat="1" x14ac:dyDescent="0.35"/>
    <row r="523" customFormat="1" x14ac:dyDescent="0.35"/>
    <row r="524" customFormat="1" x14ac:dyDescent="0.35"/>
    <row r="525" customFormat="1" x14ac:dyDescent="0.35"/>
    <row r="526" customFormat="1" x14ac:dyDescent="0.35"/>
    <row r="527" customFormat="1" x14ac:dyDescent="0.35"/>
    <row r="528" customFormat="1" x14ac:dyDescent="0.35"/>
    <row r="529" customFormat="1" x14ac:dyDescent="0.35"/>
    <row r="530" customFormat="1" x14ac:dyDescent="0.35"/>
    <row r="531" customFormat="1" x14ac:dyDescent="0.35"/>
    <row r="532" customFormat="1" x14ac:dyDescent="0.35"/>
    <row r="533" customFormat="1" x14ac:dyDescent="0.35"/>
    <row r="534" customFormat="1" x14ac:dyDescent="0.35"/>
    <row r="535" customFormat="1" x14ac:dyDescent="0.35"/>
    <row r="536" customFormat="1" x14ac:dyDescent="0.35"/>
    <row r="537" customFormat="1" x14ac:dyDescent="0.35"/>
    <row r="538" customFormat="1" x14ac:dyDescent="0.35"/>
    <row r="539" customFormat="1" x14ac:dyDescent="0.35"/>
    <row r="540" customFormat="1" x14ac:dyDescent="0.35"/>
    <row r="541" customFormat="1" x14ac:dyDescent="0.35"/>
    <row r="542" customFormat="1" x14ac:dyDescent="0.35"/>
    <row r="543" customFormat="1" x14ac:dyDescent="0.35"/>
    <row r="544" customFormat="1" x14ac:dyDescent="0.35"/>
    <row r="545" customFormat="1" x14ac:dyDescent="0.35"/>
    <row r="546" customFormat="1" x14ac:dyDescent="0.35"/>
    <row r="547" customFormat="1" x14ac:dyDescent="0.35"/>
    <row r="548" customFormat="1" x14ac:dyDescent="0.35"/>
    <row r="549" customFormat="1" x14ac:dyDescent="0.35"/>
    <row r="550" customFormat="1" x14ac:dyDescent="0.35"/>
    <row r="551" customFormat="1" x14ac:dyDescent="0.35"/>
    <row r="552" customFormat="1" x14ac:dyDescent="0.35"/>
    <row r="553" customFormat="1" x14ac:dyDescent="0.35"/>
    <row r="554" customFormat="1" x14ac:dyDescent="0.35"/>
    <row r="555" customFormat="1" x14ac:dyDescent="0.35"/>
    <row r="556" customFormat="1" x14ac:dyDescent="0.35"/>
    <row r="557" customFormat="1" x14ac:dyDescent="0.35"/>
    <row r="558" customFormat="1" x14ac:dyDescent="0.35"/>
    <row r="559" customFormat="1" x14ac:dyDescent="0.35"/>
    <row r="560" customFormat="1" x14ac:dyDescent="0.35"/>
    <row r="561" customFormat="1" x14ac:dyDescent="0.35"/>
    <row r="562" customFormat="1" x14ac:dyDescent="0.35"/>
    <row r="563" customFormat="1" x14ac:dyDescent="0.35"/>
    <row r="564" customFormat="1" x14ac:dyDescent="0.35"/>
    <row r="565" customFormat="1" x14ac:dyDescent="0.35"/>
    <row r="566" customFormat="1" x14ac:dyDescent="0.35"/>
    <row r="567" customFormat="1" x14ac:dyDescent="0.35"/>
    <row r="568" customFormat="1" x14ac:dyDescent="0.35"/>
    <row r="569" customFormat="1" x14ac:dyDescent="0.35"/>
    <row r="570" customFormat="1" x14ac:dyDescent="0.35"/>
    <row r="571" customFormat="1" x14ac:dyDescent="0.35"/>
    <row r="572" customFormat="1" x14ac:dyDescent="0.35"/>
    <row r="573" customFormat="1" x14ac:dyDescent="0.35"/>
    <row r="574" customFormat="1" x14ac:dyDescent="0.35"/>
    <row r="575" customFormat="1" x14ac:dyDescent="0.35"/>
    <row r="576" customFormat="1" x14ac:dyDescent="0.35"/>
    <row r="577" customFormat="1" x14ac:dyDescent="0.35"/>
    <row r="578" customFormat="1" x14ac:dyDescent="0.35"/>
    <row r="579" customFormat="1" x14ac:dyDescent="0.35"/>
    <row r="580" customFormat="1" x14ac:dyDescent="0.35"/>
    <row r="581" customFormat="1" x14ac:dyDescent="0.35"/>
    <row r="582" customFormat="1" x14ac:dyDescent="0.35"/>
    <row r="583" customFormat="1" x14ac:dyDescent="0.35"/>
    <row r="584" customFormat="1" x14ac:dyDescent="0.35"/>
    <row r="585" customFormat="1" x14ac:dyDescent="0.35"/>
    <row r="586" customFormat="1" x14ac:dyDescent="0.35"/>
    <row r="587" customFormat="1" x14ac:dyDescent="0.35"/>
    <row r="588" customFormat="1" x14ac:dyDescent="0.35"/>
    <row r="589" customFormat="1" x14ac:dyDescent="0.35"/>
    <row r="590" customFormat="1" x14ac:dyDescent="0.35"/>
    <row r="591" customFormat="1" x14ac:dyDescent="0.35"/>
    <row r="592" customFormat="1" x14ac:dyDescent="0.35"/>
    <row r="593" customFormat="1" x14ac:dyDescent="0.35"/>
    <row r="594" customFormat="1" x14ac:dyDescent="0.35"/>
    <row r="595" customFormat="1" x14ac:dyDescent="0.35"/>
    <row r="596" customFormat="1" x14ac:dyDescent="0.35"/>
    <row r="597" customFormat="1" x14ac:dyDescent="0.35"/>
    <row r="598" customFormat="1" x14ac:dyDescent="0.35"/>
    <row r="599" customFormat="1" x14ac:dyDescent="0.35"/>
    <row r="600" customFormat="1" x14ac:dyDescent="0.35"/>
    <row r="601" customFormat="1" x14ac:dyDescent="0.35"/>
    <row r="602" customFormat="1" x14ac:dyDescent="0.35"/>
    <row r="603" customFormat="1" x14ac:dyDescent="0.35"/>
    <row r="604" customFormat="1" x14ac:dyDescent="0.35"/>
    <row r="605" customFormat="1" x14ac:dyDescent="0.35"/>
    <row r="606" customFormat="1" x14ac:dyDescent="0.35"/>
    <row r="607" customFormat="1" x14ac:dyDescent="0.35"/>
    <row r="608" customFormat="1" x14ac:dyDescent="0.35"/>
    <row r="609" customFormat="1" x14ac:dyDescent="0.35"/>
    <row r="610" customFormat="1" x14ac:dyDescent="0.35"/>
    <row r="611" customFormat="1" x14ac:dyDescent="0.35"/>
    <row r="612" customFormat="1" x14ac:dyDescent="0.35"/>
    <row r="613" customFormat="1" x14ac:dyDescent="0.35"/>
    <row r="614" customFormat="1" x14ac:dyDescent="0.35"/>
    <row r="615" customFormat="1" x14ac:dyDescent="0.35"/>
    <row r="616" customFormat="1" x14ac:dyDescent="0.35"/>
    <row r="617" customFormat="1" x14ac:dyDescent="0.35"/>
    <row r="618" customFormat="1" x14ac:dyDescent="0.35"/>
    <row r="619" customFormat="1" x14ac:dyDescent="0.35"/>
    <row r="620" customFormat="1" x14ac:dyDescent="0.35"/>
    <row r="621" customFormat="1" x14ac:dyDescent="0.35"/>
    <row r="622" customFormat="1" x14ac:dyDescent="0.35"/>
    <row r="623" customFormat="1" x14ac:dyDescent="0.35"/>
    <row r="624" customFormat="1" x14ac:dyDescent="0.35"/>
    <row r="625" customFormat="1" x14ac:dyDescent="0.35"/>
    <row r="626" customFormat="1" x14ac:dyDescent="0.35"/>
    <row r="627" customFormat="1" x14ac:dyDescent="0.35"/>
    <row r="628" customFormat="1" x14ac:dyDescent="0.35"/>
    <row r="629" customFormat="1" x14ac:dyDescent="0.35"/>
    <row r="630" customFormat="1" x14ac:dyDescent="0.35"/>
    <row r="631" customFormat="1" x14ac:dyDescent="0.35"/>
    <row r="632" customFormat="1" x14ac:dyDescent="0.35"/>
    <row r="633" customFormat="1" x14ac:dyDescent="0.35"/>
    <row r="634" customFormat="1" x14ac:dyDescent="0.35"/>
    <row r="635" customFormat="1" x14ac:dyDescent="0.35"/>
    <row r="636" customFormat="1" x14ac:dyDescent="0.35"/>
    <row r="637" customFormat="1" x14ac:dyDescent="0.35"/>
    <row r="638" customFormat="1" x14ac:dyDescent="0.35"/>
    <row r="639" customFormat="1" x14ac:dyDescent="0.35"/>
    <row r="640" customFormat="1" x14ac:dyDescent="0.35"/>
    <row r="641" customFormat="1" x14ac:dyDescent="0.35"/>
    <row r="642" customFormat="1" x14ac:dyDescent="0.35"/>
    <row r="643" customFormat="1" x14ac:dyDescent="0.35"/>
    <row r="644" customFormat="1" x14ac:dyDescent="0.35"/>
    <row r="645" customFormat="1" x14ac:dyDescent="0.35"/>
    <row r="646" customFormat="1" x14ac:dyDescent="0.35"/>
    <row r="647" customFormat="1" x14ac:dyDescent="0.35"/>
    <row r="648" customFormat="1" x14ac:dyDescent="0.35"/>
    <row r="649" customFormat="1" x14ac:dyDescent="0.35"/>
    <row r="650" customFormat="1" x14ac:dyDescent="0.35"/>
    <row r="651" customFormat="1" x14ac:dyDescent="0.35"/>
    <row r="652" customFormat="1" x14ac:dyDescent="0.35"/>
    <row r="653" customFormat="1" x14ac:dyDescent="0.35"/>
    <row r="654" customFormat="1" x14ac:dyDescent="0.35"/>
    <row r="655" customFormat="1" x14ac:dyDescent="0.35"/>
    <row r="656" customFormat="1" x14ac:dyDescent="0.35"/>
    <row r="657" customFormat="1" x14ac:dyDescent="0.35"/>
    <row r="658" customFormat="1" x14ac:dyDescent="0.35"/>
    <row r="659" customFormat="1" x14ac:dyDescent="0.35"/>
    <row r="660" customFormat="1" x14ac:dyDescent="0.35"/>
    <row r="661" customFormat="1" x14ac:dyDescent="0.35"/>
    <row r="662" customFormat="1" x14ac:dyDescent="0.35"/>
    <row r="663" customFormat="1" x14ac:dyDescent="0.35"/>
    <row r="664" customFormat="1" x14ac:dyDescent="0.35"/>
    <row r="665" customFormat="1" x14ac:dyDescent="0.35"/>
    <row r="666" customFormat="1" x14ac:dyDescent="0.35"/>
    <row r="667" customFormat="1" x14ac:dyDescent="0.35"/>
    <row r="668" customFormat="1" x14ac:dyDescent="0.35"/>
    <row r="669" customFormat="1" x14ac:dyDescent="0.35"/>
    <row r="670" customFormat="1" x14ac:dyDescent="0.35"/>
    <row r="671" customFormat="1" x14ac:dyDescent="0.35"/>
    <row r="672" customFormat="1" x14ac:dyDescent="0.35"/>
    <row r="673" customFormat="1" x14ac:dyDescent="0.35"/>
    <row r="674" customFormat="1" x14ac:dyDescent="0.35"/>
    <row r="675" customFormat="1" x14ac:dyDescent="0.35"/>
    <row r="676" customFormat="1" x14ac:dyDescent="0.35"/>
    <row r="677" customFormat="1" x14ac:dyDescent="0.35"/>
    <row r="678" customFormat="1" x14ac:dyDescent="0.35"/>
    <row r="679" customFormat="1" x14ac:dyDescent="0.35"/>
    <row r="680" customFormat="1" x14ac:dyDescent="0.35"/>
    <row r="681" customFormat="1" x14ac:dyDescent="0.35"/>
    <row r="682" customFormat="1" x14ac:dyDescent="0.35"/>
    <row r="683" customFormat="1" x14ac:dyDescent="0.35"/>
    <row r="684" customFormat="1" x14ac:dyDescent="0.35"/>
    <row r="685" customFormat="1" x14ac:dyDescent="0.35"/>
    <row r="686" customFormat="1" x14ac:dyDescent="0.35"/>
    <row r="687" customFormat="1" x14ac:dyDescent="0.35"/>
    <row r="688" customFormat="1" x14ac:dyDescent="0.35"/>
    <row r="689" customFormat="1" x14ac:dyDescent="0.35"/>
    <row r="690" customFormat="1" x14ac:dyDescent="0.35"/>
    <row r="691" customFormat="1" x14ac:dyDescent="0.35"/>
    <row r="692" customFormat="1" x14ac:dyDescent="0.35"/>
    <row r="693" customFormat="1" x14ac:dyDescent="0.35"/>
    <row r="694" customFormat="1" x14ac:dyDescent="0.35"/>
    <row r="695" customFormat="1" x14ac:dyDescent="0.35"/>
    <row r="696" customFormat="1" x14ac:dyDescent="0.35"/>
    <row r="697" customFormat="1" x14ac:dyDescent="0.35"/>
    <row r="698" customFormat="1" x14ac:dyDescent="0.35"/>
    <row r="699" customFormat="1" x14ac:dyDescent="0.35"/>
    <row r="700" customFormat="1" x14ac:dyDescent="0.35"/>
    <row r="701" customFormat="1" x14ac:dyDescent="0.35"/>
    <row r="702" customFormat="1" x14ac:dyDescent="0.35"/>
    <row r="703" customFormat="1" x14ac:dyDescent="0.35"/>
    <row r="704" customFormat="1" x14ac:dyDescent="0.35"/>
    <row r="705" customFormat="1" x14ac:dyDescent="0.35"/>
    <row r="706" customFormat="1" x14ac:dyDescent="0.35"/>
    <row r="707" customFormat="1" x14ac:dyDescent="0.35"/>
    <row r="708" customFormat="1" x14ac:dyDescent="0.35"/>
    <row r="709" customFormat="1" x14ac:dyDescent="0.35"/>
    <row r="710" customFormat="1" x14ac:dyDescent="0.35"/>
    <row r="711" customFormat="1" x14ac:dyDescent="0.35"/>
    <row r="712" customFormat="1" x14ac:dyDescent="0.35"/>
    <row r="713" customFormat="1" x14ac:dyDescent="0.35"/>
    <row r="714" customFormat="1" x14ac:dyDescent="0.35"/>
    <row r="715" customFormat="1" x14ac:dyDescent="0.35"/>
    <row r="716" customFormat="1" x14ac:dyDescent="0.35"/>
    <row r="717" customFormat="1" x14ac:dyDescent="0.35"/>
    <row r="718" customFormat="1" x14ac:dyDescent="0.35"/>
    <row r="719" customFormat="1" x14ac:dyDescent="0.35"/>
    <row r="720" customFormat="1" x14ac:dyDescent="0.35"/>
    <row r="721" customFormat="1" x14ac:dyDescent="0.35"/>
    <row r="722" customFormat="1" x14ac:dyDescent="0.35"/>
    <row r="723" customFormat="1" x14ac:dyDescent="0.35"/>
    <row r="724" customFormat="1" x14ac:dyDescent="0.35"/>
    <row r="725" customFormat="1" x14ac:dyDescent="0.35"/>
    <row r="726" customFormat="1" x14ac:dyDescent="0.35"/>
    <row r="727" customFormat="1" x14ac:dyDescent="0.35"/>
    <row r="728" customFormat="1" x14ac:dyDescent="0.35"/>
    <row r="729" customFormat="1" x14ac:dyDescent="0.35"/>
    <row r="730" customFormat="1" x14ac:dyDescent="0.35"/>
    <row r="731" customFormat="1" x14ac:dyDescent="0.35"/>
    <row r="732" customFormat="1" x14ac:dyDescent="0.35"/>
    <row r="733" customFormat="1" x14ac:dyDescent="0.35"/>
    <row r="734" customFormat="1" x14ac:dyDescent="0.35"/>
    <row r="735" customFormat="1" x14ac:dyDescent="0.35"/>
    <row r="736" customFormat="1" x14ac:dyDescent="0.35"/>
    <row r="737" customFormat="1" x14ac:dyDescent="0.35"/>
    <row r="738" customFormat="1" x14ac:dyDescent="0.35"/>
    <row r="739" customFormat="1" x14ac:dyDescent="0.35"/>
    <row r="740" customFormat="1" x14ac:dyDescent="0.35"/>
    <row r="741" customFormat="1" x14ac:dyDescent="0.35"/>
    <row r="742" customFormat="1" x14ac:dyDescent="0.35"/>
    <row r="743" customFormat="1" x14ac:dyDescent="0.35"/>
    <row r="744" customFormat="1" x14ac:dyDescent="0.35"/>
    <row r="745" customFormat="1" x14ac:dyDescent="0.35"/>
    <row r="746" customFormat="1" x14ac:dyDescent="0.35"/>
    <row r="747" customFormat="1" x14ac:dyDescent="0.35"/>
    <row r="748" customFormat="1" x14ac:dyDescent="0.35"/>
    <row r="749" customFormat="1" x14ac:dyDescent="0.35"/>
    <row r="750" customFormat="1" x14ac:dyDescent="0.35"/>
    <row r="751" customFormat="1" x14ac:dyDescent="0.35"/>
    <row r="752" customFormat="1" x14ac:dyDescent="0.35"/>
    <row r="753" customFormat="1" x14ac:dyDescent="0.35"/>
    <row r="754" customFormat="1" x14ac:dyDescent="0.35"/>
    <row r="755" customFormat="1" x14ac:dyDescent="0.35"/>
    <row r="756" customFormat="1" x14ac:dyDescent="0.35"/>
    <row r="757" customFormat="1" x14ac:dyDescent="0.35"/>
    <row r="758" customFormat="1" x14ac:dyDescent="0.35"/>
    <row r="759" customFormat="1" x14ac:dyDescent="0.35"/>
    <row r="760" customFormat="1" x14ac:dyDescent="0.35"/>
    <row r="761" customFormat="1" x14ac:dyDescent="0.35"/>
    <row r="762" customFormat="1" x14ac:dyDescent="0.35"/>
    <row r="763" customFormat="1" x14ac:dyDescent="0.35"/>
    <row r="764" customFormat="1" x14ac:dyDescent="0.35"/>
    <row r="765" customFormat="1" x14ac:dyDescent="0.35"/>
    <row r="766" customFormat="1" x14ac:dyDescent="0.35"/>
    <row r="767" customFormat="1" x14ac:dyDescent="0.35"/>
    <row r="768" customFormat="1" x14ac:dyDescent="0.35"/>
    <row r="769" customFormat="1" x14ac:dyDescent="0.35"/>
    <row r="770" customFormat="1" x14ac:dyDescent="0.35"/>
    <row r="771" customFormat="1" x14ac:dyDescent="0.35"/>
    <row r="772" customFormat="1" x14ac:dyDescent="0.35"/>
    <row r="773" customFormat="1" x14ac:dyDescent="0.35"/>
    <row r="774" customFormat="1" x14ac:dyDescent="0.35"/>
    <row r="775" customFormat="1" x14ac:dyDescent="0.35"/>
    <row r="776" customFormat="1" x14ac:dyDescent="0.35"/>
    <row r="777" customFormat="1" x14ac:dyDescent="0.35"/>
    <row r="778" customFormat="1" x14ac:dyDescent="0.35"/>
    <row r="779" customFormat="1" x14ac:dyDescent="0.35"/>
    <row r="780" customFormat="1" x14ac:dyDescent="0.35"/>
    <row r="781" customFormat="1" x14ac:dyDescent="0.35"/>
    <row r="782" customFormat="1" x14ac:dyDescent="0.35"/>
    <row r="783" customFormat="1" x14ac:dyDescent="0.35"/>
    <row r="784" customFormat="1" x14ac:dyDescent="0.35"/>
    <row r="785" customFormat="1" x14ac:dyDescent="0.35"/>
    <row r="786" customFormat="1" x14ac:dyDescent="0.35"/>
    <row r="787" customFormat="1" x14ac:dyDescent="0.35"/>
    <row r="788" customFormat="1" x14ac:dyDescent="0.35"/>
    <row r="789" customFormat="1" x14ac:dyDescent="0.35"/>
    <row r="790" customFormat="1" x14ac:dyDescent="0.35"/>
    <row r="791" customFormat="1" x14ac:dyDescent="0.35"/>
    <row r="792" customFormat="1" x14ac:dyDescent="0.35"/>
    <row r="793" customFormat="1" x14ac:dyDescent="0.35"/>
    <row r="794" customFormat="1" x14ac:dyDescent="0.35"/>
    <row r="795" customFormat="1" x14ac:dyDescent="0.35"/>
    <row r="796" customFormat="1" x14ac:dyDescent="0.35"/>
    <row r="797" customFormat="1" x14ac:dyDescent="0.35"/>
    <row r="798" customFormat="1" x14ac:dyDescent="0.35"/>
    <row r="799" customFormat="1" x14ac:dyDescent="0.35"/>
    <row r="800" customFormat="1" x14ac:dyDescent="0.35"/>
    <row r="801" customFormat="1" x14ac:dyDescent="0.35"/>
    <row r="802" customFormat="1" x14ac:dyDescent="0.35"/>
    <row r="803" customFormat="1" x14ac:dyDescent="0.35"/>
    <row r="804" customFormat="1" x14ac:dyDescent="0.35"/>
    <row r="805" customFormat="1" x14ac:dyDescent="0.35"/>
    <row r="806" customFormat="1" x14ac:dyDescent="0.35"/>
    <row r="807" customFormat="1" x14ac:dyDescent="0.35"/>
    <row r="808" customFormat="1" x14ac:dyDescent="0.35"/>
    <row r="809" customFormat="1" x14ac:dyDescent="0.35"/>
    <row r="810" customFormat="1" x14ac:dyDescent="0.35"/>
    <row r="811" customFormat="1" x14ac:dyDescent="0.35"/>
    <row r="812" customFormat="1" x14ac:dyDescent="0.35"/>
    <row r="813" customFormat="1" x14ac:dyDescent="0.35"/>
    <row r="814" customFormat="1" x14ac:dyDescent="0.35"/>
    <row r="815" customFormat="1" x14ac:dyDescent="0.35"/>
    <row r="816" customFormat="1" x14ac:dyDescent="0.35"/>
    <row r="817" customFormat="1" x14ac:dyDescent="0.35"/>
    <row r="818" customFormat="1" x14ac:dyDescent="0.35"/>
    <row r="819" customFormat="1" x14ac:dyDescent="0.35"/>
    <row r="820" customFormat="1" x14ac:dyDescent="0.35"/>
    <row r="821" customFormat="1" x14ac:dyDescent="0.35"/>
    <row r="822" customFormat="1" x14ac:dyDescent="0.35"/>
    <row r="823" customFormat="1" x14ac:dyDescent="0.35"/>
    <row r="824" customFormat="1" x14ac:dyDescent="0.35"/>
    <row r="825" customFormat="1" x14ac:dyDescent="0.35"/>
    <row r="826" customFormat="1" x14ac:dyDescent="0.35"/>
    <row r="827" customFormat="1" x14ac:dyDescent="0.35"/>
    <row r="828" customFormat="1" x14ac:dyDescent="0.35"/>
    <row r="829" customFormat="1" x14ac:dyDescent="0.35"/>
    <row r="830" customFormat="1" x14ac:dyDescent="0.35"/>
    <row r="831" customFormat="1" x14ac:dyDescent="0.35"/>
    <row r="832" customFormat="1" x14ac:dyDescent="0.35"/>
    <row r="833" customFormat="1" x14ac:dyDescent="0.35"/>
    <row r="834" customFormat="1" x14ac:dyDescent="0.35"/>
    <row r="835" customFormat="1" x14ac:dyDescent="0.35"/>
    <row r="836" customFormat="1" x14ac:dyDescent="0.35"/>
    <row r="837" customFormat="1" x14ac:dyDescent="0.35"/>
    <row r="838" customFormat="1" x14ac:dyDescent="0.35"/>
    <row r="839" customFormat="1" x14ac:dyDescent="0.35"/>
    <row r="840" customFormat="1" x14ac:dyDescent="0.35"/>
    <row r="841" customFormat="1" x14ac:dyDescent="0.35"/>
    <row r="842" customFormat="1" x14ac:dyDescent="0.35"/>
    <row r="843" customFormat="1" x14ac:dyDescent="0.35"/>
    <row r="844" customFormat="1" x14ac:dyDescent="0.35"/>
    <row r="845" customFormat="1" x14ac:dyDescent="0.35"/>
    <row r="846" customFormat="1" x14ac:dyDescent="0.35"/>
    <row r="847" customFormat="1" x14ac:dyDescent="0.35"/>
    <row r="848" customFormat="1" x14ac:dyDescent="0.35"/>
    <row r="849" customFormat="1" x14ac:dyDescent="0.35"/>
    <row r="850" customFormat="1" x14ac:dyDescent="0.35"/>
    <row r="851" customFormat="1" x14ac:dyDescent="0.35"/>
    <row r="852" customFormat="1" x14ac:dyDescent="0.35"/>
    <row r="853" customFormat="1" x14ac:dyDescent="0.35"/>
    <row r="854" customFormat="1" x14ac:dyDescent="0.35"/>
    <row r="855" customFormat="1" x14ac:dyDescent="0.35"/>
    <row r="856" customFormat="1" x14ac:dyDescent="0.35"/>
    <row r="857" customFormat="1" x14ac:dyDescent="0.35"/>
    <row r="858" customFormat="1" x14ac:dyDescent="0.35"/>
    <row r="859" customFormat="1" x14ac:dyDescent="0.35"/>
    <row r="860" customFormat="1" x14ac:dyDescent="0.35"/>
    <row r="861" customFormat="1" x14ac:dyDescent="0.35"/>
    <row r="862" customFormat="1" x14ac:dyDescent="0.35"/>
    <row r="863" customFormat="1" x14ac:dyDescent="0.35"/>
    <row r="864" customFormat="1" x14ac:dyDescent="0.35"/>
    <row r="865" customFormat="1" x14ac:dyDescent="0.35"/>
    <row r="866" customFormat="1" x14ac:dyDescent="0.35"/>
    <row r="867" customFormat="1" x14ac:dyDescent="0.35"/>
    <row r="868" customFormat="1" x14ac:dyDescent="0.35"/>
    <row r="869" customFormat="1" x14ac:dyDescent="0.35"/>
    <row r="870" customFormat="1" x14ac:dyDescent="0.35"/>
    <row r="871" customFormat="1" x14ac:dyDescent="0.35"/>
    <row r="872" customFormat="1" x14ac:dyDescent="0.35"/>
    <row r="873" customFormat="1" x14ac:dyDescent="0.35"/>
    <row r="874" customFormat="1" x14ac:dyDescent="0.35"/>
    <row r="875" customFormat="1" x14ac:dyDescent="0.35"/>
    <row r="876" customFormat="1" x14ac:dyDescent="0.35"/>
    <row r="877" customFormat="1" x14ac:dyDescent="0.35"/>
    <row r="878" customFormat="1" x14ac:dyDescent="0.35"/>
    <row r="879" customFormat="1" x14ac:dyDescent="0.35"/>
    <row r="880" customFormat="1" x14ac:dyDescent="0.35"/>
    <row r="881" customFormat="1" x14ac:dyDescent="0.35"/>
    <row r="882" customFormat="1" x14ac:dyDescent="0.35"/>
    <row r="883" customFormat="1" x14ac:dyDescent="0.35"/>
    <row r="884" customFormat="1" x14ac:dyDescent="0.35"/>
    <row r="885" customFormat="1" x14ac:dyDescent="0.35"/>
    <row r="886" customFormat="1" x14ac:dyDescent="0.35"/>
    <row r="887" customFormat="1" x14ac:dyDescent="0.35"/>
    <row r="888" customFormat="1" x14ac:dyDescent="0.35"/>
    <row r="889" customFormat="1" x14ac:dyDescent="0.35"/>
    <row r="890" customFormat="1" x14ac:dyDescent="0.35"/>
    <row r="891" customFormat="1" x14ac:dyDescent="0.35"/>
    <row r="892" customFormat="1" x14ac:dyDescent="0.35"/>
    <row r="893" customFormat="1" x14ac:dyDescent="0.35"/>
    <row r="894" customFormat="1" x14ac:dyDescent="0.35"/>
    <row r="895" customFormat="1" x14ac:dyDescent="0.35"/>
    <row r="896" customFormat="1" x14ac:dyDescent="0.35"/>
    <row r="897" customFormat="1" x14ac:dyDescent="0.35"/>
    <row r="898" customFormat="1" x14ac:dyDescent="0.35"/>
    <row r="899" customFormat="1" x14ac:dyDescent="0.35"/>
    <row r="900" customFormat="1" x14ac:dyDescent="0.35"/>
    <row r="901" customFormat="1" x14ac:dyDescent="0.35"/>
    <row r="902" customFormat="1" x14ac:dyDescent="0.35"/>
    <row r="903" customFormat="1" x14ac:dyDescent="0.35"/>
    <row r="904" customFormat="1" x14ac:dyDescent="0.35"/>
    <row r="905" customFormat="1" x14ac:dyDescent="0.35"/>
    <row r="906" customFormat="1" x14ac:dyDescent="0.35"/>
    <row r="907" customFormat="1" x14ac:dyDescent="0.35"/>
    <row r="908" customFormat="1" x14ac:dyDescent="0.35"/>
    <row r="909" customFormat="1" x14ac:dyDescent="0.35"/>
    <row r="910" customFormat="1" x14ac:dyDescent="0.35"/>
    <row r="911" customFormat="1" x14ac:dyDescent="0.35"/>
    <row r="912" customFormat="1" x14ac:dyDescent="0.35"/>
    <row r="913" customFormat="1" x14ac:dyDescent="0.35"/>
    <row r="914" customFormat="1" x14ac:dyDescent="0.35"/>
    <row r="915" customFormat="1" x14ac:dyDescent="0.35"/>
    <row r="916" customFormat="1" x14ac:dyDescent="0.35"/>
    <row r="917" customFormat="1" x14ac:dyDescent="0.35"/>
    <row r="918" customFormat="1" x14ac:dyDescent="0.35"/>
    <row r="919" customFormat="1" x14ac:dyDescent="0.35"/>
    <row r="920" customFormat="1" x14ac:dyDescent="0.35"/>
    <row r="921" customFormat="1" x14ac:dyDescent="0.35"/>
    <row r="922" customFormat="1" x14ac:dyDescent="0.35"/>
    <row r="923" customFormat="1" x14ac:dyDescent="0.35"/>
    <row r="924" customFormat="1" x14ac:dyDescent="0.35"/>
    <row r="925" customFormat="1" x14ac:dyDescent="0.35"/>
    <row r="926" customFormat="1" x14ac:dyDescent="0.35"/>
    <row r="927" customFormat="1" x14ac:dyDescent="0.35"/>
    <row r="928" customFormat="1" x14ac:dyDescent="0.35"/>
    <row r="929" customFormat="1" x14ac:dyDescent="0.35"/>
    <row r="930" customFormat="1" x14ac:dyDescent="0.35"/>
    <row r="931" customFormat="1" x14ac:dyDescent="0.35"/>
    <row r="932" customFormat="1" x14ac:dyDescent="0.35"/>
    <row r="933" customFormat="1" x14ac:dyDescent="0.35"/>
    <row r="934" customFormat="1" x14ac:dyDescent="0.35"/>
    <row r="935" customFormat="1" x14ac:dyDescent="0.35"/>
    <row r="936" customFormat="1" x14ac:dyDescent="0.35"/>
    <row r="937" customFormat="1" x14ac:dyDescent="0.35"/>
    <row r="938" customFormat="1" x14ac:dyDescent="0.35"/>
    <row r="939" customFormat="1" x14ac:dyDescent="0.35"/>
    <row r="940" customFormat="1" x14ac:dyDescent="0.35"/>
    <row r="941" customFormat="1" x14ac:dyDescent="0.35"/>
    <row r="942" customFormat="1" x14ac:dyDescent="0.35"/>
    <row r="943" customFormat="1" x14ac:dyDescent="0.35"/>
    <row r="944" customFormat="1" x14ac:dyDescent="0.35"/>
    <row r="945" customFormat="1" x14ac:dyDescent="0.35"/>
    <row r="946" customFormat="1" x14ac:dyDescent="0.35"/>
    <row r="947" customFormat="1" x14ac:dyDescent="0.35"/>
    <row r="948" customFormat="1" x14ac:dyDescent="0.35"/>
    <row r="949" customFormat="1" x14ac:dyDescent="0.35"/>
    <row r="950" customFormat="1" x14ac:dyDescent="0.35"/>
    <row r="951" customFormat="1" x14ac:dyDescent="0.35"/>
    <row r="952" customFormat="1" x14ac:dyDescent="0.35"/>
    <row r="953" customFormat="1" x14ac:dyDescent="0.35"/>
    <row r="954" customFormat="1" x14ac:dyDescent="0.35"/>
    <row r="955" customFormat="1" x14ac:dyDescent="0.35"/>
    <row r="956" customFormat="1" x14ac:dyDescent="0.35"/>
    <row r="957" customFormat="1" x14ac:dyDescent="0.35"/>
    <row r="958" customFormat="1" x14ac:dyDescent="0.35"/>
    <row r="959" customFormat="1" x14ac:dyDescent="0.35"/>
    <row r="960" customFormat="1" x14ac:dyDescent="0.35"/>
    <row r="961" customFormat="1" x14ac:dyDescent="0.35"/>
    <row r="962" customFormat="1" x14ac:dyDescent="0.35"/>
    <row r="963" customFormat="1" x14ac:dyDescent="0.35"/>
    <row r="964" customFormat="1" x14ac:dyDescent="0.35"/>
    <row r="965" customFormat="1" x14ac:dyDescent="0.35"/>
    <row r="966" customFormat="1" x14ac:dyDescent="0.35"/>
    <row r="967" customFormat="1" x14ac:dyDescent="0.35"/>
    <row r="968" customFormat="1" x14ac:dyDescent="0.35"/>
    <row r="969" customFormat="1" x14ac:dyDescent="0.35"/>
    <row r="970" customFormat="1" x14ac:dyDescent="0.35"/>
    <row r="971" customFormat="1" x14ac:dyDescent="0.35"/>
    <row r="972" customFormat="1" x14ac:dyDescent="0.35"/>
    <row r="973" customFormat="1" x14ac:dyDescent="0.35"/>
    <row r="974" customFormat="1" x14ac:dyDescent="0.35"/>
    <row r="975" customFormat="1" x14ac:dyDescent="0.35"/>
    <row r="976" customFormat="1" x14ac:dyDescent="0.35"/>
    <row r="977" customFormat="1" x14ac:dyDescent="0.35"/>
    <row r="978" customFormat="1" x14ac:dyDescent="0.35"/>
    <row r="979" customFormat="1" x14ac:dyDescent="0.35"/>
    <row r="980" customFormat="1" x14ac:dyDescent="0.35"/>
    <row r="981" customFormat="1" x14ac:dyDescent="0.35"/>
    <row r="982" customFormat="1" x14ac:dyDescent="0.35"/>
    <row r="983" customFormat="1" x14ac:dyDescent="0.35"/>
    <row r="984" customFormat="1" x14ac:dyDescent="0.35"/>
    <row r="985" customFormat="1" x14ac:dyDescent="0.35"/>
    <row r="986" customFormat="1" x14ac:dyDescent="0.35"/>
    <row r="987" customFormat="1" x14ac:dyDescent="0.35"/>
    <row r="988" customFormat="1" x14ac:dyDescent="0.35"/>
    <row r="989" customFormat="1" x14ac:dyDescent="0.35"/>
    <row r="990" customFormat="1" x14ac:dyDescent="0.35"/>
    <row r="991" customFormat="1" x14ac:dyDescent="0.35"/>
    <row r="992" customFormat="1" x14ac:dyDescent="0.35"/>
    <row r="993" customFormat="1" x14ac:dyDescent="0.35"/>
    <row r="994" customFormat="1" x14ac:dyDescent="0.35"/>
    <row r="995" customFormat="1" x14ac:dyDescent="0.35"/>
    <row r="996" customFormat="1" x14ac:dyDescent="0.35"/>
    <row r="997" customFormat="1" x14ac:dyDescent="0.35"/>
    <row r="998" customFormat="1" x14ac:dyDescent="0.35"/>
    <row r="999" customFormat="1" x14ac:dyDescent="0.35"/>
    <row r="1000" customFormat="1" x14ac:dyDescent="0.35"/>
    <row r="1001" customFormat="1" x14ac:dyDescent="0.35"/>
    <row r="1002" customFormat="1" x14ac:dyDescent="0.35"/>
    <row r="1003" customFormat="1" x14ac:dyDescent="0.35"/>
    <row r="1004" customFormat="1" x14ac:dyDescent="0.35"/>
    <row r="1005" customFormat="1" x14ac:dyDescent="0.35"/>
    <row r="1006" customFormat="1" x14ac:dyDescent="0.35"/>
    <row r="1007" customFormat="1" x14ac:dyDescent="0.35"/>
    <row r="1008" customFormat="1" x14ac:dyDescent="0.35"/>
    <row r="1009" customFormat="1" x14ac:dyDescent="0.35"/>
    <row r="1010" customFormat="1" x14ac:dyDescent="0.35"/>
    <row r="1011" customFormat="1" x14ac:dyDescent="0.35"/>
    <row r="1012" customFormat="1" x14ac:dyDescent="0.35"/>
    <row r="1013" customFormat="1" x14ac:dyDescent="0.35"/>
    <row r="1014" customFormat="1" x14ac:dyDescent="0.35"/>
    <row r="1015" customFormat="1" x14ac:dyDescent="0.35"/>
    <row r="1016" customFormat="1" x14ac:dyDescent="0.35"/>
    <row r="1017" customFormat="1" x14ac:dyDescent="0.35"/>
    <row r="1018" customFormat="1" x14ac:dyDescent="0.35"/>
    <row r="1019" customFormat="1" x14ac:dyDescent="0.35"/>
    <row r="1020" customFormat="1" x14ac:dyDescent="0.35"/>
    <row r="1021" customFormat="1" x14ac:dyDescent="0.35"/>
    <row r="1022" customFormat="1" x14ac:dyDescent="0.35"/>
    <row r="1023" customFormat="1" x14ac:dyDescent="0.35"/>
    <row r="1024" customFormat="1" x14ac:dyDescent="0.35"/>
    <row r="1025" customFormat="1" x14ac:dyDescent="0.35"/>
    <row r="1026" customFormat="1" x14ac:dyDescent="0.35"/>
    <row r="1027" customFormat="1" x14ac:dyDescent="0.35"/>
    <row r="1028" customFormat="1" x14ac:dyDescent="0.35"/>
    <row r="1029" customFormat="1" x14ac:dyDescent="0.35"/>
    <row r="1030" customFormat="1" x14ac:dyDescent="0.35"/>
    <row r="1031" customFormat="1" x14ac:dyDescent="0.35"/>
    <row r="1032" customFormat="1" x14ac:dyDescent="0.35"/>
    <row r="1033" customFormat="1" x14ac:dyDescent="0.35"/>
    <row r="1034" customFormat="1" x14ac:dyDescent="0.35"/>
    <row r="1035" customFormat="1" x14ac:dyDescent="0.35"/>
    <row r="1036" customFormat="1" x14ac:dyDescent="0.35"/>
    <row r="1037" customFormat="1" x14ac:dyDescent="0.35"/>
    <row r="1038" customFormat="1" x14ac:dyDescent="0.35"/>
    <row r="1039" customFormat="1" x14ac:dyDescent="0.35"/>
    <row r="1040" customFormat="1" x14ac:dyDescent="0.35"/>
    <row r="1041" customFormat="1" x14ac:dyDescent="0.35"/>
    <row r="1042" customFormat="1" x14ac:dyDescent="0.35"/>
    <row r="1043" customFormat="1" x14ac:dyDescent="0.35"/>
    <row r="1044" customFormat="1" x14ac:dyDescent="0.35"/>
    <row r="1045" customFormat="1" x14ac:dyDescent="0.35"/>
    <row r="1046" customFormat="1" x14ac:dyDescent="0.35"/>
    <row r="1047" customFormat="1" x14ac:dyDescent="0.35"/>
    <row r="1048" customFormat="1" x14ac:dyDescent="0.35"/>
    <row r="1049" customFormat="1" x14ac:dyDescent="0.35"/>
    <row r="1050" customFormat="1" x14ac:dyDescent="0.35"/>
    <row r="1051" customFormat="1" x14ac:dyDescent="0.35"/>
    <row r="1052" customFormat="1" x14ac:dyDescent="0.35"/>
    <row r="1053" customFormat="1" x14ac:dyDescent="0.35"/>
    <row r="1054" customFormat="1" x14ac:dyDescent="0.35"/>
    <row r="1055" customFormat="1" x14ac:dyDescent="0.35"/>
    <row r="1056" customFormat="1" x14ac:dyDescent="0.35"/>
    <row r="1057" customFormat="1" x14ac:dyDescent="0.35"/>
    <row r="1058" customFormat="1" x14ac:dyDescent="0.35"/>
    <row r="1059" customFormat="1" x14ac:dyDescent="0.35"/>
    <row r="1060" customFormat="1" x14ac:dyDescent="0.35"/>
    <row r="1061" customFormat="1" x14ac:dyDescent="0.35"/>
    <row r="1062" customFormat="1" x14ac:dyDescent="0.35"/>
    <row r="1063" customFormat="1" x14ac:dyDescent="0.35"/>
    <row r="1064" customFormat="1" x14ac:dyDescent="0.35"/>
    <row r="1065" customFormat="1" x14ac:dyDescent="0.35"/>
    <row r="1066" customFormat="1" x14ac:dyDescent="0.35"/>
    <row r="1067" customFormat="1" x14ac:dyDescent="0.35"/>
    <row r="1068" customFormat="1" x14ac:dyDescent="0.35"/>
    <row r="1069" customFormat="1" x14ac:dyDescent="0.35"/>
    <row r="1070" customFormat="1" x14ac:dyDescent="0.35"/>
    <row r="1071" customFormat="1" x14ac:dyDescent="0.35"/>
    <row r="1072" customFormat="1" x14ac:dyDescent="0.35"/>
    <row r="1073" customFormat="1" x14ac:dyDescent="0.35"/>
    <row r="1074" customFormat="1" x14ac:dyDescent="0.35"/>
    <row r="1075" customFormat="1" x14ac:dyDescent="0.35"/>
    <row r="1076" customFormat="1" x14ac:dyDescent="0.35"/>
    <row r="1077" customFormat="1" x14ac:dyDescent="0.35"/>
    <row r="1078" customFormat="1" x14ac:dyDescent="0.35"/>
    <row r="1079" customFormat="1" x14ac:dyDescent="0.35"/>
    <row r="1080" customFormat="1" x14ac:dyDescent="0.35"/>
    <row r="1081" customFormat="1" x14ac:dyDescent="0.35"/>
    <row r="1082" customFormat="1" x14ac:dyDescent="0.35"/>
    <row r="1083" customFormat="1" x14ac:dyDescent="0.35"/>
    <row r="1084" customFormat="1" x14ac:dyDescent="0.35"/>
    <row r="1085" customFormat="1" x14ac:dyDescent="0.35"/>
    <row r="1086" customFormat="1" x14ac:dyDescent="0.35"/>
    <row r="1087" customFormat="1" x14ac:dyDescent="0.35"/>
    <row r="1088" customFormat="1" x14ac:dyDescent="0.35"/>
    <row r="1089" customFormat="1" x14ac:dyDescent="0.35"/>
    <row r="1090" customFormat="1" x14ac:dyDescent="0.35"/>
    <row r="1091" customFormat="1" x14ac:dyDescent="0.35"/>
    <row r="1092" customFormat="1" x14ac:dyDescent="0.35"/>
    <row r="1093" customFormat="1" x14ac:dyDescent="0.35"/>
    <row r="1094" customFormat="1" x14ac:dyDescent="0.35"/>
    <row r="1095" customFormat="1" x14ac:dyDescent="0.35"/>
    <row r="1096" customFormat="1" x14ac:dyDescent="0.35"/>
    <row r="1097" customFormat="1" x14ac:dyDescent="0.35"/>
    <row r="1098" customFormat="1" x14ac:dyDescent="0.35"/>
    <row r="1099" customFormat="1" x14ac:dyDescent="0.35"/>
    <row r="1100" customFormat="1" x14ac:dyDescent="0.35"/>
    <row r="1101" customFormat="1" x14ac:dyDescent="0.35"/>
    <row r="1102" customFormat="1" x14ac:dyDescent="0.35"/>
    <row r="1103" customFormat="1" x14ac:dyDescent="0.35"/>
    <row r="1104" customFormat="1" x14ac:dyDescent="0.35"/>
    <row r="1105" customFormat="1" x14ac:dyDescent="0.35"/>
    <row r="1106" customFormat="1" x14ac:dyDescent="0.35"/>
    <row r="1107" customFormat="1" x14ac:dyDescent="0.35"/>
    <row r="1108" customFormat="1" x14ac:dyDescent="0.35"/>
    <row r="1109" customFormat="1" x14ac:dyDescent="0.35"/>
    <row r="1110" customFormat="1" x14ac:dyDescent="0.35"/>
    <row r="1111" customFormat="1" x14ac:dyDescent="0.35"/>
    <row r="1112" customFormat="1" x14ac:dyDescent="0.35"/>
    <row r="1113" customFormat="1" x14ac:dyDescent="0.35"/>
    <row r="1114" customFormat="1" x14ac:dyDescent="0.35"/>
    <row r="1115" customFormat="1" x14ac:dyDescent="0.35"/>
    <row r="1116" customFormat="1" x14ac:dyDescent="0.35"/>
    <row r="1117" customFormat="1" x14ac:dyDescent="0.35"/>
    <row r="1118" customFormat="1" x14ac:dyDescent="0.35"/>
    <row r="1119" customFormat="1" x14ac:dyDescent="0.35"/>
    <row r="1120" customFormat="1" x14ac:dyDescent="0.35"/>
    <row r="1121" customFormat="1" x14ac:dyDescent="0.35"/>
    <row r="1122" customFormat="1" x14ac:dyDescent="0.35"/>
    <row r="1123" customFormat="1" x14ac:dyDescent="0.35"/>
    <row r="1124" customFormat="1" x14ac:dyDescent="0.35"/>
    <row r="1125" customFormat="1" x14ac:dyDescent="0.35"/>
    <row r="1126" customFormat="1" x14ac:dyDescent="0.35"/>
    <row r="1127" customFormat="1" x14ac:dyDescent="0.35"/>
    <row r="1128" customFormat="1" x14ac:dyDescent="0.35"/>
    <row r="1129" customFormat="1" x14ac:dyDescent="0.35"/>
    <row r="1130" customFormat="1" x14ac:dyDescent="0.35"/>
    <row r="1131" customFormat="1" x14ac:dyDescent="0.35"/>
    <row r="1132" customFormat="1" x14ac:dyDescent="0.35"/>
    <row r="1133" customFormat="1" x14ac:dyDescent="0.35"/>
    <row r="1134" customFormat="1" x14ac:dyDescent="0.35"/>
    <row r="1135" customFormat="1" x14ac:dyDescent="0.35"/>
    <row r="1136" customFormat="1" x14ac:dyDescent="0.35"/>
    <row r="1137" customFormat="1" x14ac:dyDescent="0.35"/>
    <row r="1138" customFormat="1" x14ac:dyDescent="0.35"/>
    <row r="1139" customFormat="1" x14ac:dyDescent="0.35"/>
    <row r="1140" customFormat="1" x14ac:dyDescent="0.35"/>
    <row r="1141" customFormat="1" x14ac:dyDescent="0.35"/>
    <row r="1142" customFormat="1" x14ac:dyDescent="0.35"/>
    <row r="1143" customFormat="1" x14ac:dyDescent="0.35"/>
    <row r="1144" customFormat="1" x14ac:dyDescent="0.35"/>
    <row r="1145" customFormat="1" x14ac:dyDescent="0.35"/>
    <row r="1146" customFormat="1" x14ac:dyDescent="0.35"/>
    <row r="1147" customFormat="1" x14ac:dyDescent="0.35"/>
    <row r="1148" customFormat="1" x14ac:dyDescent="0.35"/>
    <row r="1149" customFormat="1" x14ac:dyDescent="0.35"/>
    <row r="1150" customFormat="1" x14ac:dyDescent="0.35"/>
    <row r="1151" customFormat="1" x14ac:dyDescent="0.35"/>
    <row r="1152" customFormat="1" x14ac:dyDescent="0.35"/>
    <row r="1153" customFormat="1" x14ac:dyDescent="0.35"/>
    <row r="1154" customFormat="1" x14ac:dyDescent="0.35"/>
    <row r="1155" customFormat="1" x14ac:dyDescent="0.35"/>
    <row r="1156" customFormat="1" x14ac:dyDescent="0.35"/>
    <row r="1157" customFormat="1" x14ac:dyDescent="0.35"/>
    <row r="1158" customFormat="1" x14ac:dyDescent="0.35"/>
    <row r="1159" customFormat="1" x14ac:dyDescent="0.35"/>
    <row r="1160" customFormat="1" x14ac:dyDescent="0.35"/>
    <row r="1161" customFormat="1" x14ac:dyDescent="0.35"/>
    <row r="1162" customFormat="1" x14ac:dyDescent="0.35"/>
    <row r="1163" customFormat="1" x14ac:dyDescent="0.35"/>
    <row r="1164" customFormat="1" x14ac:dyDescent="0.35"/>
    <row r="1165" customFormat="1" x14ac:dyDescent="0.35"/>
    <row r="1166" customFormat="1" x14ac:dyDescent="0.35"/>
    <row r="1167" customFormat="1" x14ac:dyDescent="0.35"/>
    <row r="1168" customFormat="1" x14ac:dyDescent="0.35"/>
    <row r="1169" customFormat="1" x14ac:dyDescent="0.35"/>
    <row r="1170" customFormat="1" x14ac:dyDescent="0.35"/>
    <row r="1171" customFormat="1" x14ac:dyDescent="0.35"/>
    <row r="1172" customFormat="1" x14ac:dyDescent="0.35"/>
    <row r="1173" customFormat="1" x14ac:dyDescent="0.35"/>
    <row r="1174" customFormat="1" x14ac:dyDescent="0.35"/>
    <row r="1175" customFormat="1" x14ac:dyDescent="0.35"/>
    <row r="1176" customFormat="1" x14ac:dyDescent="0.35"/>
    <row r="1177" customFormat="1" x14ac:dyDescent="0.35"/>
    <row r="1178" customFormat="1" x14ac:dyDescent="0.35"/>
    <row r="1179" customFormat="1" x14ac:dyDescent="0.35"/>
    <row r="1180" customFormat="1" x14ac:dyDescent="0.35"/>
    <row r="1181" customFormat="1" x14ac:dyDescent="0.35"/>
    <row r="1182" customFormat="1" x14ac:dyDescent="0.35"/>
    <row r="1183" customFormat="1" x14ac:dyDescent="0.35"/>
    <row r="1184" customFormat="1" x14ac:dyDescent="0.35"/>
    <row r="1185" customFormat="1" x14ac:dyDescent="0.35"/>
    <row r="1186" customFormat="1" x14ac:dyDescent="0.35"/>
    <row r="1187" customFormat="1" x14ac:dyDescent="0.35"/>
    <row r="1188" customFormat="1" x14ac:dyDescent="0.35"/>
    <row r="1189" customFormat="1" x14ac:dyDescent="0.35"/>
    <row r="1190" customFormat="1" x14ac:dyDescent="0.35"/>
    <row r="1191" customFormat="1" x14ac:dyDescent="0.35"/>
    <row r="1192" customFormat="1" x14ac:dyDescent="0.35"/>
    <row r="1193" customFormat="1" x14ac:dyDescent="0.35"/>
    <row r="1194" customFormat="1" x14ac:dyDescent="0.35"/>
    <row r="1195" customFormat="1" x14ac:dyDescent="0.35"/>
    <row r="1196" customFormat="1" x14ac:dyDescent="0.35"/>
    <row r="1197" customFormat="1" x14ac:dyDescent="0.35"/>
    <row r="1198" customFormat="1" x14ac:dyDescent="0.35"/>
    <row r="1199" customFormat="1" x14ac:dyDescent="0.35"/>
    <row r="1200" customFormat="1" x14ac:dyDescent="0.35"/>
    <row r="1201" customFormat="1" x14ac:dyDescent="0.35"/>
    <row r="1202" customFormat="1" x14ac:dyDescent="0.35"/>
    <row r="1203" customFormat="1" x14ac:dyDescent="0.35"/>
    <row r="1204" customFormat="1" x14ac:dyDescent="0.35"/>
    <row r="1205" customFormat="1" x14ac:dyDescent="0.35"/>
    <row r="1206" customFormat="1" x14ac:dyDescent="0.35"/>
    <row r="1207" customFormat="1" x14ac:dyDescent="0.35"/>
    <row r="1208" customFormat="1" x14ac:dyDescent="0.35"/>
    <row r="1209" customFormat="1" x14ac:dyDescent="0.35"/>
    <row r="1210" customFormat="1" x14ac:dyDescent="0.35"/>
    <row r="1211" customFormat="1" x14ac:dyDescent="0.35"/>
    <row r="1212" customFormat="1" x14ac:dyDescent="0.35"/>
    <row r="1213" customFormat="1" x14ac:dyDescent="0.35"/>
    <row r="1214" customFormat="1" x14ac:dyDescent="0.35"/>
    <row r="1215" customFormat="1" x14ac:dyDescent="0.35"/>
    <row r="1216" customFormat="1" x14ac:dyDescent="0.35"/>
    <row r="1217" customFormat="1" x14ac:dyDescent="0.35"/>
    <row r="1218" customFormat="1" x14ac:dyDescent="0.35"/>
    <row r="1219" customFormat="1" x14ac:dyDescent="0.35"/>
    <row r="1220" customFormat="1" x14ac:dyDescent="0.35"/>
    <row r="1221" customFormat="1" x14ac:dyDescent="0.35"/>
    <row r="1222" customFormat="1" x14ac:dyDescent="0.35"/>
    <row r="1223" customFormat="1" x14ac:dyDescent="0.35"/>
    <row r="1224" customFormat="1" x14ac:dyDescent="0.35"/>
    <row r="1225" customFormat="1" x14ac:dyDescent="0.35"/>
    <row r="1226" customFormat="1" x14ac:dyDescent="0.35"/>
    <row r="1227" customFormat="1" x14ac:dyDescent="0.35"/>
    <row r="1228" customFormat="1" x14ac:dyDescent="0.35"/>
    <row r="1229" customFormat="1" x14ac:dyDescent="0.35"/>
    <row r="1230" customFormat="1" x14ac:dyDescent="0.35"/>
    <row r="1231" customFormat="1" x14ac:dyDescent="0.35"/>
    <row r="1232" customFormat="1" x14ac:dyDescent="0.35"/>
    <row r="1233" customFormat="1" x14ac:dyDescent="0.35"/>
    <row r="1234" customFormat="1" x14ac:dyDescent="0.35"/>
    <row r="1235" customFormat="1" x14ac:dyDescent="0.35"/>
    <row r="1236" customFormat="1" x14ac:dyDescent="0.35"/>
    <row r="1237" customFormat="1" x14ac:dyDescent="0.35"/>
    <row r="1238" customFormat="1" x14ac:dyDescent="0.35"/>
    <row r="1239" customFormat="1" x14ac:dyDescent="0.35"/>
    <row r="1240" customFormat="1" x14ac:dyDescent="0.35"/>
    <row r="1241" customFormat="1" x14ac:dyDescent="0.35"/>
    <row r="1242" customFormat="1" x14ac:dyDescent="0.35"/>
    <row r="1243" customFormat="1" x14ac:dyDescent="0.35"/>
    <row r="1244" customFormat="1" x14ac:dyDescent="0.35"/>
    <row r="1245" customFormat="1" x14ac:dyDescent="0.35"/>
    <row r="1246" customFormat="1" x14ac:dyDescent="0.35"/>
    <row r="1247" customFormat="1" x14ac:dyDescent="0.35"/>
    <row r="1248" customFormat="1" x14ac:dyDescent="0.35"/>
    <row r="1249" customFormat="1" x14ac:dyDescent="0.35"/>
    <row r="1250" customFormat="1" x14ac:dyDescent="0.35"/>
    <row r="1251" customFormat="1" x14ac:dyDescent="0.35"/>
    <row r="1252" customFormat="1" x14ac:dyDescent="0.35"/>
    <row r="1253" customFormat="1" x14ac:dyDescent="0.35"/>
    <row r="1254" customFormat="1" x14ac:dyDescent="0.35"/>
    <row r="1255" customFormat="1" x14ac:dyDescent="0.35"/>
    <row r="1256" customFormat="1" x14ac:dyDescent="0.35"/>
    <row r="1257" customFormat="1" x14ac:dyDescent="0.35"/>
    <row r="1258" customFormat="1" x14ac:dyDescent="0.35"/>
    <row r="1259" customFormat="1" x14ac:dyDescent="0.35"/>
    <row r="1260" customFormat="1" x14ac:dyDescent="0.35"/>
    <row r="1261" customFormat="1" x14ac:dyDescent="0.35"/>
    <row r="1262" customFormat="1" x14ac:dyDescent="0.35"/>
    <row r="1263" customFormat="1" x14ac:dyDescent="0.35"/>
    <row r="1264" customFormat="1" x14ac:dyDescent="0.35"/>
    <row r="1265" customFormat="1" x14ac:dyDescent="0.35"/>
    <row r="1266" customFormat="1" x14ac:dyDescent="0.35"/>
    <row r="1267" customFormat="1" x14ac:dyDescent="0.35"/>
    <row r="1268" customFormat="1" x14ac:dyDescent="0.35"/>
    <row r="1269" customFormat="1" x14ac:dyDescent="0.35"/>
    <row r="1270" customFormat="1" x14ac:dyDescent="0.35"/>
    <row r="1271" customFormat="1" x14ac:dyDescent="0.35"/>
    <row r="1272" customFormat="1" x14ac:dyDescent="0.35"/>
    <row r="1273" customFormat="1" x14ac:dyDescent="0.35"/>
    <row r="1274" customFormat="1" x14ac:dyDescent="0.35"/>
    <row r="1275" customFormat="1" x14ac:dyDescent="0.35"/>
    <row r="1276" customFormat="1" x14ac:dyDescent="0.35"/>
    <row r="1277" customFormat="1" x14ac:dyDescent="0.35"/>
    <row r="1278" customFormat="1" x14ac:dyDescent="0.35"/>
    <row r="1279" customFormat="1" x14ac:dyDescent="0.35"/>
    <row r="1280" customFormat="1" x14ac:dyDescent="0.35"/>
    <row r="1281" customFormat="1" x14ac:dyDescent="0.35"/>
    <row r="1282" customFormat="1" x14ac:dyDescent="0.35"/>
    <row r="1283" customFormat="1" x14ac:dyDescent="0.35"/>
    <row r="1284" customFormat="1" x14ac:dyDescent="0.35"/>
    <row r="1285" customFormat="1" x14ac:dyDescent="0.35"/>
    <row r="1286" customFormat="1" x14ac:dyDescent="0.35"/>
    <row r="1287" customFormat="1" x14ac:dyDescent="0.35"/>
    <row r="1288" customFormat="1" x14ac:dyDescent="0.35"/>
    <row r="1289" customFormat="1" x14ac:dyDescent="0.35"/>
    <row r="1290" customFormat="1" x14ac:dyDescent="0.35"/>
    <row r="1291" customFormat="1" x14ac:dyDescent="0.35"/>
    <row r="1292" customFormat="1" x14ac:dyDescent="0.35"/>
    <row r="1293" customFormat="1" x14ac:dyDescent="0.35"/>
    <row r="1294" customFormat="1" x14ac:dyDescent="0.35"/>
    <row r="1295" customFormat="1" x14ac:dyDescent="0.35"/>
    <row r="1296" customFormat="1" x14ac:dyDescent="0.35"/>
    <row r="1297" customFormat="1" x14ac:dyDescent="0.35"/>
    <row r="1298" customFormat="1" x14ac:dyDescent="0.35"/>
    <row r="1299" customFormat="1" x14ac:dyDescent="0.35"/>
    <row r="1300" customFormat="1" x14ac:dyDescent="0.35"/>
    <row r="1301" customFormat="1" x14ac:dyDescent="0.35"/>
    <row r="1302" customFormat="1" x14ac:dyDescent="0.35"/>
    <row r="1303" customFormat="1" x14ac:dyDescent="0.35"/>
    <row r="1304" customFormat="1" x14ac:dyDescent="0.35"/>
    <row r="1305" customFormat="1" x14ac:dyDescent="0.35"/>
    <row r="1306" customFormat="1" x14ac:dyDescent="0.35"/>
    <row r="1307" customFormat="1" x14ac:dyDescent="0.35"/>
    <row r="1308" customFormat="1" x14ac:dyDescent="0.35"/>
    <row r="1309" customFormat="1" x14ac:dyDescent="0.35"/>
    <row r="1310" customFormat="1" x14ac:dyDescent="0.35"/>
    <row r="1311" customFormat="1" x14ac:dyDescent="0.35"/>
    <row r="1312" customFormat="1" x14ac:dyDescent="0.35"/>
    <row r="1313" customFormat="1" x14ac:dyDescent="0.35"/>
    <row r="1314" customFormat="1" x14ac:dyDescent="0.35"/>
    <row r="1315" customFormat="1" x14ac:dyDescent="0.35"/>
    <row r="1316" customFormat="1" x14ac:dyDescent="0.35"/>
    <row r="1317" customFormat="1" x14ac:dyDescent="0.35"/>
    <row r="1318" customFormat="1" x14ac:dyDescent="0.35"/>
    <row r="1319" customFormat="1" x14ac:dyDescent="0.35"/>
    <row r="1320" customFormat="1" x14ac:dyDescent="0.35"/>
    <row r="1321" customFormat="1" x14ac:dyDescent="0.35"/>
    <row r="1322" customFormat="1" x14ac:dyDescent="0.35"/>
    <row r="1323" customFormat="1" x14ac:dyDescent="0.35"/>
    <row r="1324" customFormat="1" x14ac:dyDescent="0.35"/>
    <row r="1325" customFormat="1" x14ac:dyDescent="0.35"/>
    <row r="1326" customFormat="1" x14ac:dyDescent="0.35"/>
    <row r="1327" customFormat="1" x14ac:dyDescent="0.35"/>
    <row r="1328" customFormat="1" x14ac:dyDescent="0.35"/>
    <row r="1329" customFormat="1" x14ac:dyDescent="0.35"/>
    <row r="1330" customFormat="1" x14ac:dyDescent="0.35"/>
    <row r="1331" customFormat="1" x14ac:dyDescent="0.35"/>
    <row r="1332" customFormat="1" x14ac:dyDescent="0.35"/>
    <row r="1333" customFormat="1" x14ac:dyDescent="0.35"/>
    <row r="1334" customFormat="1" x14ac:dyDescent="0.35"/>
    <row r="1335" customFormat="1" x14ac:dyDescent="0.35"/>
    <row r="1336" customFormat="1" x14ac:dyDescent="0.35"/>
    <row r="1337" customFormat="1" x14ac:dyDescent="0.35"/>
    <row r="1338" customFormat="1" x14ac:dyDescent="0.35"/>
    <row r="1339" customFormat="1" x14ac:dyDescent="0.35"/>
    <row r="1340" customFormat="1" x14ac:dyDescent="0.35"/>
    <row r="1341" customFormat="1" x14ac:dyDescent="0.35"/>
    <row r="1342" customFormat="1" x14ac:dyDescent="0.35"/>
    <row r="1343" customFormat="1" x14ac:dyDescent="0.35"/>
    <row r="1344" customFormat="1" x14ac:dyDescent="0.35"/>
    <row r="1345" customFormat="1" x14ac:dyDescent="0.35"/>
    <row r="1346" customFormat="1" x14ac:dyDescent="0.35"/>
    <row r="1347" customFormat="1" x14ac:dyDescent="0.35"/>
    <row r="1348" customFormat="1" x14ac:dyDescent="0.35"/>
    <row r="1349" customFormat="1" x14ac:dyDescent="0.35"/>
    <row r="1350" customFormat="1" x14ac:dyDescent="0.35"/>
    <row r="1351" customFormat="1" x14ac:dyDescent="0.35"/>
    <row r="1352" customFormat="1" x14ac:dyDescent="0.35"/>
    <row r="1353" customFormat="1" x14ac:dyDescent="0.35"/>
    <row r="1354" customFormat="1" x14ac:dyDescent="0.35"/>
    <row r="1355" customFormat="1" x14ac:dyDescent="0.35"/>
    <row r="1356" customFormat="1" x14ac:dyDescent="0.35"/>
    <row r="1357" customFormat="1" x14ac:dyDescent="0.35"/>
    <row r="1358" customFormat="1" x14ac:dyDescent="0.35"/>
    <row r="1359" customFormat="1" x14ac:dyDescent="0.35"/>
    <row r="1360" customFormat="1" x14ac:dyDescent="0.35"/>
    <row r="1361" customFormat="1" x14ac:dyDescent="0.35"/>
    <row r="1362" customFormat="1" x14ac:dyDescent="0.35"/>
    <row r="1363" customFormat="1" x14ac:dyDescent="0.35"/>
    <row r="1364" customFormat="1" x14ac:dyDescent="0.35"/>
    <row r="1365" customFormat="1" x14ac:dyDescent="0.35"/>
    <row r="1366" customFormat="1" x14ac:dyDescent="0.35"/>
    <row r="1367" customFormat="1" x14ac:dyDescent="0.35"/>
    <row r="1368" customFormat="1" x14ac:dyDescent="0.35"/>
    <row r="1369" customFormat="1" x14ac:dyDescent="0.35"/>
    <row r="1370" customFormat="1" x14ac:dyDescent="0.35"/>
    <row r="1371" customFormat="1" x14ac:dyDescent="0.35"/>
    <row r="1372" customFormat="1" x14ac:dyDescent="0.35"/>
    <row r="1373" customFormat="1" x14ac:dyDescent="0.35"/>
    <row r="1374" customFormat="1" x14ac:dyDescent="0.35"/>
    <row r="1375" customFormat="1" x14ac:dyDescent="0.35"/>
    <row r="1376" customFormat="1" x14ac:dyDescent="0.35"/>
    <row r="1377" customFormat="1" x14ac:dyDescent="0.35"/>
    <row r="1378" customFormat="1" x14ac:dyDescent="0.35"/>
    <row r="1379" customFormat="1" x14ac:dyDescent="0.35"/>
    <row r="1380" customFormat="1" x14ac:dyDescent="0.35"/>
    <row r="1381" customFormat="1" x14ac:dyDescent="0.35"/>
    <row r="1382" customFormat="1" x14ac:dyDescent="0.35"/>
    <row r="1383" customFormat="1" x14ac:dyDescent="0.35"/>
    <row r="1384" customFormat="1" x14ac:dyDescent="0.35"/>
    <row r="1385" customFormat="1" x14ac:dyDescent="0.35"/>
    <row r="1386" customFormat="1" x14ac:dyDescent="0.35"/>
    <row r="1387" customFormat="1" x14ac:dyDescent="0.35"/>
    <row r="1388" customFormat="1" x14ac:dyDescent="0.35"/>
    <row r="1389" customFormat="1" x14ac:dyDescent="0.35"/>
    <row r="1390" customFormat="1" x14ac:dyDescent="0.35"/>
    <row r="1391" customFormat="1" x14ac:dyDescent="0.35"/>
    <row r="1392" customFormat="1" x14ac:dyDescent="0.35"/>
    <row r="1393" customFormat="1" x14ac:dyDescent="0.35"/>
    <row r="1394" customFormat="1" x14ac:dyDescent="0.35"/>
    <row r="1395" customFormat="1" x14ac:dyDescent="0.35"/>
    <row r="1396" customFormat="1" x14ac:dyDescent="0.35"/>
    <row r="1397" customFormat="1" x14ac:dyDescent="0.35"/>
    <row r="1398" customFormat="1" x14ac:dyDescent="0.35"/>
    <row r="1399" customFormat="1" x14ac:dyDescent="0.35"/>
    <row r="1400" customFormat="1" x14ac:dyDescent="0.35"/>
    <row r="1401" customFormat="1" x14ac:dyDescent="0.35"/>
    <row r="1402" customFormat="1" x14ac:dyDescent="0.35"/>
    <row r="1403" customFormat="1" x14ac:dyDescent="0.35"/>
    <row r="1404" customFormat="1" x14ac:dyDescent="0.35"/>
    <row r="1405" customFormat="1" x14ac:dyDescent="0.35"/>
    <row r="1406" customFormat="1" x14ac:dyDescent="0.35"/>
    <row r="1407" customFormat="1" x14ac:dyDescent="0.35"/>
    <row r="1408" customFormat="1" x14ac:dyDescent="0.35"/>
    <row r="1409" customFormat="1" x14ac:dyDescent="0.35"/>
    <row r="1410" customFormat="1" x14ac:dyDescent="0.35"/>
    <row r="1411" customFormat="1" x14ac:dyDescent="0.35"/>
    <row r="1412" customFormat="1" x14ac:dyDescent="0.35"/>
    <row r="1413" customFormat="1" x14ac:dyDescent="0.35"/>
    <row r="1414" customFormat="1" x14ac:dyDescent="0.35"/>
    <row r="1415" customFormat="1" x14ac:dyDescent="0.35"/>
    <row r="1416" customFormat="1" x14ac:dyDescent="0.35"/>
    <row r="1417" customFormat="1" x14ac:dyDescent="0.35"/>
    <row r="1418" customFormat="1" x14ac:dyDescent="0.35"/>
    <row r="1419" customFormat="1" x14ac:dyDescent="0.35"/>
    <row r="1420" customFormat="1" x14ac:dyDescent="0.35"/>
    <row r="1421" customFormat="1" x14ac:dyDescent="0.35"/>
    <row r="1422" customFormat="1" x14ac:dyDescent="0.35"/>
    <row r="1423" customFormat="1" x14ac:dyDescent="0.35"/>
    <row r="1424" customFormat="1" x14ac:dyDescent="0.35"/>
    <row r="1425" customFormat="1" x14ac:dyDescent="0.35"/>
    <row r="1426" customFormat="1" x14ac:dyDescent="0.35"/>
    <row r="1427" customFormat="1" x14ac:dyDescent="0.35"/>
    <row r="1428" customFormat="1" x14ac:dyDescent="0.35"/>
    <row r="1429" customFormat="1" x14ac:dyDescent="0.35"/>
    <row r="1430" customFormat="1" x14ac:dyDescent="0.35"/>
    <row r="1431" customFormat="1" x14ac:dyDescent="0.35"/>
    <row r="1432" customFormat="1" x14ac:dyDescent="0.35"/>
    <row r="1433" customFormat="1" x14ac:dyDescent="0.35"/>
    <row r="1434" customFormat="1" x14ac:dyDescent="0.35"/>
    <row r="1435" customFormat="1" x14ac:dyDescent="0.35"/>
    <row r="1436" customFormat="1" x14ac:dyDescent="0.35"/>
    <row r="1437" customFormat="1" x14ac:dyDescent="0.35"/>
    <row r="1438" customFormat="1" x14ac:dyDescent="0.35"/>
    <row r="1439" customFormat="1" x14ac:dyDescent="0.35"/>
    <row r="1440" customFormat="1" x14ac:dyDescent="0.35"/>
    <row r="1441" customFormat="1" x14ac:dyDescent="0.35"/>
    <row r="1442" customFormat="1" x14ac:dyDescent="0.35"/>
    <row r="1443" customFormat="1" x14ac:dyDescent="0.35"/>
    <row r="1444" customFormat="1" x14ac:dyDescent="0.35"/>
    <row r="1445" customFormat="1" x14ac:dyDescent="0.35"/>
    <row r="1446" customFormat="1" x14ac:dyDescent="0.35"/>
    <row r="1447" customFormat="1" x14ac:dyDescent="0.35"/>
    <row r="1448" customFormat="1" x14ac:dyDescent="0.35"/>
    <row r="1449" customFormat="1" x14ac:dyDescent="0.35"/>
    <row r="1450" customFormat="1" x14ac:dyDescent="0.35"/>
    <row r="1451" customFormat="1" x14ac:dyDescent="0.35"/>
    <row r="1452" customFormat="1" x14ac:dyDescent="0.35"/>
    <row r="1453" customFormat="1" x14ac:dyDescent="0.35"/>
    <row r="1454" customFormat="1" x14ac:dyDescent="0.35"/>
    <row r="1455" customFormat="1" x14ac:dyDescent="0.35"/>
    <row r="1456" customFormat="1" x14ac:dyDescent="0.35"/>
    <row r="1457" customFormat="1" x14ac:dyDescent="0.35"/>
    <row r="1458" customFormat="1" x14ac:dyDescent="0.35"/>
    <row r="1459" customFormat="1" x14ac:dyDescent="0.35"/>
    <row r="1460" customFormat="1" x14ac:dyDescent="0.35"/>
    <row r="1461" customFormat="1" x14ac:dyDescent="0.35"/>
    <row r="1462" customFormat="1" x14ac:dyDescent="0.35"/>
    <row r="1463" customFormat="1" x14ac:dyDescent="0.35"/>
    <row r="1464" customFormat="1" x14ac:dyDescent="0.35"/>
    <row r="1465" customFormat="1" x14ac:dyDescent="0.35"/>
    <row r="1466" customFormat="1" x14ac:dyDescent="0.35"/>
    <row r="1467" customFormat="1" x14ac:dyDescent="0.35"/>
    <row r="1468" customFormat="1" x14ac:dyDescent="0.35"/>
    <row r="1469" customFormat="1" x14ac:dyDescent="0.35"/>
    <row r="1470" customFormat="1" x14ac:dyDescent="0.35"/>
    <row r="1471" customFormat="1" x14ac:dyDescent="0.35"/>
    <row r="1472" customFormat="1" x14ac:dyDescent="0.35"/>
    <row r="1473" customFormat="1" x14ac:dyDescent="0.35"/>
    <row r="1474" customFormat="1" x14ac:dyDescent="0.35"/>
    <row r="1475" customFormat="1" x14ac:dyDescent="0.35"/>
    <row r="1476" customFormat="1" x14ac:dyDescent="0.35"/>
    <row r="1477" customFormat="1" x14ac:dyDescent="0.35"/>
    <row r="1478" customFormat="1" x14ac:dyDescent="0.35"/>
    <row r="1479" customFormat="1" x14ac:dyDescent="0.35"/>
    <row r="1480" customFormat="1" x14ac:dyDescent="0.35"/>
    <row r="1481" customFormat="1" x14ac:dyDescent="0.35"/>
    <row r="1482" customFormat="1" x14ac:dyDescent="0.35"/>
    <row r="1483" customFormat="1" x14ac:dyDescent="0.35"/>
    <row r="1484" customFormat="1" x14ac:dyDescent="0.35"/>
    <row r="1485" customFormat="1" x14ac:dyDescent="0.35"/>
    <row r="1486" customFormat="1" x14ac:dyDescent="0.35"/>
    <row r="1487" customFormat="1" x14ac:dyDescent="0.35"/>
    <row r="1488" customFormat="1" x14ac:dyDescent="0.35"/>
    <row r="1489" customFormat="1" x14ac:dyDescent="0.35"/>
    <row r="1490" customFormat="1" x14ac:dyDescent="0.35"/>
    <row r="1491" customFormat="1" x14ac:dyDescent="0.35"/>
    <row r="1492" customFormat="1" x14ac:dyDescent="0.35"/>
    <row r="1493" customFormat="1" x14ac:dyDescent="0.35"/>
    <row r="1494" customFormat="1" x14ac:dyDescent="0.35"/>
    <row r="1495" customFormat="1" x14ac:dyDescent="0.35"/>
    <row r="1496" customFormat="1" x14ac:dyDescent="0.35"/>
    <row r="1497" customFormat="1" x14ac:dyDescent="0.35"/>
    <row r="1498" customFormat="1" x14ac:dyDescent="0.35"/>
    <row r="1499" customFormat="1" x14ac:dyDescent="0.35"/>
    <row r="1500" customFormat="1" x14ac:dyDescent="0.35"/>
    <row r="1501" customFormat="1" x14ac:dyDescent="0.35"/>
    <row r="1502" customFormat="1" x14ac:dyDescent="0.35"/>
    <row r="1503" customFormat="1" x14ac:dyDescent="0.35"/>
    <row r="1504" customFormat="1" x14ac:dyDescent="0.35"/>
    <row r="1505" customFormat="1" x14ac:dyDescent="0.35"/>
    <row r="1506" customFormat="1" x14ac:dyDescent="0.35"/>
    <row r="1507" customFormat="1" x14ac:dyDescent="0.35"/>
    <row r="1508" customFormat="1" x14ac:dyDescent="0.35"/>
    <row r="1509" customFormat="1" x14ac:dyDescent="0.35"/>
    <row r="1510" customFormat="1" x14ac:dyDescent="0.35"/>
    <row r="1511" customFormat="1" x14ac:dyDescent="0.35"/>
    <row r="1512" customFormat="1" x14ac:dyDescent="0.35"/>
    <row r="1513" customFormat="1" x14ac:dyDescent="0.35"/>
    <row r="1514" customFormat="1" x14ac:dyDescent="0.35"/>
    <row r="1515" customFormat="1" x14ac:dyDescent="0.35"/>
    <row r="1516" customFormat="1" x14ac:dyDescent="0.35"/>
    <row r="1517" customFormat="1" x14ac:dyDescent="0.35"/>
    <row r="1518" customFormat="1" x14ac:dyDescent="0.35"/>
    <row r="1519" customFormat="1" x14ac:dyDescent="0.35"/>
    <row r="1520" customFormat="1" x14ac:dyDescent="0.35"/>
    <row r="1521" customFormat="1" x14ac:dyDescent="0.35"/>
    <row r="1522" customFormat="1" x14ac:dyDescent="0.35"/>
    <row r="1523" customFormat="1" x14ac:dyDescent="0.35"/>
    <row r="1524" customFormat="1" x14ac:dyDescent="0.35"/>
    <row r="1525" customFormat="1" x14ac:dyDescent="0.35"/>
    <row r="1526" customFormat="1" x14ac:dyDescent="0.35"/>
    <row r="1527" customFormat="1" x14ac:dyDescent="0.35"/>
    <row r="1528" customFormat="1" x14ac:dyDescent="0.35"/>
    <row r="1529" customFormat="1" x14ac:dyDescent="0.35"/>
    <row r="1530" customFormat="1" x14ac:dyDescent="0.35"/>
    <row r="1531" customFormat="1" x14ac:dyDescent="0.35"/>
    <row r="1532" customFormat="1" x14ac:dyDescent="0.35"/>
    <row r="1533" customFormat="1" x14ac:dyDescent="0.35"/>
    <row r="1534" customFormat="1" x14ac:dyDescent="0.35"/>
    <row r="1535" customFormat="1" x14ac:dyDescent="0.35"/>
    <row r="1536" customFormat="1" x14ac:dyDescent="0.35"/>
    <row r="1537" customFormat="1" x14ac:dyDescent="0.35"/>
    <row r="1538" customFormat="1" x14ac:dyDescent="0.35"/>
    <row r="1539" customFormat="1" x14ac:dyDescent="0.35"/>
    <row r="1540" customFormat="1" x14ac:dyDescent="0.35"/>
    <row r="1541" customFormat="1" x14ac:dyDescent="0.35"/>
    <row r="1542" customFormat="1" x14ac:dyDescent="0.35"/>
    <row r="1543" customFormat="1" x14ac:dyDescent="0.35"/>
    <row r="1544" customFormat="1" x14ac:dyDescent="0.35"/>
    <row r="1545" customFormat="1" x14ac:dyDescent="0.35"/>
    <row r="1546" customFormat="1" x14ac:dyDescent="0.35"/>
    <row r="1547" customFormat="1" x14ac:dyDescent="0.35"/>
    <row r="1548" customFormat="1" x14ac:dyDescent="0.35"/>
    <row r="1549" customFormat="1" x14ac:dyDescent="0.35"/>
    <row r="1550" customFormat="1" x14ac:dyDescent="0.35"/>
    <row r="1551" customFormat="1" x14ac:dyDescent="0.35"/>
    <row r="1552" customFormat="1" x14ac:dyDescent="0.35"/>
    <row r="1553" customFormat="1" x14ac:dyDescent="0.35"/>
    <row r="1554" customFormat="1" x14ac:dyDescent="0.35"/>
    <row r="1555" customFormat="1" x14ac:dyDescent="0.35"/>
    <row r="1556" customFormat="1" x14ac:dyDescent="0.35"/>
    <row r="1557" customFormat="1" x14ac:dyDescent="0.35"/>
    <row r="1558" customFormat="1" x14ac:dyDescent="0.35"/>
    <row r="1559" customFormat="1" x14ac:dyDescent="0.35"/>
    <row r="1560" customFormat="1" x14ac:dyDescent="0.35"/>
    <row r="1561" customFormat="1" x14ac:dyDescent="0.35"/>
    <row r="1562" customFormat="1" x14ac:dyDescent="0.35"/>
    <row r="1563" customFormat="1" x14ac:dyDescent="0.35"/>
    <row r="1564" customFormat="1" x14ac:dyDescent="0.35"/>
    <row r="1565" customFormat="1" x14ac:dyDescent="0.35"/>
    <row r="1566" customFormat="1" x14ac:dyDescent="0.35"/>
    <row r="1567" customFormat="1" x14ac:dyDescent="0.35"/>
    <row r="1568" customFormat="1" x14ac:dyDescent="0.35"/>
    <row r="1569" customFormat="1" x14ac:dyDescent="0.35"/>
    <row r="1570" customFormat="1" x14ac:dyDescent="0.35"/>
    <row r="1571" customFormat="1" x14ac:dyDescent="0.35"/>
    <row r="1572" customFormat="1" x14ac:dyDescent="0.35"/>
    <row r="1573" customFormat="1" x14ac:dyDescent="0.35"/>
    <row r="1574" customFormat="1" x14ac:dyDescent="0.35"/>
    <row r="1575" customFormat="1" x14ac:dyDescent="0.35"/>
    <row r="1576" customFormat="1" x14ac:dyDescent="0.35"/>
    <row r="1577" customFormat="1" x14ac:dyDescent="0.35"/>
    <row r="1578" customFormat="1" x14ac:dyDescent="0.35"/>
    <row r="1579" customFormat="1" x14ac:dyDescent="0.35"/>
    <row r="1580" customFormat="1" x14ac:dyDescent="0.35"/>
    <row r="1581" customFormat="1" x14ac:dyDescent="0.35"/>
    <row r="1582" customFormat="1" x14ac:dyDescent="0.35"/>
    <row r="1583" customFormat="1" x14ac:dyDescent="0.35"/>
    <row r="1584" customFormat="1" x14ac:dyDescent="0.35"/>
    <row r="1585" customFormat="1" x14ac:dyDescent="0.35"/>
    <row r="1586" customFormat="1" x14ac:dyDescent="0.35"/>
    <row r="1587" customFormat="1" x14ac:dyDescent="0.35"/>
    <row r="1588" customFormat="1" x14ac:dyDescent="0.35"/>
    <row r="1589" customFormat="1" x14ac:dyDescent="0.35"/>
    <row r="1590" customFormat="1" x14ac:dyDescent="0.35"/>
    <row r="1591" customFormat="1" x14ac:dyDescent="0.35"/>
    <row r="1592" customFormat="1" x14ac:dyDescent="0.35"/>
    <row r="1593" customFormat="1" x14ac:dyDescent="0.35"/>
    <row r="1594" customFormat="1" x14ac:dyDescent="0.35"/>
    <row r="1595" customFormat="1" x14ac:dyDescent="0.35"/>
    <row r="1596" customFormat="1" x14ac:dyDescent="0.35"/>
    <row r="1597" customFormat="1" x14ac:dyDescent="0.35"/>
    <row r="1598" customFormat="1" x14ac:dyDescent="0.35"/>
    <row r="1599" customFormat="1" x14ac:dyDescent="0.35"/>
    <row r="1600" customFormat="1" x14ac:dyDescent="0.35"/>
    <row r="1601" customFormat="1" x14ac:dyDescent="0.35"/>
    <row r="1602" customFormat="1" x14ac:dyDescent="0.35"/>
    <row r="1603" customFormat="1" x14ac:dyDescent="0.35"/>
    <row r="1604" customFormat="1" x14ac:dyDescent="0.35"/>
    <row r="1605" customFormat="1" x14ac:dyDescent="0.35"/>
    <row r="1606" customFormat="1" x14ac:dyDescent="0.35"/>
    <row r="1607" customFormat="1" x14ac:dyDescent="0.35"/>
    <row r="1608" customFormat="1" x14ac:dyDescent="0.35"/>
    <row r="1609" customFormat="1" x14ac:dyDescent="0.35"/>
    <row r="1610" customFormat="1" x14ac:dyDescent="0.35"/>
    <row r="1611" customFormat="1" x14ac:dyDescent="0.35"/>
    <row r="1612" customFormat="1" x14ac:dyDescent="0.35"/>
    <row r="1613" customFormat="1" x14ac:dyDescent="0.35"/>
    <row r="1614" customFormat="1" x14ac:dyDescent="0.35"/>
    <row r="1615" customFormat="1" x14ac:dyDescent="0.35"/>
    <row r="1616" customFormat="1" x14ac:dyDescent="0.35"/>
    <row r="1617" customFormat="1" x14ac:dyDescent="0.35"/>
    <row r="1618" customFormat="1" x14ac:dyDescent="0.35"/>
    <row r="1619" customFormat="1" x14ac:dyDescent="0.35"/>
    <row r="1620" customFormat="1" x14ac:dyDescent="0.35"/>
    <row r="1621" customFormat="1" x14ac:dyDescent="0.35"/>
    <row r="1622" customFormat="1" x14ac:dyDescent="0.35"/>
    <row r="1623" customFormat="1" x14ac:dyDescent="0.35"/>
    <row r="1624" customFormat="1" x14ac:dyDescent="0.35"/>
    <row r="1625" customFormat="1" x14ac:dyDescent="0.35"/>
    <row r="1626" customFormat="1" x14ac:dyDescent="0.35"/>
    <row r="1627" customFormat="1" x14ac:dyDescent="0.35"/>
    <row r="1628" customFormat="1" x14ac:dyDescent="0.35"/>
    <row r="1629" customFormat="1" x14ac:dyDescent="0.35"/>
    <row r="1630" customFormat="1" x14ac:dyDescent="0.35"/>
    <row r="1631" customFormat="1" x14ac:dyDescent="0.35"/>
    <row r="1632" customFormat="1" x14ac:dyDescent="0.35"/>
    <row r="1633" customFormat="1" x14ac:dyDescent="0.35"/>
    <row r="1634" customFormat="1" x14ac:dyDescent="0.35"/>
    <row r="1635" customFormat="1" x14ac:dyDescent="0.35"/>
    <row r="1636" customFormat="1" x14ac:dyDescent="0.35"/>
    <row r="1637" customFormat="1" x14ac:dyDescent="0.35"/>
    <row r="1638" customFormat="1" x14ac:dyDescent="0.35"/>
    <row r="1639" customFormat="1" x14ac:dyDescent="0.35"/>
    <row r="1640" customFormat="1" x14ac:dyDescent="0.35"/>
    <row r="1641" customFormat="1" x14ac:dyDescent="0.35"/>
    <row r="1642" customFormat="1" x14ac:dyDescent="0.35"/>
    <row r="1643" customFormat="1" x14ac:dyDescent="0.35"/>
    <row r="1644" customFormat="1" x14ac:dyDescent="0.35"/>
    <row r="1645" customFormat="1" x14ac:dyDescent="0.35"/>
    <row r="1646" customFormat="1" x14ac:dyDescent="0.35"/>
    <row r="1647" customFormat="1" x14ac:dyDescent="0.35"/>
    <row r="1648" customFormat="1" x14ac:dyDescent="0.35"/>
    <row r="1649" customFormat="1" x14ac:dyDescent="0.35"/>
    <row r="1650" customFormat="1" x14ac:dyDescent="0.35"/>
    <row r="1651" customFormat="1" x14ac:dyDescent="0.35"/>
    <row r="1652" customFormat="1" x14ac:dyDescent="0.35"/>
    <row r="1653" customFormat="1" x14ac:dyDescent="0.35"/>
    <row r="1654" customFormat="1" x14ac:dyDescent="0.35"/>
    <row r="1655" customFormat="1" x14ac:dyDescent="0.35"/>
    <row r="1656" customFormat="1" x14ac:dyDescent="0.35"/>
    <row r="1657" customFormat="1" x14ac:dyDescent="0.35"/>
    <row r="1658" customFormat="1" x14ac:dyDescent="0.35"/>
    <row r="1659" customFormat="1" x14ac:dyDescent="0.35"/>
    <row r="1660" customFormat="1" x14ac:dyDescent="0.35"/>
    <row r="1661" customFormat="1" x14ac:dyDescent="0.35"/>
    <row r="1662" customFormat="1" x14ac:dyDescent="0.35"/>
    <row r="1663" customFormat="1" x14ac:dyDescent="0.35"/>
    <row r="1664" customFormat="1" x14ac:dyDescent="0.35"/>
    <row r="1665" customFormat="1" x14ac:dyDescent="0.35"/>
    <row r="1666" customFormat="1" x14ac:dyDescent="0.35"/>
    <row r="1667" customFormat="1" x14ac:dyDescent="0.35"/>
    <row r="1668" customFormat="1" x14ac:dyDescent="0.35"/>
    <row r="1669" customFormat="1" x14ac:dyDescent="0.35"/>
    <row r="1670" customFormat="1" x14ac:dyDescent="0.35"/>
    <row r="1671" customFormat="1" x14ac:dyDescent="0.35"/>
    <row r="1672" customFormat="1" x14ac:dyDescent="0.35"/>
    <row r="1673" customFormat="1" x14ac:dyDescent="0.35"/>
    <row r="1674" customFormat="1" x14ac:dyDescent="0.35"/>
    <row r="1675" customFormat="1" x14ac:dyDescent="0.35"/>
    <row r="1676" customFormat="1" x14ac:dyDescent="0.35"/>
    <row r="1677" customFormat="1" x14ac:dyDescent="0.35"/>
    <row r="1678" customFormat="1" x14ac:dyDescent="0.35"/>
    <row r="1679" customFormat="1" x14ac:dyDescent="0.35"/>
    <row r="1680" customFormat="1" x14ac:dyDescent="0.35"/>
    <row r="1681" customFormat="1" x14ac:dyDescent="0.35"/>
    <row r="1682" customFormat="1" x14ac:dyDescent="0.35"/>
    <row r="1683" customFormat="1" x14ac:dyDescent="0.35"/>
    <row r="1684" customFormat="1" x14ac:dyDescent="0.35"/>
    <row r="1685" customFormat="1" x14ac:dyDescent="0.35"/>
    <row r="1686" customFormat="1" x14ac:dyDescent="0.35"/>
    <row r="1687" customFormat="1" x14ac:dyDescent="0.35"/>
    <row r="1688" customFormat="1" x14ac:dyDescent="0.35"/>
    <row r="1689" customFormat="1" x14ac:dyDescent="0.35"/>
    <row r="1690" customFormat="1" x14ac:dyDescent="0.35"/>
    <row r="1691" customFormat="1" x14ac:dyDescent="0.35"/>
    <row r="1692" customFormat="1" x14ac:dyDescent="0.35"/>
    <row r="1693" customFormat="1" x14ac:dyDescent="0.35"/>
    <row r="1694" customFormat="1" x14ac:dyDescent="0.35"/>
    <row r="1695" customFormat="1" x14ac:dyDescent="0.35"/>
    <row r="1696" customFormat="1" x14ac:dyDescent="0.35"/>
    <row r="1697" customFormat="1" x14ac:dyDescent="0.35"/>
    <row r="1698" customFormat="1" x14ac:dyDescent="0.35"/>
    <row r="1699" customFormat="1" x14ac:dyDescent="0.35"/>
    <row r="1700" customFormat="1" x14ac:dyDescent="0.35"/>
    <row r="1701" customFormat="1" x14ac:dyDescent="0.35"/>
    <row r="1702" customFormat="1" x14ac:dyDescent="0.35"/>
    <row r="1703" customFormat="1" x14ac:dyDescent="0.35"/>
    <row r="1704" customFormat="1" x14ac:dyDescent="0.35"/>
    <row r="1705" customFormat="1" x14ac:dyDescent="0.35"/>
    <row r="1706" customFormat="1" x14ac:dyDescent="0.35"/>
    <row r="1707" customFormat="1" x14ac:dyDescent="0.35"/>
    <row r="1708" customFormat="1" x14ac:dyDescent="0.35"/>
    <row r="1709" customFormat="1" x14ac:dyDescent="0.35"/>
    <row r="1710" customFormat="1" x14ac:dyDescent="0.35"/>
    <row r="1711" customFormat="1" x14ac:dyDescent="0.35"/>
    <row r="1712" customFormat="1" x14ac:dyDescent="0.35"/>
    <row r="1713" customFormat="1" x14ac:dyDescent="0.35"/>
    <row r="1714" customFormat="1" x14ac:dyDescent="0.35"/>
    <row r="1715" customFormat="1" x14ac:dyDescent="0.35"/>
    <row r="1716" customFormat="1" x14ac:dyDescent="0.35"/>
    <row r="1717" customFormat="1" x14ac:dyDescent="0.35"/>
    <row r="1718" customFormat="1" x14ac:dyDescent="0.35"/>
    <row r="1719" customFormat="1" x14ac:dyDescent="0.35"/>
    <row r="1720" customFormat="1" x14ac:dyDescent="0.35"/>
    <row r="1721" customFormat="1" x14ac:dyDescent="0.35"/>
    <row r="1722" customFormat="1" x14ac:dyDescent="0.35"/>
    <row r="1723" customFormat="1" x14ac:dyDescent="0.35"/>
    <row r="1724" customFormat="1" x14ac:dyDescent="0.35"/>
    <row r="1725" customFormat="1" x14ac:dyDescent="0.35"/>
    <row r="1726" customFormat="1" x14ac:dyDescent="0.35"/>
    <row r="1727" customFormat="1" x14ac:dyDescent="0.35"/>
    <row r="1728" customFormat="1" x14ac:dyDescent="0.35"/>
    <row r="1729" customFormat="1" x14ac:dyDescent="0.35"/>
    <row r="1730" customFormat="1" x14ac:dyDescent="0.35"/>
    <row r="1731" customFormat="1" x14ac:dyDescent="0.35"/>
    <row r="1732" customFormat="1" x14ac:dyDescent="0.35"/>
    <row r="1733" customFormat="1" x14ac:dyDescent="0.35"/>
    <row r="1734" customFormat="1" x14ac:dyDescent="0.35"/>
    <row r="1735" customFormat="1" x14ac:dyDescent="0.35"/>
    <row r="1736" customFormat="1" x14ac:dyDescent="0.35"/>
    <row r="1737" customFormat="1" x14ac:dyDescent="0.35"/>
    <row r="1738" customFormat="1" x14ac:dyDescent="0.35"/>
    <row r="1739" customFormat="1" x14ac:dyDescent="0.35"/>
    <row r="1740" customFormat="1" x14ac:dyDescent="0.35"/>
    <row r="1741" customFormat="1" x14ac:dyDescent="0.35"/>
    <row r="1742" customFormat="1" x14ac:dyDescent="0.35"/>
    <row r="1743" customFormat="1" x14ac:dyDescent="0.35"/>
    <row r="1744" customFormat="1" x14ac:dyDescent="0.35"/>
    <row r="1745" customFormat="1" x14ac:dyDescent="0.35"/>
    <row r="1746" customFormat="1" x14ac:dyDescent="0.35"/>
    <row r="1747" customFormat="1" x14ac:dyDescent="0.35"/>
    <row r="1748" customFormat="1" x14ac:dyDescent="0.35"/>
    <row r="1749" customFormat="1" x14ac:dyDescent="0.35"/>
    <row r="1750" customFormat="1" x14ac:dyDescent="0.35"/>
    <row r="1751" customFormat="1" x14ac:dyDescent="0.35"/>
    <row r="1752" customFormat="1" x14ac:dyDescent="0.35"/>
    <row r="1753" customFormat="1" x14ac:dyDescent="0.35"/>
    <row r="1754" customFormat="1" x14ac:dyDescent="0.35"/>
    <row r="1755" customFormat="1" x14ac:dyDescent="0.35"/>
    <row r="1756" customFormat="1" x14ac:dyDescent="0.35"/>
    <row r="1757" customFormat="1" x14ac:dyDescent="0.35"/>
    <row r="1758" customFormat="1" x14ac:dyDescent="0.35"/>
    <row r="1759" customFormat="1" x14ac:dyDescent="0.35"/>
    <row r="1760" customFormat="1" x14ac:dyDescent="0.35"/>
    <row r="1761" customFormat="1" x14ac:dyDescent="0.35"/>
    <row r="1762" customFormat="1" x14ac:dyDescent="0.35"/>
    <row r="1763" customFormat="1" x14ac:dyDescent="0.35"/>
    <row r="1764" customFormat="1" x14ac:dyDescent="0.35"/>
    <row r="1765" customFormat="1" x14ac:dyDescent="0.35"/>
    <row r="1766" customFormat="1" x14ac:dyDescent="0.35"/>
    <row r="1767" customFormat="1" x14ac:dyDescent="0.35"/>
    <row r="1768" customFormat="1" x14ac:dyDescent="0.35"/>
    <row r="1769" customFormat="1" x14ac:dyDescent="0.35"/>
    <row r="1770" customFormat="1" x14ac:dyDescent="0.35"/>
    <row r="1771" customFormat="1" x14ac:dyDescent="0.35"/>
    <row r="1772" customFormat="1" x14ac:dyDescent="0.35"/>
    <row r="1773" customFormat="1" x14ac:dyDescent="0.35"/>
    <row r="1774" customFormat="1" x14ac:dyDescent="0.35"/>
    <row r="1775" customFormat="1" x14ac:dyDescent="0.35"/>
    <row r="1776" customFormat="1" x14ac:dyDescent="0.35"/>
    <row r="1777" customFormat="1" x14ac:dyDescent="0.35"/>
    <row r="1778" customFormat="1" x14ac:dyDescent="0.35"/>
    <row r="1779" customFormat="1" x14ac:dyDescent="0.35"/>
    <row r="1780" customFormat="1" x14ac:dyDescent="0.35"/>
    <row r="1781" customFormat="1" x14ac:dyDescent="0.35"/>
    <row r="1782" customFormat="1" x14ac:dyDescent="0.35"/>
    <row r="1783" customFormat="1" x14ac:dyDescent="0.35"/>
    <row r="1784" customFormat="1" x14ac:dyDescent="0.35"/>
    <row r="1785" customFormat="1" x14ac:dyDescent="0.35"/>
    <row r="1786" customFormat="1" x14ac:dyDescent="0.35"/>
    <row r="1787" customFormat="1" x14ac:dyDescent="0.35"/>
    <row r="1788" customFormat="1" x14ac:dyDescent="0.35"/>
    <row r="1789" customFormat="1" x14ac:dyDescent="0.35"/>
    <row r="1790" customFormat="1" x14ac:dyDescent="0.35"/>
    <row r="1791" customFormat="1" x14ac:dyDescent="0.35"/>
    <row r="1792" customFormat="1" x14ac:dyDescent="0.35"/>
    <row r="1793" customFormat="1" x14ac:dyDescent="0.35"/>
    <row r="1794" customFormat="1" x14ac:dyDescent="0.35"/>
    <row r="1795" customFormat="1" x14ac:dyDescent="0.35"/>
    <row r="1796" customFormat="1" x14ac:dyDescent="0.35"/>
    <row r="1797" customFormat="1" x14ac:dyDescent="0.35"/>
    <row r="1798" customFormat="1" x14ac:dyDescent="0.35"/>
    <row r="1799" customFormat="1" x14ac:dyDescent="0.35"/>
    <row r="1800" customFormat="1" x14ac:dyDescent="0.35"/>
    <row r="1801" customFormat="1" x14ac:dyDescent="0.35"/>
    <row r="1802" customFormat="1" x14ac:dyDescent="0.35"/>
    <row r="1803" customFormat="1" x14ac:dyDescent="0.35"/>
    <row r="1804" customFormat="1" x14ac:dyDescent="0.35"/>
    <row r="1805" customFormat="1" x14ac:dyDescent="0.35"/>
    <row r="1806" customFormat="1" x14ac:dyDescent="0.35"/>
    <row r="1807" customFormat="1" x14ac:dyDescent="0.35"/>
    <row r="1808" customFormat="1" x14ac:dyDescent="0.35"/>
    <row r="1809" customFormat="1" x14ac:dyDescent="0.35"/>
    <row r="1810" customFormat="1" x14ac:dyDescent="0.35"/>
    <row r="1811" customFormat="1" x14ac:dyDescent="0.35"/>
    <row r="1812" customFormat="1" x14ac:dyDescent="0.35"/>
    <row r="1813" customFormat="1" x14ac:dyDescent="0.35"/>
    <row r="1814" customFormat="1" x14ac:dyDescent="0.35"/>
    <row r="1815" customFormat="1" x14ac:dyDescent="0.35"/>
    <row r="1816" customFormat="1" x14ac:dyDescent="0.35"/>
    <row r="1817" customFormat="1" x14ac:dyDescent="0.35"/>
    <row r="1818" customFormat="1" x14ac:dyDescent="0.35"/>
    <row r="1819" customFormat="1" x14ac:dyDescent="0.35"/>
    <row r="1820" customFormat="1" x14ac:dyDescent="0.35"/>
    <row r="1821" customFormat="1" x14ac:dyDescent="0.35"/>
    <row r="1822" customFormat="1" x14ac:dyDescent="0.35"/>
    <row r="1823" customFormat="1" x14ac:dyDescent="0.35"/>
    <row r="1824" customFormat="1" x14ac:dyDescent="0.35"/>
    <row r="1825" customFormat="1" x14ac:dyDescent="0.35"/>
    <row r="1826" customFormat="1" x14ac:dyDescent="0.35"/>
    <row r="1827" customFormat="1" x14ac:dyDescent="0.35"/>
    <row r="1828" customFormat="1" x14ac:dyDescent="0.35"/>
    <row r="1829" customFormat="1" x14ac:dyDescent="0.35"/>
    <row r="1830" customFormat="1" x14ac:dyDescent="0.35"/>
    <row r="1831" customFormat="1" x14ac:dyDescent="0.35"/>
    <row r="1832" customFormat="1" x14ac:dyDescent="0.35"/>
    <row r="1833" customFormat="1" x14ac:dyDescent="0.35"/>
    <row r="1834" customFormat="1" x14ac:dyDescent="0.35"/>
    <row r="1835" customFormat="1" x14ac:dyDescent="0.35"/>
    <row r="1836" customFormat="1" x14ac:dyDescent="0.35"/>
    <row r="1837" customFormat="1" x14ac:dyDescent="0.35"/>
    <row r="1838" customFormat="1" x14ac:dyDescent="0.35"/>
    <row r="1839" customFormat="1" x14ac:dyDescent="0.35"/>
    <row r="1840" customFormat="1" x14ac:dyDescent="0.35"/>
    <row r="1841" customFormat="1" x14ac:dyDescent="0.35"/>
    <row r="1842" customFormat="1" x14ac:dyDescent="0.35"/>
    <row r="1843" customFormat="1" x14ac:dyDescent="0.35"/>
    <row r="1844" customFormat="1" x14ac:dyDescent="0.35"/>
    <row r="1845" customFormat="1" x14ac:dyDescent="0.35"/>
    <row r="1846" customFormat="1" x14ac:dyDescent="0.35"/>
    <row r="1847" customFormat="1" x14ac:dyDescent="0.35"/>
    <row r="1848" customFormat="1" x14ac:dyDescent="0.35"/>
    <row r="1849" customFormat="1" x14ac:dyDescent="0.35"/>
    <row r="1850" customFormat="1" x14ac:dyDescent="0.35"/>
    <row r="1851" customFormat="1" x14ac:dyDescent="0.35"/>
    <row r="1852" customFormat="1" x14ac:dyDescent="0.35"/>
    <row r="1853" customFormat="1" x14ac:dyDescent="0.35"/>
    <row r="1854" customFormat="1" x14ac:dyDescent="0.35"/>
    <row r="1855" customFormat="1" x14ac:dyDescent="0.35"/>
    <row r="1856" customFormat="1" x14ac:dyDescent="0.35"/>
    <row r="1857" customFormat="1" x14ac:dyDescent="0.35"/>
    <row r="1858" customFormat="1" x14ac:dyDescent="0.35"/>
    <row r="1859" customFormat="1" x14ac:dyDescent="0.35"/>
    <row r="1860" customFormat="1" x14ac:dyDescent="0.35"/>
    <row r="1861" customFormat="1" x14ac:dyDescent="0.35"/>
    <row r="1862" customFormat="1" x14ac:dyDescent="0.35"/>
    <row r="1863" customFormat="1" x14ac:dyDescent="0.35"/>
    <row r="1864" customFormat="1" x14ac:dyDescent="0.35"/>
    <row r="1865" customFormat="1" x14ac:dyDescent="0.35"/>
    <row r="1866" customFormat="1" x14ac:dyDescent="0.35"/>
    <row r="1867" customFormat="1" x14ac:dyDescent="0.35"/>
    <row r="1868" customFormat="1" x14ac:dyDescent="0.35"/>
    <row r="1869" customFormat="1" x14ac:dyDescent="0.35"/>
    <row r="1870" customFormat="1" x14ac:dyDescent="0.35"/>
    <row r="1871" customFormat="1" x14ac:dyDescent="0.35"/>
    <row r="1872" customFormat="1" x14ac:dyDescent="0.35"/>
    <row r="1873" customFormat="1" x14ac:dyDescent="0.35"/>
    <row r="1874" customFormat="1" x14ac:dyDescent="0.35"/>
    <row r="1875" customFormat="1" x14ac:dyDescent="0.35"/>
    <row r="1876" customFormat="1" x14ac:dyDescent="0.35"/>
    <row r="1877" customFormat="1" x14ac:dyDescent="0.35"/>
    <row r="1878" customFormat="1" x14ac:dyDescent="0.35"/>
    <row r="1879" customFormat="1" x14ac:dyDescent="0.35"/>
    <row r="1880" customFormat="1" x14ac:dyDescent="0.35"/>
    <row r="1881" customFormat="1" x14ac:dyDescent="0.35"/>
    <row r="1882" customFormat="1" x14ac:dyDescent="0.35"/>
    <row r="1883" customFormat="1" x14ac:dyDescent="0.35"/>
    <row r="1884" customFormat="1" x14ac:dyDescent="0.35"/>
    <row r="1885" customFormat="1" x14ac:dyDescent="0.35"/>
    <row r="1886" customFormat="1" x14ac:dyDescent="0.35"/>
    <row r="1887" customFormat="1" x14ac:dyDescent="0.35"/>
    <row r="1888" customFormat="1" x14ac:dyDescent="0.35"/>
    <row r="1889" customFormat="1" x14ac:dyDescent="0.35"/>
    <row r="1890" customFormat="1" x14ac:dyDescent="0.35"/>
    <row r="1891" customFormat="1" x14ac:dyDescent="0.35"/>
    <row r="1892" customFormat="1" x14ac:dyDescent="0.35"/>
    <row r="1893" customFormat="1" x14ac:dyDescent="0.35"/>
    <row r="1894" customFormat="1" x14ac:dyDescent="0.35"/>
    <row r="1895" customFormat="1" x14ac:dyDescent="0.35"/>
    <row r="1896" customFormat="1" x14ac:dyDescent="0.35"/>
    <row r="1897" customFormat="1" x14ac:dyDescent="0.35"/>
    <row r="1898" customFormat="1" x14ac:dyDescent="0.35"/>
    <row r="1899" customFormat="1" x14ac:dyDescent="0.35"/>
    <row r="1900" customFormat="1" x14ac:dyDescent="0.35"/>
    <row r="1901" customFormat="1" x14ac:dyDescent="0.35"/>
    <row r="1902" customFormat="1" x14ac:dyDescent="0.35"/>
    <row r="1903" customFormat="1" x14ac:dyDescent="0.35"/>
    <row r="1904" customFormat="1" x14ac:dyDescent="0.35"/>
    <row r="1905" customFormat="1" x14ac:dyDescent="0.35"/>
    <row r="1906" customFormat="1" x14ac:dyDescent="0.35"/>
    <row r="1907" customFormat="1" x14ac:dyDescent="0.35"/>
    <row r="1908" customFormat="1" x14ac:dyDescent="0.35"/>
    <row r="1909" customFormat="1" x14ac:dyDescent="0.35"/>
    <row r="1910" customFormat="1" x14ac:dyDescent="0.35"/>
    <row r="1911" customFormat="1" x14ac:dyDescent="0.35"/>
    <row r="1912" customFormat="1" x14ac:dyDescent="0.35"/>
    <row r="1913" customFormat="1" x14ac:dyDescent="0.35"/>
    <row r="1914" customFormat="1" x14ac:dyDescent="0.35"/>
    <row r="1915" customFormat="1" x14ac:dyDescent="0.35"/>
    <row r="1916" customFormat="1" x14ac:dyDescent="0.35"/>
    <row r="1917" customFormat="1" x14ac:dyDescent="0.35"/>
    <row r="1918" customFormat="1" x14ac:dyDescent="0.35"/>
    <row r="1919" customFormat="1" x14ac:dyDescent="0.35"/>
    <row r="1920" customFormat="1" x14ac:dyDescent="0.35"/>
    <row r="1921" customFormat="1" x14ac:dyDescent="0.35"/>
    <row r="1922" customFormat="1" x14ac:dyDescent="0.35"/>
    <row r="1923" customFormat="1" x14ac:dyDescent="0.35"/>
    <row r="1924" customFormat="1" x14ac:dyDescent="0.35"/>
    <row r="1925" customFormat="1" x14ac:dyDescent="0.35"/>
    <row r="1926" customFormat="1" x14ac:dyDescent="0.35"/>
    <row r="1927" customFormat="1" x14ac:dyDescent="0.35"/>
    <row r="1928" customFormat="1" x14ac:dyDescent="0.35"/>
    <row r="1929" customFormat="1" x14ac:dyDescent="0.35"/>
    <row r="1930" customFormat="1" x14ac:dyDescent="0.35"/>
    <row r="1931" customFormat="1" x14ac:dyDescent="0.35"/>
    <row r="1932" customFormat="1" x14ac:dyDescent="0.35"/>
    <row r="1933" customFormat="1" x14ac:dyDescent="0.35"/>
    <row r="1934" customFormat="1" x14ac:dyDescent="0.35"/>
    <row r="1935" customFormat="1" x14ac:dyDescent="0.35"/>
    <row r="1936" customFormat="1" x14ac:dyDescent="0.35"/>
    <row r="1937" customFormat="1" x14ac:dyDescent="0.35"/>
    <row r="1938" customFormat="1" x14ac:dyDescent="0.35"/>
    <row r="1939" customFormat="1" x14ac:dyDescent="0.35"/>
    <row r="1940" customFormat="1" x14ac:dyDescent="0.35"/>
    <row r="1941" customFormat="1" x14ac:dyDescent="0.35"/>
    <row r="1942" customFormat="1" x14ac:dyDescent="0.35"/>
    <row r="1943" customFormat="1" x14ac:dyDescent="0.35"/>
    <row r="1944" customFormat="1" x14ac:dyDescent="0.35"/>
    <row r="1945" customFormat="1" x14ac:dyDescent="0.35"/>
    <row r="1946" customFormat="1" x14ac:dyDescent="0.35"/>
    <row r="1947" customFormat="1" x14ac:dyDescent="0.35"/>
    <row r="1948" customFormat="1" x14ac:dyDescent="0.35"/>
    <row r="1949" customFormat="1" x14ac:dyDescent="0.35"/>
    <row r="1950" customFormat="1" x14ac:dyDescent="0.35"/>
    <row r="1951" customFormat="1" x14ac:dyDescent="0.35"/>
    <row r="1952" customFormat="1" x14ac:dyDescent="0.35"/>
    <row r="1953" customFormat="1" x14ac:dyDescent="0.35"/>
    <row r="1954" customFormat="1" x14ac:dyDescent="0.35"/>
    <row r="1955" customFormat="1" x14ac:dyDescent="0.35"/>
    <row r="1956" customFormat="1" x14ac:dyDescent="0.35"/>
    <row r="1957" customFormat="1" x14ac:dyDescent="0.35"/>
    <row r="1958" customFormat="1" x14ac:dyDescent="0.35"/>
    <row r="1959" customFormat="1" x14ac:dyDescent="0.35"/>
    <row r="1960" customFormat="1" x14ac:dyDescent="0.35"/>
    <row r="1961" customFormat="1" x14ac:dyDescent="0.35"/>
    <row r="1962" customFormat="1" x14ac:dyDescent="0.35"/>
    <row r="1963" customFormat="1" x14ac:dyDescent="0.35"/>
    <row r="1964" customFormat="1" x14ac:dyDescent="0.35"/>
    <row r="1965" customFormat="1" x14ac:dyDescent="0.35"/>
    <row r="1966" customFormat="1" x14ac:dyDescent="0.35"/>
    <row r="1967" customFormat="1" x14ac:dyDescent="0.35"/>
    <row r="1968" customFormat="1" x14ac:dyDescent="0.35"/>
    <row r="1969" customFormat="1" x14ac:dyDescent="0.35"/>
    <row r="1970" customFormat="1" x14ac:dyDescent="0.35"/>
    <row r="1971" customFormat="1" x14ac:dyDescent="0.35"/>
    <row r="1972" customFormat="1" x14ac:dyDescent="0.35"/>
    <row r="1973" customFormat="1" x14ac:dyDescent="0.35"/>
    <row r="1974" customFormat="1" x14ac:dyDescent="0.35"/>
    <row r="1975" customFormat="1" x14ac:dyDescent="0.35"/>
    <row r="1976" customFormat="1" x14ac:dyDescent="0.35"/>
    <row r="1977" customFormat="1" x14ac:dyDescent="0.35"/>
    <row r="1978" customFormat="1" x14ac:dyDescent="0.35"/>
    <row r="1979" customFormat="1" x14ac:dyDescent="0.35"/>
    <row r="1980" customFormat="1" x14ac:dyDescent="0.35"/>
    <row r="1981" customFormat="1" x14ac:dyDescent="0.35"/>
    <row r="1982" customFormat="1" x14ac:dyDescent="0.35"/>
    <row r="1983" customFormat="1" x14ac:dyDescent="0.35"/>
    <row r="1984" customFormat="1" x14ac:dyDescent="0.35"/>
    <row r="1985" customFormat="1" x14ac:dyDescent="0.35"/>
    <row r="1986" customFormat="1" x14ac:dyDescent="0.35"/>
    <row r="1987" customFormat="1" x14ac:dyDescent="0.35"/>
    <row r="1988" customFormat="1" x14ac:dyDescent="0.35"/>
    <row r="1989" customFormat="1" x14ac:dyDescent="0.35"/>
    <row r="1990" customFormat="1" x14ac:dyDescent="0.35"/>
    <row r="1991" customFormat="1" x14ac:dyDescent="0.35"/>
    <row r="1992" customFormat="1" x14ac:dyDescent="0.35"/>
    <row r="1993" customFormat="1" x14ac:dyDescent="0.35"/>
    <row r="1994" customFormat="1" x14ac:dyDescent="0.35"/>
    <row r="1995" customFormat="1" x14ac:dyDescent="0.35"/>
    <row r="1996" customFormat="1" x14ac:dyDescent="0.35"/>
    <row r="1997" customFormat="1" x14ac:dyDescent="0.35"/>
    <row r="1998" customFormat="1" x14ac:dyDescent="0.35"/>
    <row r="1999" customFormat="1" x14ac:dyDescent="0.35"/>
    <row r="2000" customFormat="1" x14ac:dyDescent="0.3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DC8D32-7696-4852-B407-6000CEAE28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GRAFICO</vt:lpstr>
      <vt:lpstr>BD PARADEROS</vt:lpstr>
      <vt:lpstr>GLOSARIO</vt:lpstr>
      <vt:lpstr>REGISTRO_DIARIO</vt:lpstr>
      <vt:lpstr>ANALISIS_COSTOS</vt:lpstr>
      <vt:lpstr>BD BUSES</vt:lpstr>
      <vt:lpstr>Distritos</vt:lpstr>
      <vt:lpstr>BD RUTAS</vt:lpstr>
      <vt:lpstr>BD SECOS</vt:lpstr>
      <vt:lpstr>BD FRESCOS</vt:lpstr>
      <vt:lpstr>BD PPA</vt:lpstr>
      <vt:lpstr>PARADEROS_VALIDOS</vt:lpstr>
      <vt:lpstr>pendientes</vt:lpstr>
      <vt:lpstr>CLASIFICACION</vt:lpstr>
      <vt:lpstr>BD CONSOLIDADA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Cenit Hurtado Aquino</dc:creator>
  <cp:lastModifiedBy>Fernando Cenit Hurtado Aquino</cp:lastModifiedBy>
  <dcterms:created xsi:type="dcterms:W3CDTF">2026-03-19T17:11:13Z</dcterms:created>
  <dcterms:modified xsi:type="dcterms:W3CDTF">2026-05-21T15:18:16Z</dcterms:modified>
</cp:coreProperties>
</file>